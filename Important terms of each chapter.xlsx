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IAS Notes\Self Notes\History\"/>
    </mc:Choice>
  </mc:AlternateContent>
  <xr:revisionPtr revIDLastSave="0" documentId="13_ncr:1_{29FB5036-8384-44B5-9C1C-B934923F1484}" xr6:coauthVersionLast="47" xr6:coauthVersionMax="47" xr10:uidLastSave="{00000000-0000-0000-0000-000000000000}"/>
  <bookViews>
    <workbookView xWindow="-108" yWindow="-108" windowWidth="23256" windowHeight="13176" firstSheet="3" activeTab="4" xr2:uid="{F33F8037-0464-4DD7-976A-ABDFB1898EC9}"/>
  </bookViews>
  <sheets>
    <sheet name="Content" sheetId="4" r:id="rId1"/>
    <sheet name="A. Chapter Flow" sheetId="5" r:id="rId2"/>
    <sheet name="B. Timeline" sheetId="6" r:id="rId3"/>
    <sheet name="C. Events" sheetId="7" r:id="rId4"/>
    <sheet name="D. Battles" sheetId="8" r:id="rId5"/>
    <sheet name="E. Character-Titles" sheetId="9" r:id="rId6"/>
    <sheet name="F. Geo Loc" sheetId="10" r:id="rId7"/>
    <sheet name="G. Objects" sheetId="11" r:id="rId8"/>
    <sheet name="H. Word Associations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0" i="9" l="1"/>
  <c r="C192" i="11"/>
  <c r="C191" i="11"/>
  <c r="C190" i="11"/>
  <c r="C196" i="11"/>
  <c r="C195" i="11"/>
  <c r="C194" i="11"/>
  <c r="C72" i="6" l="1"/>
  <c r="C332" i="9" l="1"/>
  <c r="C320" i="9"/>
  <c r="C318" i="9"/>
  <c r="C317" i="9"/>
  <c r="C313" i="9"/>
  <c r="C269" i="9"/>
  <c r="C268" i="9"/>
  <c r="C266" i="9"/>
  <c r="C1000" i="12"/>
  <c r="C999" i="12"/>
  <c r="C998" i="12"/>
  <c r="C997" i="12"/>
  <c r="C996" i="12"/>
  <c r="C995" i="12"/>
  <c r="C994" i="12"/>
  <c r="C993" i="12"/>
  <c r="C992" i="12"/>
  <c r="C991" i="12"/>
  <c r="C990" i="12"/>
  <c r="C989" i="12"/>
  <c r="C988" i="12"/>
  <c r="C987" i="12"/>
  <c r="C986" i="12"/>
  <c r="C985" i="12"/>
  <c r="C984" i="12"/>
  <c r="C983" i="12"/>
  <c r="C982" i="12"/>
  <c r="C981" i="12"/>
  <c r="C980" i="12"/>
  <c r="C979" i="12"/>
  <c r="C978" i="12"/>
  <c r="C977" i="12"/>
  <c r="C976" i="12"/>
  <c r="C975" i="12"/>
  <c r="C974" i="12"/>
  <c r="C973" i="12"/>
  <c r="C972" i="12"/>
  <c r="C971" i="12"/>
  <c r="C970" i="12"/>
  <c r="C969" i="12"/>
  <c r="C968" i="12"/>
  <c r="C967" i="12"/>
  <c r="C966" i="12"/>
  <c r="C965" i="12"/>
  <c r="C964" i="12"/>
  <c r="C963" i="12"/>
  <c r="C962" i="12"/>
  <c r="C961" i="12"/>
  <c r="C960" i="12"/>
  <c r="C959" i="12"/>
  <c r="C958" i="12"/>
  <c r="C957" i="12"/>
  <c r="C956" i="12"/>
  <c r="C955" i="12"/>
  <c r="C954" i="12"/>
  <c r="C953" i="12"/>
  <c r="C952" i="12"/>
  <c r="C951" i="12"/>
  <c r="C950" i="12"/>
  <c r="C949" i="12"/>
  <c r="C948" i="12"/>
  <c r="C947" i="12"/>
  <c r="C946" i="12"/>
  <c r="C945" i="12"/>
  <c r="C944" i="12"/>
  <c r="C943" i="12"/>
  <c r="C942" i="12"/>
  <c r="C941" i="12"/>
  <c r="C940" i="12"/>
  <c r="C939" i="12"/>
  <c r="C938" i="12"/>
  <c r="C937" i="12"/>
  <c r="C936" i="12"/>
  <c r="C935" i="12"/>
  <c r="C934" i="12"/>
  <c r="C933" i="12"/>
  <c r="C932" i="12"/>
  <c r="C931" i="12"/>
  <c r="C930" i="12"/>
  <c r="C929" i="12"/>
  <c r="C928" i="12"/>
  <c r="C927" i="12"/>
  <c r="C926" i="12"/>
  <c r="C925" i="12"/>
  <c r="C924" i="12"/>
  <c r="C923" i="12"/>
  <c r="C922" i="12"/>
  <c r="C921" i="12"/>
  <c r="C920" i="12"/>
  <c r="C919" i="12"/>
  <c r="C918" i="12"/>
  <c r="C917" i="12"/>
  <c r="C916" i="12"/>
  <c r="C915" i="12"/>
  <c r="C914" i="12"/>
  <c r="C913" i="12"/>
  <c r="C912" i="12"/>
  <c r="C911" i="12"/>
  <c r="C910" i="12"/>
  <c r="C909" i="12"/>
  <c r="C908" i="12"/>
  <c r="C907" i="12"/>
  <c r="C906" i="12"/>
  <c r="C905" i="12"/>
  <c r="C904" i="12"/>
  <c r="C903" i="12"/>
  <c r="C902" i="12"/>
  <c r="C901" i="12"/>
  <c r="C900" i="12"/>
  <c r="C899" i="12"/>
  <c r="C898" i="12"/>
  <c r="C897" i="12"/>
  <c r="C896" i="12"/>
  <c r="C895" i="12"/>
  <c r="C894" i="12"/>
  <c r="C893" i="12"/>
  <c r="C892" i="12"/>
  <c r="C891" i="12"/>
  <c r="C890" i="12"/>
  <c r="C889" i="12"/>
  <c r="C888" i="12"/>
  <c r="C887" i="12"/>
  <c r="C886" i="12"/>
  <c r="C885" i="12"/>
  <c r="C884" i="12"/>
  <c r="C883" i="12"/>
  <c r="C882" i="12"/>
  <c r="C881" i="12"/>
  <c r="C880" i="12"/>
  <c r="C879" i="12"/>
  <c r="C878" i="12"/>
  <c r="C877" i="12"/>
  <c r="C876" i="12"/>
  <c r="C875" i="12"/>
  <c r="C874" i="12"/>
  <c r="C873" i="12"/>
  <c r="C872" i="12"/>
  <c r="C871" i="12"/>
  <c r="C870" i="12"/>
  <c r="C869" i="12"/>
  <c r="C868" i="12"/>
  <c r="C867" i="12"/>
  <c r="C866" i="12"/>
  <c r="C865" i="12"/>
  <c r="C864" i="12"/>
  <c r="C863" i="12"/>
  <c r="C862" i="12"/>
  <c r="C861" i="12"/>
  <c r="C860" i="12"/>
  <c r="C859" i="12"/>
  <c r="C858" i="12"/>
  <c r="C857" i="12"/>
  <c r="C856" i="12"/>
  <c r="C855" i="12"/>
  <c r="C854" i="12"/>
  <c r="C853" i="12"/>
  <c r="C852" i="12"/>
  <c r="C851" i="12"/>
  <c r="C850" i="12"/>
  <c r="C849" i="12"/>
  <c r="C848" i="12"/>
  <c r="C847" i="12"/>
  <c r="C846" i="12"/>
  <c r="C845" i="12"/>
  <c r="C844" i="12"/>
  <c r="C843" i="12"/>
  <c r="C842" i="12"/>
  <c r="C841" i="12"/>
  <c r="C840" i="12"/>
  <c r="C839" i="12"/>
  <c r="C838" i="12"/>
  <c r="C837" i="12"/>
  <c r="C836" i="12"/>
  <c r="C835" i="12"/>
  <c r="C834" i="12"/>
  <c r="C833" i="12"/>
  <c r="C832" i="12"/>
  <c r="C831" i="12"/>
  <c r="C830" i="12"/>
  <c r="C829" i="12"/>
  <c r="C828" i="12"/>
  <c r="C827" i="12"/>
  <c r="C826" i="12"/>
  <c r="C825" i="12"/>
  <c r="C824" i="12"/>
  <c r="C823" i="12"/>
  <c r="C822" i="12"/>
  <c r="C821" i="12"/>
  <c r="C820" i="12"/>
  <c r="C819" i="12"/>
  <c r="C818" i="12"/>
  <c r="C817" i="12"/>
  <c r="C816" i="12"/>
  <c r="C815" i="12"/>
  <c r="C814" i="12"/>
  <c r="C813" i="12"/>
  <c r="C812" i="12"/>
  <c r="C811" i="12"/>
  <c r="C810" i="12"/>
  <c r="C809" i="12"/>
  <c r="C808" i="12"/>
  <c r="C807" i="12"/>
  <c r="C806" i="12"/>
  <c r="C805" i="12"/>
  <c r="C804" i="12"/>
  <c r="C803" i="12"/>
  <c r="C802" i="12"/>
  <c r="C801" i="12"/>
  <c r="C800" i="12"/>
  <c r="C799" i="12"/>
  <c r="C798" i="12"/>
  <c r="C797" i="12"/>
  <c r="C796" i="12"/>
  <c r="C795" i="12"/>
  <c r="C794" i="12"/>
  <c r="C793" i="12"/>
  <c r="C792" i="12"/>
  <c r="C791" i="12"/>
  <c r="C790" i="12"/>
  <c r="C789" i="12"/>
  <c r="C788" i="12"/>
  <c r="C787" i="12"/>
  <c r="C786" i="12"/>
  <c r="C785" i="12"/>
  <c r="C784" i="12"/>
  <c r="C783" i="12"/>
  <c r="C782" i="12"/>
  <c r="C781" i="12"/>
  <c r="C780" i="12"/>
  <c r="C779" i="12"/>
  <c r="C778" i="12"/>
  <c r="C777" i="12"/>
  <c r="C776" i="12"/>
  <c r="C775" i="12"/>
  <c r="C774" i="12"/>
  <c r="C773" i="12"/>
  <c r="C772" i="12"/>
  <c r="C771" i="12"/>
  <c r="C770" i="12"/>
  <c r="C769" i="12"/>
  <c r="C768" i="12"/>
  <c r="C767" i="12"/>
  <c r="C766" i="12"/>
  <c r="C765" i="12"/>
  <c r="C764" i="12"/>
  <c r="C763" i="12"/>
  <c r="C762" i="12"/>
  <c r="C761" i="12"/>
  <c r="C760" i="12"/>
  <c r="C759" i="12"/>
  <c r="C758" i="12"/>
  <c r="C757" i="12"/>
  <c r="C756" i="12"/>
  <c r="C755" i="12"/>
  <c r="C754" i="12"/>
  <c r="C753" i="12"/>
  <c r="C752" i="12"/>
  <c r="C751" i="12"/>
  <c r="C750" i="12"/>
  <c r="C749" i="12"/>
  <c r="C748" i="12"/>
  <c r="C747" i="12"/>
  <c r="C746" i="12"/>
  <c r="C745" i="12"/>
  <c r="C744" i="12"/>
  <c r="C743" i="12"/>
  <c r="C742" i="12"/>
  <c r="C741" i="12"/>
  <c r="C740" i="12"/>
  <c r="C739" i="12"/>
  <c r="C738" i="12"/>
  <c r="C737" i="12"/>
  <c r="C736" i="12"/>
  <c r="C735" i="12"/>
  <c r="C734" i="12"/>
  <c r="C733" i="12"/>
  <c r="C732" i="12"/>
  <c r="C731" i="12"/>
  <c r="C730" i="12"/>
  <c r="C729" i="12"/>
  <c r="C728" i="12"/>
  <c r="C727" i="12"/>
  <c r="C726" i="12"/>
  <c r="C725" i="12"/>
  <c r="C724" i="12"/>
  <c r="C723" i="12"/>
  <c r="C722" i="12"/>
  <c r="C721" i="12"/>
  <c r="C720" i="12"/>
  <c r="C719" i="12"/>
  <c r="C718" i="12"/>
  <c r="C717" i="12"/>
  <c r="C716" i="12"/>
  <c r="C715" i="12"/>
  <c r="C714" i="12"/>
  <c r="C713" i="12"/>
  <c r="C712" i="12"/>
  <c r="C711" i="12"/>
  <c r="C710" i="12"/>
  <c r="C709" i="12"/>
  <c r="C708" i="12"/>
  <c r="C707" i="12"/>
  <c r="C706" i="12"/>
  <c r="C705" i="12"/>
  <c r="C704" i="12"/>
  <c r="C703" i="12"/>
  <c r="C702" i="12"/>
  <c r="C701" i="12"/>
  <c r="C700" i="12"/>
  <c r="C699" i="12"/>
  <c r="C698" i="12"/>
  <c r="C697" i="12"/>
  <c r="C696" i="12"/>
  <c r="C695" i="12"/>
  <c r="C694" i="12"/>
  <c r="C693" i="12"/>
  <c r="C692" i="12"/>
  <c r="C691" i="12"/>
  <c r="C690" i="12"/>
  <c r="C689" i="12"/>
  <c r="C688" i="12"/>
  <c r="C687" i="12"/>
  <c r="C686" i="12"/>
  <c r="C685" i="12"/>
  <c r="C684" i="12"/>
  <c r="C683" i="12"/>
  <c r="C682" i="12"/>
  <c r="C681" i="12"/>
  <c r="C680" i="12"/>
  <c r="C679" i="12"/>
  <c r="C678" i="12"/>
  <c r="C677" i="12"/>
  <c r="C676" i="12"/>
  <c r="C675" i="12"/>
  <c r="C674" i="12"/>
  <c r="C673" i="12"/>
  <c r="C672" i="12"/>
  <c r="C671" i="12"/>
  <c r="C670" i="12"/>
  <c r="C669" i="12"/>
  <c r="C668" i="12"/>
  <c r="C667" i="12"/>
  <c r="C666" i="12"/>
  <c r="C665" i="12"/>
  <c r="C664" i="12"/>
  <c r="C663" i="12"/>
  <c r="C662" i="12"/>
  <c r="C661" i="12"/>
  <c r="C660" i="12"/>
  <c r="C659" i="12"/>
  <c r="C658" i="12"/>
  <c r="C657" i="12"/>
  <c r="C656" i="12"/>
  <c r="C655" i="12"/>
  <c r="C654" i="12"/>
  <c r="C653" i="12"/>
  <c r="C652" i="12"/>
  <c r="C651" i="12"/>
  <c r="C650" i="12"/>
  <c r="C649" i="12"/>
  <c r="C648" i="12"/>
  <c r="C647" i="12"/>
  <c r="C646" i="12"/>
  <c r="C645" i="12"/>
  <c r="C644" i="12"/>
  <c r="C643" i="12"/>
  <c r="C642" i="12"/>
  <c r="C641" i="12"/>
  <c r="C640" i="12"/>
  <c r="C639" i="12"/>
  <c r="C638" i="12"/>
  <c r="C637" i="12"/>
  <c r="C636" i="12"/>
  <c r="C635" i="12"/>
  <c r="C634" i="12"/>
  <c r="C633" i="12"/>
  <c r="C632" i="12"/>
  <c r="C631" i="12"/>
  <c r="C630" i="12"/>
  <c r="C629" i="12"/>
  <c r="C628" i="12"/>
  <c r="C627" i="12"/>
  <c r="C626" i="12"/>
  <c r="C625" i="12"/>
  <c r="C624" i="12"/>
  <c r="C623" i="12"/>
  <c r="C622" i="12"/>
  <c r="C621" i="12"/>
  <c r="C620" i="12"/>
  <c r="C619" i="12"/>
  <c r="C618" i="12"/>
  <c r="C617" i="12"/>
  <c r="C616" i="12"/>
  <c r="C615" i="12"/>
  <c r="C614" i="12"/>
  <c r="C613" i="12"/>
  <c r="C612" i="12"/>
  <c r="C611" i="12"/>
  <c r="C610" i="12"/>
  <c r="C609" i="12"/>
  <c r="C608" i="12"/>
  <c r="C607" i="12"/>
  <c r="C606" i="12"/>
  <c r="C605" i="12"/>
  <c r="C604" i="12"/>
  <c r="C603" i="12"/>
  <c r="C602" i="12"/>
  <c r="C601" i="12"/>
  <c r="C600" i="12"/>
  <c r="C599" i="12"/>
  <c r="C598" i="12"/>
  <c r="C597" i="12"/>
  <c r="C596" i="12"/>
  <c r="C595" i="12"/>
  <c r="C594" i="12"/>
  <c r="C593" i="12"/>
  <c r="C592" i="12"/>
  <c r="C591" i="12"/>
  <c r="C590" i="12"/>
  <c r="C589" i="12"/>
  <c r="C588" i="12"/>
  <c r="C587" i="12"/>
  <c r="C586" i="12"/>
  <c r="C585" i="12"/>
  <c r="C584" i="12"/>
  <c r="C583" i="12"/>
  <c r="C582" i="12"/>
  <c r="C581" i="12"/>
  <c r="C580" i="12"/>
  <c r="C579" i="12"/>
  <c r="C578" i="12"/>
  <c r="C577" i="12"/>
  <c r="C576" i="12"/>
  <c r="C575" i="12"/>
  <c r="C574" i="12"/>
  <c r="C573" i="12"/>
  <c r="C572" i="12"/>
  <c r="C571" i="12"/>
  <c r="C570" i="12"/>
  <c r="C569" i="12"/>
  <c r="C568" i="12"/>
  <c r="C567" i="12"/>
  <c r="C566" i="12"/>
  <c r="C565" i="12"/>
  <c r="C564" i="12"/>
  <c r="C563" i="12"/>
  <c r="C562" i="12"/>
  <c r="C561" i="12"/>
  <c r="C560" i="12"/>
  <c r="C559" i="12"/>
  <c r="C558" i="12"/>
  <c r="C557" i="12"/>
  <c r="C556" i="12"/>
  <c r="C555" i="12"/>
  <c r="C554" i="12"/>
  <c r="C553" i="12"/>
  <c r="C552" i="12"/>
  <c r="C551" i="12"/>
  <c r="C550" i="12"/>
  <c r="C549" i="12"/>
  <c r="C548" i="12"/>
  <c r="C547" i="12"/>
  <c r="C546" i="12"/>
  <c r="C545" i="12"/>
  <c r="C544" i="12"/>
  <c r="C543" i="12"/>
  <c r="C542" i="12"/>
  <c r="C541" i="12"/>
  <c r="C540" i="12"/>
  <c r="C539" i="12"/>
  <c r="C538" i="12"/>
  <c r="C537" i="12"/>
  <c r="C536" i="12"/>
  <c r="C535" i="12"/>
  <c r="C534" i="12"/>
  <c r="C533" i="12"/>
  <c r="C532" i="12"/>
  <c r="C531" i="12"/>
  <c r="C530" i="12"/>
  <c r="C529" i="12"/>
  <c r="C528" i="12"/>
  <c r="C527" i="12"/>
  <c r="C526" i="12"/>
  <c r="C525" i="12"/>
  <c r="C524" i="12"/>
  <c r="C523" i="12"/>
  <c r="C522" i="12"/>
  <c r="C521" i="12"/>
  <c r="C520" i="12"/>
  <c r="C519" i="12"/>
  <c r="C518" i="12"/>
  <c r="C517" i="12"/>
  <c r="C516" i="12"/>
  <c r="C515" i="12"/>
  <c r="C514" i="12"/>
  <c r="C513" i="12"/>
  <c r="C512" i="12"/>
  <c r="C511" i="12"/>
  <c r="C510" i="12"/>
  <c r="C509" i="12"/>
  <c r="C508" i="12"/>
  <c r="C507" i="12"/>
  <c r="C506" i="12"/>
  <c r="C505" i="12"/>
  <c r="C504" i="12"/>
  <c r="C503" i="12"/>
  <c r="C502" i="12"/>
  <c r="C501" i="12"/>
  <c r="C500" i="12"/>
  <c r="C499" i="12"/>
  <c r="C498" i="12"/>
  <c r="C497" i="12"/>
  <c r="C496" i="12"/>
  <c r="C495" i="12"/>
  <c r="C494" i="12"/>
  <c r="C493" i="12"/>
  <c r="C492" i="12"/>
  <c r="C491" i="12"/>
  <c r="C490" i="12"/>
  <c r="C489" i="12"/>
  <c r="C488" i="12"/>
  <c r="C487" i="12"/>
  <c r="C486" i="12"/>
  <c r="C485" i="12"/>
  <c r="C484" i="12"/>
  <c r="C483" i="12"/>
  <c r="C482" i="12"/>
  <c r="C481" i="12"/>
  <c r="C480" i="12"/>
  <c r="C479" i="12"/>
  <c r="C478" i="12"/>
  <c r="C477" i="12"/>
  <c r="C476" i="12"/>
  <c r="C475" i="12"/>
  <c r="C474" i="12"/>
  <c r="C473" i="12"/>
  <c r="C472" i="12"/>
  <c r="C471" i="12"/>
  <c r="C470" i="12"/>
  <c r="C469" i="12"/>
  <c r="C468" i="12"/>
  <c r="C467" i="12"/>
  <c r="C466" i="12"/>
  <c r="C465" i="12"/>
  <c r="C464" i="12"/>
  <c r="C463" i="12"/>
  <c r="C462" i="12"/>
  <c r="C461" i="12"/>
  <c r="C460" i="12"/>
  <c r="C459" i="12"/>
  <c r="C458" i="12"/>
  <c r="C457" i="12"/>
  <c r="C456" i="12"/>
  <c r="C455" i="12"/>
  <c r="C454" i="12"/>
  <c r="C453" i="12"/>
  <c r="C452" i="12"/>
  <c r="C451" i="12"/>
  <c r="C450" i="12"/>
  <c r="C449" i="12"/>
  <c r="C448" i="12"/>
  <c r="C447" i="12"/>
  <c r="C446" i="12"/>
  <c r="C445" i="12"/>
  <c r="C444" i="12"/>
  <c r="C443" i="12"/>
  <c r="C442" i="12"/>
  <c r="C441" i="12"/>
  <c r="C440" i="12"/>
  <c r="C439" i="12"/>
  <c r="C438" i="12"/>
  <c r="C437" i="12"/>
  <c r="C436" i="12"/>
  <c r="C435" i="12"/>
  <c r="C434" i="12"/>
  <c r="C433" i="12"/>
  <c r="C432" i="12"/>
  <c r="C431" i="12"/>
  <c r="C430" i="12"/>
  <c r="C429" i="12"/>
  <c r="C428" i="12"/>
  <c r="C427" i="12"/>
  <c r="C426" i="12"/>
  <c r="C425" i="12"/>
  <c r="C424" i="12"/>
  <c r="C423" i="12"/>
  <c r="C422" i="12"/>
  <c r="C421" i="12"/>
  <c r="C420" i="12"/>
  <c r="C419" i="12"/>
  <c r="C418" i="12"/>
  <c r="C417" i="12"/>
  <c r="C416" i="12"/>
  <c r="C415" i="12"/>
  <c r="C414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C391" i="12"/>
  <c r="C390" i="12"/>
  <c r="C389" i="12"/>
  <c r="C388" i="12"/>
  <c r="C387" i="12"/>
  <c r="C386" i="12"/>
  <c r="C385" i="12"/>
  <c r="C384" i="12"/>
  <c r="C383" i="12"/>
  <c r="C382" i="12"/>
  <c r="C381" i="12"/>
  <c r="C380" i="12"/>
  <c r="C379" i="12"/>
  <c r="C378" i="12"/>
  <c r="C377" i="12"/>
  <c r="C376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3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/>
  <c r="C294" i="12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1006" i="11"/>
  <c r="C1005" i="11"/>
  <c r="C1004" i="11"/>
  <c r="C1003" i="11"/>
  <c r="C1002" i="11"/>
  <c r="C1001" i="11"/>
  <c r="C1000" i="11"/>
  <c r="C999" i="11"/>
  <c r="C998" i="11"/>
  <c r="C997" i="11"/>
  <c r="C996" i="11"/>
  <c r="C995" i="11"/>
  <c r="C994" i="11"/>
  <c r="C993" i="11"/>
  <c r="C992" i="11"/>
  <c r="C991" i="11"/>
  <c r="C990" i="11"/>
  <c r="C989" i="11"/>
  <c r="C988" i="11"/>
  <c r="C987" i="11"/>
  <c r="C986" i="11"/>
  <c r="C985" i="11"/>
  <c r="C984" i="11"/>
  <c r="C983" i="11"/>
  <c r="C982" i="11"/>
  <c r="C981" i="11"/>
  <c r="C980" i="11"/>
  <c r="C979" i="11"/>
  <c r="C978" i="11"/>
  <c r="C977" i="11"/>
  <c r="C976" i="11"/>
  <c r="C975" i="11"/>
  <c r="C974" i="11"/>
  <c r="C973" i="11"/>
  <c r="C972" i="11"/>
  <c r="C971" i="11"/>
  <c r="C970" i="11"/>
  <c r="C969" i="11"/>
  <c r="C968" i="11"/>
  <c r="C967" i="11"/>
  <c r="C966" i="11"/>
  <c r="C965" i="11"/>
  <c r="C964" i="11"/>
  <c r="C963" i="11"/>
  <c r="C962" i="11"/>
  <c r="C961" i="11"/>
  <c r="C960" i="11"/>
  <c r="C959" i="11"/>
  <c r="C958" i="11"/>
  <c r="C957" i="11"/>
  <c r="C956" i="11"/>
  <c r="C955" i="11"/>
  <c r="C954" i="11"/>
  <c r="C953" i="11"/>
  <c r="C952" i="11"/>
  <c r="C951" i="11"/>
  <c r="C950" i="11"/>
  <c r="C949" i="11"/>
  <c r="C948" i="11"/>
  <c r="C947" i="11"/>
  <c r="C946" i="11"/>
  <c r="C945" i="11"/>
  <c r="C944" i="11"/>
  <c r="C943" i="11"/>
  <c r="C942" i="11"/>
  <c r="C941" i="11"/>
  <c r="C940" i="11"/>
  <c r="C939" i="11"/>
  <c r="C938" i="11"/>
  <c r="C937" i="11"/>
  <c r="C936" i="11"/>
  <c r="C935" i="11"/>
  <c r="C934" i="11"/>
  <c r="C933" i="11"/>
  <c r="C932" i="11"/>
  <c r="C931" i="11"/>
  <c r="C930" i="11"/>
  <c r="C929" i="11"/>
  <c r="C928" i="11"/>
  <c r="C927" i="11"/>
  <c r="C926" i="11"/>
  <c r="C925" i="11"/>
  <c r="C924" i="11"/>
  <c r="C923" i="11"/>
  <c r="C922" i="11"/>
  <c r="C921" i="11"/>
  <c r="C920" i="11"/>
  <c r="C919" i="11"/>
  <c r="C918" i="11"/>
  <c r="C917" i="11"/>
  <c r="C916" i="11"/>
  <c r="C915" i="11"/>
  <c r="C914" i="11"/>
  <c r="C913" i="11"/>
  <c r="C912" i="11"/>
  <c r="C911" i="11"/>
  <c r="C910" i="11"/>
  <c r="C909" i="11"/>
  <c r="C908" i="11"/>
  <c r="C907" i="11"/>
  <c r="C906" i="11"/>
  <c r="C905" i="11"/>
  <c r="C904" i="11"/>
  <c r="C903" i="11"/>
  <c r="C902" i="11"/>
  <c r="C901" i="11"/>
  <c r="C900" i="11"/>
  <c r="C899" i="11"/>
  <c r="C898" i="11"/>
  <c r="C897" i="11"/>
  <c r="C896" i="11"/>
  <c r="C895" i="11"/>
  <c r="C894" i="11"/>
  <c r="C893" i="11"/>
  <c r="C892" i="11"/>
  <c r="C891" i="11"/>
  <c r="C890" i="11"/>
  <c r="C889" i="11"/>
  <c r="C888" i="11"/>
  <c r="C887" i="11"/>
  <c r="C886" i="11"/>
  <c r="C885" i="11"/>
  <c r="C884" i="11"/>
  <c r="C883" i="11"/>
  <c r="C882" i="11"/>
  <c r="C881" i="11"/>
  <c r="C880" i="11"/>
  <c r="C879" i="11"/>
  <c r="C878" i="11"/>
  <c r="C877" i="11"/>
  <c r="C876" i="11"/>
  <c r="C875" i="11"/>
  <c r="C874" i="11"/>
  <c r="C873" i="11"/>
  <c r="C872" i="11"/>
  <c r="C871" i="11"/>
  <c r="C870" i="11"/>
  <c r="C869" i="11"/>
  <c r="C868" i="11"/>
  <c r="C867" i="11"/>
  <c r="C866" i="11"/>
  <c r="C865" i="11"/>
  <c r="C864" i="11"/>
  <c r="C863" i="11"/>
  <c r="C862" i="11"/>
  <c r="C861" i="11"/>
  <c r="C860" i="11"/>
  <c r="C859" i="11"/>
  <c r="C858" i="11"/>
  <c r="C857" i="11"/>
  <c r="C856" i="11"/>
  <c r="C855" i="11"/>
  <c r="C854" i="11"/>
  <c r="C853" i="11"/>
  <c r="C852" i="11"/>
  <c r="C851" i="11"/>
  <c r="C850" i="11"/>
  <c r="C849" i="11"/>
  <c r="C848" i="11"/>
  <c r="C847" i="11"/>
  <c r="C846" i="11"/>
  <c r="C845" i="11"/>
  <c r="C844" i="11"/>
  <c r="C843" i="11"/>
  <c r="C842" i="11"/>
  <c r="C841" i="11"/>
  <c r="C840" i="11"/>
  <c r="C839" i="11"/>
  <c r="C838" i="11"/>
  <c r="C837" i="11"/>
  <c r="C836" i="11"/>
  <c r="C835" i="11"/>
  <c r="C834" i="11"/>
  <c r="C833" i="11"/>
  <c r="C832" i="11"/>
  <c r="C831" i="11"/>
  <c r="C830" i="11"/>
  <c r="C829" i="11"/>
  <c r="C828" i="11"/>
  <c r="C827" i="11"/>
  <c r="C826" i="11"/>
  <c r="C825" i="11"/>
  <c r="C824" i="11"/>
  <c r="C823" i="11"/>
  <c r="C822" i="11"/>
  <c r="C821" i="11"/>
  <c r="C820" i="11"/>
  <c r="C819" i="11"/>
  <c r="C818" i="11"/>
  <c r="C817" i="11"/>
  <c r="C816" i="11"/>
  <c r="C815" i="11"/>
  <c r="C814" i="11"/>
  <c r="C813" i="11"/>
  <c r="C812" i="11"/>
  <c r="C811" i="11"/>
  <c r="C810" i="11"/>
  <c r="C809" i="11"/>
  <c r="C808" i="11"/>
  <c r="C807" i="11"/>
  <c r="C806" i="11"/>
  <c r="C805" i="11"/>
  <c r="C804" i="11"/>
  <c r="C803" i="11"/>
  <c r="C802" i="11"/>
  <c r="C801" i="11"/>
  <c r="C800" i="11"/>
  <c r="C799" i="11"/>
  <c r="C798" i="11"/>
  <c r="C797" i="11"/>
  <c r="C796" i="11"/>
  <c r="C795" i="11"/>
  <c r="C794" i="11"/>
  <c r="C793" i="11"/>
  <c r="C792" i="11"/>
  <c r="C791" i="11"/>
  <c r="C790" i="11"/>
  <c r="C789" i="11"/>
  <c r="C788" i="11"/>
  <c r="C787" i="11"/>
  <c r="C786" i="11"/>
  <c r="C785" i="11"/>
  <c r="C784" i="11"/>
  <c r="C783" i="11"/>
  <c r="C782" i="11"/>
  <c r="C781" i="11"/>
  <c r="C780" i="11"/>
  <c r="C779" i="11"/>
  <c r="C778" i="11"/>
  <c r="C777" i="11"/>
  <c r="C776" i="11"/>
  <c r="C775" i="11"/>
  <c r="C774" i="11"/>
  <c r="C773" i="11"/>
  <c r="C772" i="11"/>
  <c r="C771" i="11"/>
  <c r="C770" i="11"/>
  <c r="C769" i="11"/>
  <c r="C768" i="11"/>
  <c r="C767" i="11"/>
  <c r="C766" i="11"/>
  <c r="C765" i="11"/>
  <c r="C764" i="11"/>
  <c r="C763" i="11"/>
  <c r="C762" i="11"/>
  <c r="C761" i="11"/>
  <c r="C760" i="11"/>
  <c r="C759" i="11"/>
  <c r="C758" i="11"/>
  <c r="C757" i="11"/>
  <c r="C756" i="11"/>
  <c r="C755" i="11"/>
  <c r="C754" i="11"/>
  <c r="C753" i="11"/>
  <c r="C752" i="11"/>
  <c r="C751" i="11"/>
  <c r="C750" i="11"/>
  <c r="C749" i="11"/>
  <c r="C748" i="11"/>
  <c r="C747" i="11"/>
  <c r="C746" i="11"/>
  <c r="C745" i="11"/>
  <c r="C744" i="11"/>
  <c r="C743" i="11"/>
  <c r="C742" i="11"/>
  <c r="C741" i="11"/>
  <c r="C740" i="11"/>
  <c r="C739" i="11"/>
  <c r="C738" i="11"/>
  <c r="C737" i="11"/>
  <c r="C736" i="11"/>
  <c r="C735" i="11"/>
  <c r="C734" i="11"/>
  <c r="C733" i="11"/>
  <c r="C732" i="11"/>
  <c r="C731" i="11"/>
  <c r="C730" i="11"/>
  <c r="C729" i="11"/>
  <c r="C728" i="11"/>
  <c r="C727" i="11"/>
  <c r="C726" i="11"/>
  <c r="C725" i="11"/>
  <c r="C724" i="11"/>
  <c r="C723" i="11"/>
  <c r="C722" i="11"/>
  <c r="C721" i="11"/>
  <c r="C720" i="11"/>
  <c r="C719" i="11"/>
  <c r="C718" i="11"/>
  <c r="C717" i="11"/>
  <c r="C716" i="11"/>
  <c r="C715" i="11"/>
  <c r="C714" i="11"/>
  <c r="C713" i="11"/>
  <c r="C712" i="11"/>
  <c r="C711" i="11"/>
  <c r="C710" i="11"/>
  <c r="C709" i="11"/>
  <c r="C708" i="11"/>
  <c r="C707" i="11"/>
  <c r="C706" i="11"/>
  <c r="C705" i="11"/>
  <c r="C704" i="11"/>
  <c r="C703" i="11"/>
  <c r="C702" i="11"/>
  <c r="C701" i="11"/>
  <c r="C700" i="11"/>
  <c r="C699" i="11"/>
  <c r="C698" i="11"/>
  <c r="C697" i="11"/>
  <c r="C696" i="11"/>
  <c r="C695" i="11"/>
  <c r="C694" i="11"/>
  <c r="C693" i="11"/>
  <c r="C692" i="11"/>
  <c r="C691" i="11"/>
  <c r="C690" i="11"/>
  <c r="C689" i="11"/>
  <c r="C688" i="11"/>
  <c r="C687" i="11"/>
  <c r="C686" i="11"/>
  <c r="C685" i="11"/>
  <c r="C684" i="11"/>
  <c r="C683" i="11"/>
  <c r="C682" i="11"/>
  <c r="C681" i="11"/>
  <c r="C680" i="11"/>
  <c r="C679" i="11"/>
  <c r="C678" i="11"/>
  <c r="C677" i="11"/>
  <c r="C676" i="11"/>
  <c r="C675" i="11"/>
  <c r="C674" i="11"/>
  <c r="C673" i="11"/>
  <c r="C672" i="11"/>
  <c r="C671" i="11"/>
  <c r="C670" i="11"/>
  <c r="C669" i="11"/>
  <c r="C668" i="11"/>
  <c r="C667" i="11"/>
  <c r="C666" i="11"/>
  <c r="C665" i="11"/>
  <c r="C664" i="11"/>
  <c r="C663" i="11"/>
  <c r="C662" i="11"/>
  <c r="C661" i="11"/>
  <c r="C660" i="11"/>
  <c r="C659" i="11"/>
  <c r="C658" i="11"/>
  <c r="C657" i="11"/>
  <c r="C656" i="11"/>
  <c r="C655" i="11"/>
  <c r="C654" i="11"/>
  <c r="C653" i="11"/>
  <c r="C652" i="11"/>
  <c r="C651" i="11"/>
  <c r="C650" i="11"/>
  <c r="C649" i="11"/>
  <c r="C648" i="11"/>
  <c r="C647" i="11"/>
  <c r="C646" i="11"/>
  <c r="C645" i="11"/>
  <c r="C644" i="11"/>
  <c r="C643" i="11"/>
  <c r="C642" i="11"/>
  <c r="C641" i="11"/>
  <c r="C640" i="11"/>
  <c r="C639" i="11"/>
  <c r="C638" i="11"/>
  <c r="C637" i="11"/>
  <c r="C636" i="11"/>
  <c r="C635" i="11"/>
  <c r="C634" i="11"/>
  <c r="C633" i="11"/>
  <c r="C632" i="11"/>
  <c r="C631" i="11"/>
  <c r="C630" i="11"/>
  <c r="C629" i="11"/>
  <c r="C628" i="11"/>
  <c r="C627" i="11"/>
  <c r="C626" i="11"/>
  <c r="C625" i="11"/>
  <c r="C624" i="11"/>
  <c r="C623" i="11"/>
  <c r="C622" i="11"/>
  <c r="C621" i="11"/>
  <c r="C620" i="11"/>
  <c r="C619" i="11"/>
  <c r="C618" i="11"/>
  <c r="C617" i="11"/>
  <c r="C616" i="11"/>
  <c r="C615" i="11"/>
  <c r="C614" i="11"/>
  <c r="C613" i="11"/>
  <c r="C612" i="11"/>
  <c r="C611" i="11"/>
  <c r="C610" i="11"/>
  <c r="C609" i="11"/>
  <c r="C608" i="11"/>
  <c r="C607" i="11"/>
  <c r="C606" i="11"/>
  <c r="C605" i="11"/>
  <c r="C604" i="11"/>
  <c r="C603" i="11"/>
  <c r="C602" i="11"/>
  <c r="C601" i="11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C587" i="11"/>
  <c r="C586" i="11"/>
  <c r="C585" i="11"/>
  <c r="C584" i="11"/>
  <c r="C583" i="11"/>
  <c r="C582" i="11"/>
  <c r="C581" i="11"/>
  <c r="C580" i="11"/>
  <c r="C579" i="11"/>
  <c r="C578" i="11"/>
  <c r="C577" i="11"/>
  <c r="C576" i="11"/>
  <c r="C575" i="11"/>
  <c r="C574" i="11"/>
  <c r="C573" i="11"/>
  <c r="C572" i="11"/>
  <c r="C571" i="11"/>
  <c r="C570" i="11"/>
  <c r="C569" i="11"/>
  <c r="C568" i="11"/>
  <c r="C567" i="11"/>
  <c r="C566" i="11"/>
  <c r="C565" i="11"/>
  <c r="C564" i="11"/>
  <c r="C563" i="11"/>
  <c r="C562" i="11"/>
  <c r="C561" i="11"/>
  <c r="C560" i="11"/>
  <c r="C559" i="11"/>
  <c r="C558" i="11"/>
  <c r="C557" i="11"/>
  <c r="C556" i="11"/>
  <c r="C555" i="11"/>
  <c r="C554" i="11"/>
  <c r="C553" i="11"/>
  <c r="C552" i="11"/>
  <c r="C551" i="11"/>
  <c r="C550" i="11"/>
  <c r="C549" i="11"/>
  <c r="C548" i="11"/>
  <c r="C547" i="11"/>
  <c r="C546" i="11"/>
  <c r="C545" i="11"/>
  <c r="C544" i="11"/>
  <c r="C543" i="11"/>
  <c r="C542" i="11"/>
  <c r="C541" i="11"/>
  <c r="C540" i="11"/>
  <c r="C539" i="11"/>
  <c r="C538" i="11"/>
  <c r="C537" i="11"/>
  <c r="C536" i="11"/>
  <c r="C535" i="11"/>
  <c r="C534" i="11"/>
  <c r="C533" i="11"/>
  <c r="C532" i="11"/>
  <c r="C531" i="11"/>
  <c r="C530" i="11"/>
  <c r="C529" i="11"/>
  <c r="C528" i="11"/>
  <c r="C527" i="11"/>
  <c r="C526" i="11"/>
  <c r="C525" i="11"/>
  <c r="C524" i="11"/>
  <c r="C523" i="11"/>
  <c r="C522" i="11"/>
  <c r="C521" i="11"/>
  <c r="C520" i="11"/>
  <c r="C519" i="11"/>
  <c r="C518" i="11"/>
  <c r="C517" i="11"/>
  <c r="C516" i="11"/>
  <c r="C515" i="11"/>
  <c r="C514" i="11"/>
  <c r="C513" i="11"/>
  <c r="C512" i="11"/>
  <c r="C511" i="11"/>
  <c r="C510" i="11"/>
  <c r="C509" i="11"/>
  <c r="C508" i="11"/>
  <c r="C507" i="11"/>
  <c r="C506" i="1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3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1000" i="10"/>
  <c r="C999" i="10"/>
  <c r="C998" i="10"/>
  <c r="C997" i="10"/>
  <c r="C996" i="10"/>
  <c r="C995" i="10"/>
  <c r="C994" i="10"/>
  <c r="C993" i="10"/>
  <c r="C992" i="10"/>
  <c r="C991" i="10"/>
  <c r="C990" i="10"/>
  <c r="C989" i="10"/>
  <c r="C988" i="10"/>
  <c r="C987" i="10"/>
  <c r="C986" i="10"/>
  <c r="C985" i="10"/>
  <c r="C984" i="10"/>
  <c r="C983" i="10"/>
  <c r="C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C966" i="10"/>
  <c r="C965" i="10"/>
  <c r="C964" i="10"/>
  <c r="C963" i="10"/>
  <c r="C962" i="10"/>
  <c r="C961" i="10"/>
  <c r="C960" i="10"/>
  <c r="C959" i="10"/>
  <c r="C958" i="10"/>
  <c r="C957" i="10"/>
  <c r="C956" i="10"/>
  <c r="C955" i="10"/>
  <c r="C954" i="10"/>
  <c r="C953" i="10"/>
  <c r="C952" i="10"/>
  <c r="C951" i="10"/>
  <c r="C950" i="10"/>
  <c r="C949" i="10"/>
  <c r="C948" i="10"/>
  <c r="C947" i="10"/>
  <c r="C946" i="10"/>
  <c r="C945" i="10"/>
  <c r="C944" i="10"/>
  <c r="C943" i="10"/>
  <c r="C942" i="10"/>
  <c r="C941" i="10"/>
  <c r="C940" i="10"/>
  <c r="C939" i="10"/>
  <c r="C938" i="10"/>
  <c r="C937" i="10"/>
  <c r="C936" i="10"/>
  <c r="C935" i="10"/>
  <c r="C934" i="10"/>
  <c r="C933" i="10"/>
  <c r="C932" i="10"/>
  <c r="C931" i="10"/>
  <c r="C930" i="10"/>
  <c r="C929" i="10"/>
  <c r="C928" i="10"/>
  <c r="C927" i="10"/>
  <c r="C926" i="10"/>
  <c r="C925" i="10"/>
  <c r="C924" i="10"/>
  <c r="C923" i="10"/>
  <c r="C922" i="10"/>
  <c r="C921" i="10"/>
  <c r="C920" i="10"/>
  <c r="C919" i="10"/>
  <c r="C918" i="10"/>
  <c r="C917" i="10"/>
  <c r="C916" i="10"/>
  <c r="C915" i="10"/>
  <c r="C914" i="10"/>
  <c r="C913" i="10"/>
  <c r="C912" i="10"/>
  <c r="C911" i="10"/>
  <c r="C910" i="10"/>
  <c r="C909" i="10"/>
  <c r="C908" i="10"/>
  <c r="C907" i="10"/>
  <c r="C906" i="10"/>
  <c r="C905" i="10"/>
  <c r="C904" i="10"/>
  <c r="C903" i="10"/>
  <c r="C902" i="10"/>
  <c r="C901" i="10"/>
  <c r="C900" i="10"/>
  <c r="C899" i="10"/>
  <c r="C898" i="10"/>
  <c r="C897" i="10"/>
  <c r="C896" i="10"/>
  <c r="C895" i="10"/>
  <c r="C894" i="10"/>
  <c r="C893" i="10"/>
  <c r="C892" i="10"/>
  <c r="C891" i="10"/>
  <c r="C890" i="10"/>
  <c r="C889" i="10"/>
  <c r="C888" i="10"/>
  <c r="C887" i="10"/>
  <c r="C886" i="10"/>
  <c r="C885" i="10"/>
  <c r="C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C868" i="10"/>
  <c r="C867" i="10"/>
  <c r="C866" i="10"/>
  <c r="C865" i="10"/>
  <c r="C864" i="10"/>
  <c r="C863" i="10"/>
  <c r="C862" i="10"/>
  <c r="C861" i="10"/>
  <c r="C860" i="10"/>
  <c r="C859" i="10"/>
  <c r="C858" i="10"/>
  <c r="C857" i="10"/>
  <c r="C856" i="10"/>
  <c r="C855" i="10"/>
  <c r="C854" i="10"/>
  <c r="C853" i="10"/>
  <c r="C852" i="10"/>
  <c r="C851" i="10"/>
  <c r="C850" i="10"/>
  <c r="C849" i="10"/>
  <c r="C848" i="10"/>
  <c r="C847" i="10"/>
  <c r="C846" i="10"/>
  <c r="C845" i="10"/>
  <c r="C844" i="10"/>
  <c r="C843" i="10"/>
  <c r="C842" i="10"/>
  <c r="C841" i="10"/>
  <c r="C840" i="10"/>
  <c r="C839" i="10"/>
  <c r="C838" i="10"/>
  <c r="C837" i="10"/>
  <c r="C836" i="10"/>
  <c r="C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C819" i="10"/>
  <c r="C818" i="10"/>
  <c r="C817" i="10"/>
  <c r="C816" i="10"/>
  <c r="C815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8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6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9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7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51" i="10"/>
  <c r="C650" i="10"/>
  <c r="C649" i="10"/>
  <c r="C648" i="10"/>
  <c r="C647" i="10"/>
  <c r="C646" i="10"/>
  <c r="C645" i="10"/>
  <c r="C644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26" i="10"/>
  <c r="C625" i="10"/>
  <c r="C624" i="10"/>
  <c r="C623" i="10"/>
  <c r="C622" i="10"/>
  <c r="C621" i="10"/>
  <c r="C620" i="10"/>
  <c r="C619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2" i="10"/>
  <c r="C601" i="10"/>
  <c r="C600" i="10"/>
  <c r="C599" i="10"/>
  <c r="C598" i="10"/>
  <c r="C597" i="10"/>
  <c r="C596" i="10"/>
  <c r="C595" i="10"/>
  <c r="C594" i="10"/>
  <c r="C593" i="10"/>
  <c r="C592" i="10"/>
  <c r="C591" i="10"/>
  <c r="C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75" i="10"/>
  <c r="C574" i="10"/>
  <c r="C573" i="10"/>
  <c r="C572" i="10"/>
  <c r="C571" i="10"/>
  <c r="C570" i="10"/>
  <c r="C569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1" i="9"/>
  <c r="C330" i="9"/>
  <c r="C329" i="9"/>
  <c r="C328" i="9"/>
  <c r="C327" i="9"/>
  <c r="C326" i="9"/>
  <c r="C325" i="9"/>
  <c r="C324" i="9"/>
  <c r="C323" i="9"/>
  <c r="C322" i="9"/>
  <c r="C321" i="9"/>
  <c r="C319" i="9"/>
  <c r="C316" i="9"/>
  <c r="C315" i="9"/>
  <c r="C314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7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</calcChain>
</file>

<file path=xl/sharedStrings.xml><?xml version="1.0" encoding="utf-8"?>
<sst xmlns="http://schemas.openxmlformats.org/spreadsheetml/2006/main" count="4882" uniqueCount="2586">
  <si>
    <t>Events</t>
  </si>
  <si>
    <t>SL. No</t>
  </si>
  <si>
    <t>Ancient India</t>
  </si>
  <si>
    <t>Medieval India</t>
  </si>
  <si>
    <t>Modern India</t>
  </si>
  <si>
    <t>World History</t>
  </si>
  <si>
    <t>Indus Valley Civilization</t>
  </si>
  <si>
    <t>Evolution of Jainism and Buddhism</t>
  </si>
  <si>
    <t>The Mauryan Empire</t>
  </si>
  <si>
    <t>Sangam Period (South Indian Dynasties)</t>
  </si>
  <si>
    <t>Struggle for Empire in North India (Afghans, Rajputs, and Mughals)</t>
  </si>
  <si>
    <t>The Establishment of the North Indian Empire</t>
  </si>
  <si>
    <t>State and Government under Akbar</t>
  </si>
  <si>
    <t>The Deccan and the Mughals (Upto 1657)</t>
  </si>
  <si>
    <t>The Mughals' Foreign Policy</t>
  </si>
  <si>
    <t>India During the First Half of the Seventeenth Century</t>
  </si>
  <si>
    <t>Aurangzeb's Reign</t>
  </si>
  <si>
    <t>The Peak and Challenges of the Mughal Empire</t>
  </si>
  <si>
    <t>Society – Structure and Development</t>
  </si>
  <si>
    <t>Economic Patterns and Outlook</t>
  </si>
  <si>
    <t>Religion, Fine Arts, Science, and Technology</t>
  </si>
  <si>
    <t>Northern India During the First Half of the Eighteenth Century</t>
  </si>
  <si>
    <t>The Maratha Quest for Dominance</t>
  </si>
  <si>
    <t>Bhakti and Sufi Movements</t>
  </si>
  <si>
    <t>Regional Cultural Developments</t>
  </si>
  <si>
    <t>Pre-1857 Situation</t>
  </si>
  <si>
    <t>The Indian Rebellion of 1857</t>
  </si>
  <si>
    <t>Early Nationalism</t>
  </si>
  <si>
    <t>The Struggle for Swaraj (Self-Government)</t>
  </si>
  <si>
    <t>Indications of Independence</t>
  </si>
  <si>
    <t>Partition of India</t>
  </si>
  <si>
    <t>Freedom Struggle in India</t>
  </si>
  <si>
    <t>Post-Independence Consolidation</t>
  </si>
  <si>
    <t>Linguistic Regionalism in India</t>
  </si>
  <si>
    <t>Tribal Concerns and Policy Implementation</t>
  </si>
  <si>
    <t>Caste Practices in India</t>
  </si>
  <si>
    <t>Overview of Economic Development Since Independence</t>
  </si>
  <si>
    <t>Communalism and Social Cohesion</t>
  </si>
  <si>
    <t>The Challenge of Linguistic Minorities</t>
  </si>
  <si>
    <t>New Economic Policy</t>
  </si>
  <si>
    <t>Post-Independence Science and Technology Policies</t>
  </si>
  <si>
    <t>Socio-Religious Reform Movements (19th Century)</t>
  </si>
  <si>
    <t>Impact of British Policies on Indian Economy and Society</t>
  </si>
  <si>
    <t>Role of Press and Education in Nationalism</t>
  </si>
  <si>
    <t>The Commencement of the Modern Era</t>
  </si>
  <si>
    <t>The French Revolution</t>
  </si>
  <si>
    <t>Nationalism in Europe</t>
  </si>
  <si>
    <t>The Rise of the United States</t>
  </si>
  <si>
    <t>The Russian Revolution</t>
  </si>
  <si>
    <t>The Period Between the Two World Wars (1919 to 1939)</t>
  </si>
  <si>
    <t>Developments in the Middle East</t>
  </si>
  <si>
    <t>The Cold War</t>
  </si>
  <si>
    <t>The Post-Cold War World</t>
  </si>
  <si>
    <t>Communism, Socialism, and Capitalism</t>
  </si>
  <si>
    <t>Industrial Revolution</t>
  </si>
  <si>
    <t>Decolonization and the Emergence of the Third World</t>
  </si>
  <si>
    <t>Globalization and Its Impact</t>
  </si>
  <si>
    <t>AI</t>
  </si>
  <si>
    <t>WH</t>
  </si>
  <si>
    <t>MoI</t>
  </si>
  <si>
    <t>AI1</t>
  </si>
  <si>
    <t>AI2</t>
  </si>
  <si>
    <t>AI3</t>
  </si>
  <si>
    <t>AI4</t>
  </si>
  <si>
    <t>AI5</t>
  </si>
  <si>
    <t>AI6</t>
  </si>
  <si>
    <t>AI7</t>
  </si>
  <si>
    <t>AI8</t>
  </si>
  <si>
    <t>AI9</t>
  </si>
  <si>
    <t>AI10</t>
  </si>
  <si>
    <t>AI11</t>
  </si>
  <si>
    <t>AI12</t>
  </si>
  <si>
    <t>AI13</t>
  </si>
  <si>
    <t>MeI</t>
  </si>
  <si>
    <t>MeI1</t>
  </si>
  <si>
    <t>MeI2</t>
  </si>
  <si>
    <t>MeI3</t>
  </si>
  <si>
    <t>MeI4</t>
  </si>
  <si>
    <t>MeI5</t>
  </si>
  <si>
    <t>MeI6</t>
  </si>
  <si>
    <t>MeI7</t>
  </si>
  <si>
    <t>MeI8</t>
  </si>
  <si>
    <t>MeI9</t>
  </si>
  <si>
    <t>MeI10</t>
  </si>
  <si>
    <t>MeI11</t>
  </si>
  <si>
    <t>MeI12</t>
  </si>
  <si>
    <t>MeI13</t>
  </si>
  <si>
    <t>MeI14</t>
  </si>
  <si>
    <t>MeI15</t>
  </si>
  <si>
    <t>MeI16</t>
  </si>
  <si>
    <t>MeI17</t>
  </si>
  <si>
    <t>MeI18</t>
  </si>
  <si>
    <t>MeI19</t>
  </si>
  <si>
    <t>MoI1</t>
  </si>
  <si>
    <t>MoI2</t>
  </si>
  <si>
    <t>MoI3</t>
  </si>
  <si>
    <t>MoI4</t>
  </si>
  <si>
    <t>MoI5</t>
  </si>
  <si>
    <t>MoI6</t>
  </si>
  <si>
    <t>MoI7</t>
  </si>
  <si>
    <t>MoI8</t>
  </si>
  <si>
    <t>MoI9</t>
  </si>
  <si>
    <t>MoI10</t>
  </si>
  <si>
    <t>MoI11</t>
  </si>
  <si>
    <t>MoI12</t>
  </si>
  <si>
    <t>MoI13</t>
  </si>
  <si>
    <t>MoI14</t>
  </si>
  <si>
    <t>MoI15</t>
  </si>
  <si>
    <t>MoI16</t>
  </si>
  <si>
    <t>MoI17</t>
  </si>
  <si>
    <t>MoI18</t>
  </si>
  <si>
    <t>MoI19</t>
  </si>
  <si>
    <t>WH1</t>
  </si>
  <si>
    <t>WH2</t>
  </si>
  <si>
    <t>WH3</t>
  </si>
  <si>
    <t>WH4</t>
  </si>
  <si>
    <t>WH5</t>
  </si>
  <si>
    <t>WH6</t>
  </si>
  <si>
    <t>WH7</t>
  </si>
  <si>
    <t>WH8</t>
  </si>
  <si>
    <t>WH9</t>
  </si>
  <si>
    <t>WH10</t>
  </si>
  <si>
    <t>WH11</t>
  </si>
  <si>
    <t>WH12</t>
  </si>
  <si>
    <t>WH13</t>
  </si>
  <si>
    <t>Category No</t>
  </si>
  <si>
    <t>Chapter Name</t>
  </si>
  <si>
    <t>Flow of chapter</t>
  </si>
  <si>
    <t>Chapter List</t>
  </si>
  <si>
    <t>SL.No</t>
  </si>
  <si>
    <t>Timeline</t>
  </si>
  <si>
    <t>Battles</t>
  </si>
  <si>
    <t>Year</t>
  </si>
  <si>
    <t>Characters</t>
  </si>
  <si>
    <t>Geographical Locations</t>
  </si>
  <si>
    <t>Details</t>
  </si>
  <si>
    <t>Name</t>
  </si>
  <si>
    <t>Type</t>
  </si>
  <si>
    <t>Word</t>
  </si>
  <si>
    <t>Meaning</t>
  </si>
  <si>
    <t>Prehistoric Phase of India</t>
  </si>
  <si>
    <t>Stone Age</t>
  </si>
  <si>
    <t>Phases of Stone Age</t>
  </si>
  <si>
    <t>Palaeolithic Age</t>
  </si>
  <si>
    <t>Lower Palaeolithic Age</t>
  </si>
  <si>
    <t>Middle Palaeolithic Age</t>
  </si>
  <si>
    <t>Upper Palaeolithic Age</t>
  </si>
  <si>
    <t>Life in Palaeolithic Age</t>
  </si>
  <si>
    <t>Mesolithic Age</t>
  </si>
  <si>
    <t>Life in Mesolithic Age</t>
  </si>
  <si>
    <t>Neolithic Age</t>
  </si>
  <si>
    <t>Life in Neolithic Age</t>
  </si>
  <si>
    <t>Chalcolithic Age</t>
  </si>
  <si>
    <t>Life in Chalcolithic Age</t>
  </si>
  <si>
    <t>Distribution of Chalcolithic Age</t>
  </si>
  <si>
    <t>Megalithic Age</t>
  </si>
  <si>
    <t>Life in Megalithic Age</t>
  </si>
  <si>
    <t>Decline</t>
  </si>
  <si>
    <t>Event</t>
  </si>
  <si>
    <t>[2,50,000 BC - 1,00,000 BC]</t>
  </si>
  <si>
    <t>[1,00,000 BC - 40,000 BC]</t>
  </si>
  <si>
    <t>[40,000 BC - 10,000 BC]</t>
  </si>
  <si>
    <t>[2,50,000 BC - 10,000 BC]</t>
  </si>
  <si>
    <t>[10,000 BC - 8000 BC]</t>
  </si>
  <si>
    <t>[8000 BC - 4000 BC]</t>
  </si>
  <si>
    <t>[4000 - 1000 BC]</t>
  </si>
  <si>
    <t>Timeline/Events</t>
  </si>
  <si>
    <t>Rig Vedic Period</t>
  </si>
  <si>
    <t>Later Vedic Period</t>
  </si>
  <si>
    <t>A</t>
  </si>
  <si>
    <t>B</t>
  </si>
  <si>
    <t>Timelines</t>
  </si>
  <si>
    <t>C</t>
  </si>
  <si>
    <t>Events [Including Timelines]</t>
  </si>
  <si>
    <t>D</t>
  </si>
  <si>
    <t>E</t>
  </si>
  <si>
    <t>Characters/Titles</t>
  </si>
  <si>
    <t>F</t>
  </si>
  <si>
    <t>Geographical locations</t>
  </si>
  <si>
    <t>G</t>
  </si>
  <si>
    <t>Artifacts/Models /Objects</t>
  </si>
  <si>
    <t>H</t>
  </si>
  <si>
    <t>Word Associations</t>
  </si>
  <si>
    <t>Paleolithic Age</t>
  </si>
  <si>
    <t>Bori, Maharashtra
Chota Nagpur Plateau
Kurnool District, Andhra Pradesh</t>
  </si>
  <si>
    <t>Bagor, Rajasthan
Adamgarh, Madhya Pradhesh</t>
  </si>
  <si>
    <t>Mesolithic Age(Evidence of domestication of animals</t>
  </si>
  <si>
    <t>Mehrgarh - first Neolithic settlement</t>
  </si>
  <si>
    <t xml:space="preserve">Burzahom, Gufkral - Dwelling pits
</t>
  </si>
  <si>
    <t>Bhimbetka - paintings of Paleolithic 
&amp; Mesolithic Age</t>
  </si>
  <si>
    <t>Stone tools, Hand axes, Cleave choppers</t>
  </si>
  <si>
    <t>Objects</t>
  </si>
  <si>
    <t>Lower Paleolithic Age</t>
  </si>
  <si>
    <t>Blades, points &amp; scraper</t>
  </si>
  <si>
    <t>Microliths</t>
  </si>
  <si>
    <t>Tools of Polished Stone</t>
  </si>
  <si>
    <t>Axes with oval sides, pointed bult</t>
  </si>
  <si>
    <t>Pottery</t>
  </si>
  <si>
    <t>Artifacts</t>
  </si>
  <si>
    <t>Black &amp; Red Pottery(first to use painted pottery)</t>
  </si>
  <si>
    <t>Mud Bricks</t>
  </si>
  <si>
    <t>Urns, Graves</t>
  </si>
  <si>
    <t>Terracotta figures of women</t>
  </si>
  <si>
    <t>Bull(Religious Cult)</t>
  </si>
  <si>
    <t>Origin of Indus Valley Civillisation</t>
  </si>
  <si>
    <t>Chronology of events</t>
  </si>
  <si>
    <t>Geographical Distribution</t>
  </si>
  <si>
    <t>Town Planning &amp; Structure
- Planning of House
- Town Planning
- Drainage System
 - Great Bath of Mohenjo Daro</t>
  </si>
  <si>
    <t>Society</t>
  </si>
  <si>
    <t>Administration</t>
  </si>
  <si>
    <t>Economic Life
- Agriculture
- Animal Husbandry, Hunting &amp; Riverine
- Domestication of Animal</t>
  </si>
  <si>
    <t>Trade &amp; Craft - External Trade</t>
  </si>
  <si>
    <t>Political Organisation</t>
  </si>
  <si>
    <t>Social Diferentiation</t>
  </si>
  <si>
    <t>Religious Practices &amp; Beliefs</t>
  </si>
  <si>
    <t>Harappa Script</t>
  </si>
  <si>
    <t>Harappa Inscription</t>
  </si>
  <si>
    <t>Pottery, Seal, Images, Figures</t>
  </si>
  <si>
    <t>IMPORTANT SITES</t>
  </si>
  <si>
    <t>Extra Information</t>
  </si>
  <si>
    <t>[3200 - 2600 BC]</t>
  </si>
  <si>
    <t>[2600 - 1900 BC]</t>
  </si>
  <si>
    <t>[1900 - 1300 BC]</t>
  </si>
  <si>
    <t>Early Harappa</t>
  </si>
  <si>
    <t>Mature Harappa</t>
  </si>
  <si>
    <t>Later Harappa</t>
  </si>
  <si>
    <t>Harappa - Punjab(Pakistan)</t>
  </si>
  <si>
    <t>Dayaram Shani(1921)</t>
  </si>
  <si>
    <t>Mohenjodaro - Sidh(Pakistan)</t>
  </si>
  <si>
    <t>R.D. Banerji</t>
  </si>
  <si>
    <t>Chanu-daro</t>
  </si>
  <si>
    <t>Lothal - Gujarat</t>
  </si>
  <si>
    <t>Kalibagan - Northern Rajasthan</t>
  </si>
  <si>
    <t>Banawali - Hissar district of Haryana</t>
  </si>
  <si>
    <t>Sutkagendor</t>
  </si>
  <si>
    <t>Surkotada</t>
  </si>
  <si>
    <t>Rangpur, Rojdi - Kathiawar penisular in Gujarat</t>
  </si>
  <si>
    <t>Dholavira - Gujarat</t>
  </si>
  <si>
    <t>Koti-Diji - Sindh(Pakistan)</t>
  </si>
  <si>
    <t>Amri - Sindh(Pakistan)</t>
  </si>
  <si>
    <t>Khetri Copper Mines - Rajasthan</t>
  </si>
  <si>
    <t>Copper Mines - Baluchisthan</t>
  </si>
  <si>
    <t>Dilmun - Makan</t>
  </si>
  <si>
    <t>Citadel</t>
  </si>
  <si>
    <t>Great Bath</t>
  </si>
  <si>
    <t>Granaries</t>
  </si>
  <si>
    <t>Burnt Bricks</t>
  </si>
  <si>
    <t>Wooden Ploughshare</t>
  </si>
  <si>
    <t>Terracotta figurine</t>
  </si>
  <si>
    <t>Shell</t>
  </si>
  <si>
    <t>Nageshwar, Balakot</t>
  </si>
  <si>
    <t>Lapis Lazulli</t>
  </si>
  <si>
    <t>Shortughai(Afghanistan)</t>
  </si>
  <si>
    <t>Woven Cotton</t>
  </si>
  <si>
    <t>Mohenjo-daro</t>
  </si>
  <si>
    <t>Beads - carnelian, crystal, copper, gold</t>
  </si>
  <si>
    <t>Wheel carts</t>
  </si>
  <si>
    <t>Priest king</t>
  </si>
  <si>
    <t>Burials</t>
  </si>
  <si>
    <t>Earth Goddess</t>
  </si>
  <si>
    <t>Pasupati Mahadev</t>
  </si>
  <si>
    <t>Phallu worship</t>
  </si>
  <si>
    <t>Undeciphered script</t>
  </si>
  <si>
    <t>Harrapan inscription</t>
  </si>
  <si>
    <t>Red &amp; Black ware pottery</t>
  </si>
  <si>
    <t>Black on Red ware pottery</t>
  </si>
  <si>
    <t>Seals</t>
  </si>
  <si>
    <t>Dancing Woman - Bronze figure</t>
  </si>
  <si>
    <t>Wheat, Barley, Peas, Sesame &amp; Mustard</t>
  </si>
  <si>
    <t>Cerals &amp; Cotton</t>
  </si>
  <si>
    <t>Mohenjo daro</t>
  </si>
  <si>
    <t>Craft Production</t>
  </si>
  <si>
    <t>Ploughed filed</t>
  </si>
  <si>
    <t>Dockyard</t>
  </si>
  <si>
    <t>Lothal</t>
  </si>
  <si>
    <t>Fire altars</t>
  </si>
  <si>
    <t>Lothal, Kalibagan, Banawali</t>
  </si>
  <si>
    <t>Massive fortification</t>
  </si>
  <si>
    <t>Dholavira</t>
  </si>
  <si>
    <t>Large Harrapa Vessel</t>
  </si>
  <si>
    <t>Oman</t>
  </si>
  <si>
    <t>Chanhu-daro</t>
  </si>
  <si>
    <t>Super imposed mud brick structure</t>
  </si>
  <si>
    <t>Mehrgarh</t>
  </si>
  <si>
    <t>Archaeologist who initially discovered Mohenjo-daro site</t>
  </si>
  <si>
    <t>Discovered Harrapa - Punjab(Pakistan)</t>
  </si>
  <si>
    <t>First Director-General of Archaeological Survey of India</t>
  </si>
  <si>
    <t>First professional archaeologist to work in India
Harappan site(loss of valuable information)</t>
  </si>
  <si>
    <t>Origin &amp; Identity</t>
  </si>
  <si>
    <t>Arrivals of Aryans in India</t>
  </si>
  <si>
    <t>Literary Sources to understand arrival, geography, language</t>
  </si>
  <si>
    <t>Tribal Conflict</t>
  </si>
  <si>
    <t>Political Life/Tribal Polity
- Rajan
- Assemblies
- Army</t>
  </si>
  <si>
    <t>Family
- Social Structure
- Family Structure
- Status of Women</t>
  </si>
  <si>
    <t>Economy
- Agriculture
- Pastoralism
- Trade</t>
  </si>
  <si>
    <t>Rig Vedic God
- Rig Vedic Religion
- Modes of Worship</t>
  </si>
  <si>
    <t>[1500 - 1000 BC]</t>
  </si>
  <si>
    <t>Early Vedic Period(Rig Vedic Period)</t>
  </si>
  <si>
    <t>Sambara vs Divodasa =&gt; Divodasa emerged the victory</t>
  </si>
  <si>
    <t>Sambara</t>
  </si>
  <si>
    <t>defeated by Divodasa in the battle</t>
  </si>
  <si>
    <t>Divodasa</t>
  </si>
  <si>
    <t>Bharat clan</t>
  </si>
  <si>
    <t>Sudas</t>
  </si>
  <si>
    <t>Bharat clan, Battle of 10 kings</t>
  </si>
  <si>
    <t>Battle of 10 kings</t>
  </si>
  <si>
    <t>Indra</t>
  </si>
  <si>
    <t>King,warlord</t>
  </si>
  <si>
    <t>Agni</t>
  </si>
  <si>
    <t>God of fire, intermediatary between God &amp; people</t>
  </si>
  <si>
    <t>Varuna</t>
  </si>
  <si>
    <t>God of water, law owner</t>
  </si>
  <si>
    <t>Soma</t>
  </si>
  <si>
    <t>God of plants</t>
  </si>
  <si>
    <t>Aditi</t>
  </si>
  <si>
    <t>Female divinity</t>
  </si>
  <si>
    <t>Usha</t>
  </si>
  <si>
    <t>Apala</t>
  </si>
  <si>
    <t>Gosha</t>
  </si>
  <si>
    <t>Lopamudra</t>
  </si>
  <si>
    <t>Vishwawara</t>
  </si>
  <si>
    <t>Vashistha</t>
  </si>
  <si>
    <t>Vishwamitra</t>
  </si>
  <si>
    <t>Priest</t>
  </si>
  <si>
    <t>Sapt Sindhu - Land of Seven rivers</t>
  </si>
  <si>
    <t>1. Indus - Sindhu
2. Ravi - Parushni
3. Beas - Vipasa/Vyasa
4. Jhelum - Vittaska
5. Chenab - Akshani
6. Sutlej - Shutundri
7. Saraswati - Naditama</t>
  </si>
  <si>
    <t>Ravi/Parushni</t>
  </si>
  <si>
    <t>Battle of 10 kings, Ravi/Parushni</t>
  </si>
  <si>
    <t>Steppes, Eurasia</t>
  </si>
  <si>
    <t>Aryans lived there</t>
  </si>
  <si>
    <t>Khetri Region, Rajasthan</t>
  </si>
  <si>
    <t>Copper</t>
  </si>
  <si>
    <t>Himvant - Himalaya</t>
  </si>
  <si>
    <t>Munjavant - Hindukush</t>
  </si>
  <si>
    <t>Veda</t>
  </si>
  <si>
    <t>Vidya/Knowledge</t>
  </si>
  <si>
    <t>Rig Veda</t>
  </si>
  <si>
    <t>10 Mandalas/books
2nd to 7th - Early
8,9,10th - Later additions</t>
  </si>
  <si>
    <t>Rig Veda Samhita</t>
  </si>
  <si>
    <t>important early vedic source(Manta for natural worship)</t>
  </si>
  <si>
    <t>Samhita</t>
  </si>
  <si>
    <t>Compilation</t>
  </si>
  <si>
    <t>Brahmanas</t>
  </si>
  <si>
    <t>Explanation</t>
  </si>
  <si>
    <t>Aryanaka</t>
  </si>
  <si>
    <t>Conclusion</t>
  </si>
  <si>
    <t>Upanishad</t>
  </si>
  <si>
    <t>Doubts + Discussion, Total 108</t>
  </si>
  <si>
    <t>Samaveda</t>
  </si>
  <si>
    <t>Yajurveda</t>
  </si>
  <si>
    <t>Atharvaveda</t>
  </si>
  <si>
    <t>Musical notions(Later Vedic Period)</t>
  </si>
  <si>
    <t>Ritual Sacrifice(Later Vedic Period)</t>
  </si>
  <si>
    <t>Spells, charms, magical(Later Vedic Period)</t>
  </si>
  <si>
    <t>Smriti literature</t>
  </si>
  <si>
    <t>Text relied on memory</t>
  </si>
  <si>
    <t>Ayas</t>
  </si>
  <si>
    <t>Metal</t>
  </si>
  <si>
    <t>Rita</t>
  </si>
  <si>
    <t>Set of laws which operates the universe
(Varuna = Owner of Rita)</t>
  </si>
  <si>
    <t>Arya</t>
  </si>
  <si>
    <t>to cultivate</t>
  </si>
  <si>
    <t>Aryan</t>
  </si>
  <si>
    <t>Speech group</t>
  </si>
  <si>
    <t>Rajanah
Rajan</t>
  </si>
  <si>
    <t>Head of the tribe</t>
  </si>
  <si>
    <t>Gopa
Gopati</t>
  </si>
  <si>
    <t>Protector of cattle</t>
  </si>
  <si>
    <t>Purohit</t>
  </si>
  <si>
    <t>Senani
Senapati</t>
  </si>
  <si>
    <t>Who leads the battle</t>
  </si>
  <si>
    <t>Vajrapati</t>
  </si>
  <si>
    <t>More share for cattle food</t>
  </si>
  <si>
    <t>Kulapa
Kulapati</t>
  </si>
  <si>
    <t>Head of the family</t>
  </si>
  <si>
    <t>Gramini</t>
  </si>
  <si>
    <t>Head of the village</t>
  </si>
  <si>
    <t>Duta</t>
  </si>
  <si>
    <t>Spies</t>
  </si>
  <si>
    <t>Pani</t>
  </si>
  <si>
    <t>Trader(Baniya)</t>
  </si>
  <si>
    <t>Bramhavadini</t>
  </si>
  <si>
    <t>Women who pursued education &amp; remained unmarried</t>
  </si>
  <si>
    <t>Purandras</t>
  </si>
  <si>
    <t>Breaker of forts,Indra</t>
  </si>
  <si>
    <t>Mamateya</t>
  </si>
  <si>
    <t>Named after mother</t>
  </si>
  <si>
    <t>Aranya</t>
  </si>
  <si>
    <t>Forest</t>
  </si>
  <si>
    <t>Apurushaya</t>
  </si>
  <si>
    <t>Revealed by God, cannot be edited(Vedas)</t>
  </si>
  <si>
    <t>Inter tribal</t>
  </si>
  <si>
    <t>between Aryans</t>
  </si>
  <si>
    <t>Intra tribal</t>
  </si>
  <si>
    <t>between Aryans &amp; non-Aryans</t>
  </si>
  <si>
    <t>Panchajana</t>
  </si>
  <si>
    <t>Five tribes - Yadu | Puru | Druhyu | Truvasha | Anu
*Prominent tribe - Bharat | Tristu</t>
  </si>
  <si>
    <t>Kuru Clan</t>
  </si>
  <si>
    <t>Bharat Clan + Puru Clan</t>
  </si>
  <si>
    <t>Godhuli</t>
  </si>
  <si>
    <t>Dusk</t>
  </si>
  <si>
    <t>Samgava</t>
  </si>
  <si>
    <t>Morning</t>
  </si>
  <si>
    <t>Gojit
Gavala</t>
  </si>
  <si>
    <t>Buffalo</t>
  </si>
  <si>
    <t>Gau</t>
  </si>
  <si>
    <t>Cow</t>
  </si>
  <si>
    <t>Gavishti</t>
  </si>
  <si>
    <t>Insearch of cow | Cattle lifting defence</t>
  </si>
  <si>
    <t>Goshu
Gavya</t>
  </si>
  <si>
    <t>War</t>
  </si>
  <si>
    <t>Gomat</t>
  </si>
  <si>
    <t>Owner of cattle</t>
  </si>
  <si>
    <t>Sabha</t>
  </si>
  <si>
    <t>Elder's meeting</t>
  </si>
  <si>
    <t>Samiti</t>
  </si>
  <si>
    <t>Assembly of all</t>
  </si>
  <si>
    <t>Vidhata</t>
  </si>
  <si>
    <t>Assembly for special purpose</t>
  </si>
  <si>
    <t>Gana</t>
  </si>
  <si>
    <t>Assembly of soilders</t>
  </si>
  <si>
    <t>Bali</t>
  </si>
  <si>
    <t>Donation at will</t>
  </si>
  <si>
    <t>Vap</t>
  </si>
  <si>
    <t>to sow</t>
  </si>
  <si>
    <t>Krishi</t>
  </si>
  <si>
    <t xml:space="preserve">Sita </t>
  </si>
  <si>
    <t>Furrow marks</t>
  </si>
  <si>
    <t>Yava, Danya</t>
  </si>
  <si>
    <t>Cereals</t>
  </si>
  <si>
    <t>Urvajit</t>
  </si>
  <si>
    <t>Fertile land</t>
  </si>
  <si>
    <t>Phala, langala, Sira</t>
  </si>
  <si>
    <t>Plough</t>
  </si>
  <si>
    <t>Dalra, Shrini</t>
  </si>
  <si>
    <t>Sickle</t>
  </si>
  <si>
    <t>Kulisha</t>
  </si>
  <si>
    <t>Axe</t>
  </si>
  <si>
    <t>Khamitra, Khurpi</t>
  </si>
  <si>
    <t>Hoe</t>
  </si>
  <si>
    <t>Niksha</t>
  </si>
  <si>
    <t>piece of gold</t>
  </si>
  <si>
    <t>Nau</t>
  </si>
  <si>
    <t>Boat</t>
  </si>
  <si>
    <t>Patriarchal</t>
  </si>
  <si>
    <t>Male ruled family</t>
  </si>
  <si>
    <t>Patrilineal</t>
  </si>
  <si>
    <t>male lineage</t>
  </si>
  <si>
    <t>Matriarchal</t>
  </si>
  <si>
    <t>female ruled family</t>
  </si>
  <si>
    <t>Matrilineal</t>
  </si>
  <si>
    <t>female lineage</t>
  </si>
  <si>
    <t>Polygamy</t>
  </si>
  <si>
    <t>1 husband + many wives</t>
  </si>
  <si>
    <t>Polyandry</t>
  </si>
  <si>
    <t>1 wife + many husband</t>
  </si>
  <si>
    <t>Swamvar
Swayamvar</t>
  </si>
  <si>
    <t>Woman allowed to choose husband</t>
  </si>
  <si>
    <t>Niyoga</t>
  </si>
  <si>
    <t>procreate a child with another man</t>
  </si>
  <si>
    <t>Dayuhathya</t>
  </si>
  <si>
    <t>slaughter of the dasyu</t>
  </si>
  <si>
    <t>Tradasyu</t>
  </si>
  <si>
    <t>Overpowering of Aryan chief over dasyus</t>
  </si>
  <si>
    <t>Vedangas</t>
  </si>
  <si>
    <t>aid to understand vedas</t>
  </si>
  <si>
    <t>Shiksha</t>
  </si>
  <si>
    <t>proper prayer pronounciation</t>
  </si>
  <si>
    <t>Kalpa</t>
  </si>
  <si>
    <t>appropriate sacrifice behaviour</t>
  </si>
  <si>
    <t>Vyakaran</t>
  </si>
  <si>
    <t>grammar</t>
  </si>
  <si>
    <t>Nirukta</t>
  </si>
  <si>
    <t>etymology(study of words) of vedic terms</t>
  </si>
  <si>
    <t>Chhanda</t>
  </si>
  <si>
    <t>musical recitation norms</t>
  </si>
  <si>
    <t>Jyotish</t>
  </si>
  <si>
    <t>astrology</t>
  </si>
  <si>
    <t>Gotras</t>
  </si>
  <si>
    <t>cattle pen</t>
  </si>
  <si>
    <t>Henotheism</t>
  </si>
  <si>
    <t>Worship of single supreme God</t>
  </si>
  <si>
    <t>Nitya</t>
  </si>
  <si>
    <t>Vedas exisiting is eternal</t>
  </si>
  <si>
    <t>Territotrial Expansion</t>
  </si>
  <si>
    <t>Painted Grey ware - Iron Phase Culture</t>
  </si>
  <si>
    <t>More text + explanations</t>
  </si>
  <si>
    <t>Agriculture(Economy)</t>
  </si>
  <si>
    <t>Town + Lifestyle</t>
  </si>
  <si>
    <t xml:space="preserve">Political organisation
- Assemblies
- Rituals + Sacrifice
- Tax collection </t>
  </si>
  <si>
    <t>Social Organisation
- Position of woman
- Varna system
- Gotra
- Ashrama
- Marriage</t>
  </si>
  <si>
    <t>Religion
- New Gods
- New mode of worship</t>
  </si>
  <si>
    <t>Prominence of Brahmins</t>
  </si>
  <si>
    <t>Reaction against Priestly Dominations</t>
  </si>
  <si>
    <t>[1000 - 600 BC]</t>
  </si>
  <si>
    <t>950 BC</t>
  </si>
  <si>
    <t>Mahabharata war</t>
  </si>
  <si>
    <t>Shreni</t>
  </si>
  <si>
    <t>Guilds</t>
  </si>
  <si>
    <t>Entire North India</t>
  </si>
  <si>
    <t>Aryavrata, Madhyadesha, Dakshinpatha</t>
  </si>
  <si>
    <t>Rivers - Narmada, Sadanira(Gandak), Chambal</t>
  </si>
  <si>
    <t>Painted Grey ware sites - Western UttarPradesh
adjoining areas of Punjab, Haryana &amp; Rajasthan</t>
  </si>
  <si>
    <t>Hastinapur - district of Meerut</t>
  </si>
  <si>
    <t>Janapada - Kuru(Bharat, Puru), Panchala, Kashi</t>
  </si>
  <si>
    <t>Painted Grey Ware, Black red ware, Red ware</t>
  </si>
  <si>
    <t>Gold, Silver</t>
  </si>
  <si>
    <t>Iron</t>
  </si>
  <si>
    <t>Krishna ayas(also known as Shyam ayas) in Sama Veda</t>
  </si>
  <si>
    <t>Coin</t>
  </si>
  <si>
    <t>Samaveda Samhita</t>
  </si>
  <si>
    <t>Yajurveda Samhita</t>
  </si>
  <si>
    <t>Atharvaveda Samhita</t>
  </si>
  <si>
    <t>Composition of series of texts,followed by Vedic Samhitas</t>
  </si>
  <si>
    <t>Bhagdugha</t>
  </si>
  <si>
    <t>Collector of Tax</t>
  </si>
  <si>
    <t>Suta
Sarathi</t>
  </si>
  <si>
    <t>Charioter</t>
  </si>
  <si>
    <t>Khasttri</t>
  </si>
  <si>
    <t>Camberlian</t>
  </si>
  <si>
    <t>Ashavapa</t>
  </si>
  <si>
    <t>Courier</t>
  </si>
  <si>
    <t>Sthapati</t>
  </si>
  <si>
    <t>Administred Outlaying areas</t>
  </si>
  <si>
    <t>Adhikrita</t>
  </si>
  <si>
    <t>Village official</t>
  </si>
  <si>
    <t>Ugras</t>
  </si>
  <si>
    <t>Police official</t>
  </si>
  <si>
    <t>Satapati</t>
  </si>
  <si>
    <t>Head of group of 100 villages</t>
  </si>
  <si>
    <t>Bureaucracy</t>
  </si>
  <si>
    <t>Bramhanas</t>
  </si>
  <si>
    <t>Priests</t>
  </si>
  <si>
    <t>Kshastriyas</t>
  </si>
  <si>
    <t>Rulers</t>
  </si>
  <si>
    <t>Vaishyas</t>
  </si>
  <si>
    <t>Agriculturalist, traders, artisians</t>
  </si>
  <si>
    <t>Shudras</t>
  </si>
  <si>
    <t>Slaves</t>
  </si>
  <si>
    <t>Varna System</t>
  </si>
  <si>
    <t>Purusartha</t>
  </si>
  <si>
    <t>Dharma | Artha | Kama | Moksha</t>
  </si>
  <si>
    <t>Cow pen, cattle tied together</t>
  </si>
  <si>
    <t>Mahishi</t>
  </si>
  <si>
    <t>Queen</t>
  </si>
  <si>
    <t>Yuvraja</t>
  </si>
  <si>
    <t>Crown Price</t>
  </si>
  <si>
    <t>Sarathi</t>
  </si>
  <si>
    <t>Senani</t>
  </si>
  <si>
    <t>General</t>
  </si>
  <si>
    <t>Head of village</t>
  </si>
  <si>
    <t>Kshata
Khasttri</t>
  </si>
  <si>
    <t>Camberlain</t>
  </si>
  <si>
    <t>Sangrahirti</t>
  </si>
  <si>
    <t>Treasurer</t>
  </si>
  <si>
    <t>Akshvapa</t>
  </si>
  <si>
    <t>Palagala</t>
  </si>
  <si>
    <t>Friend of king</t>
  </si>
  <si>
    <t>Govikarta</t>
  </si>
  <si>
    <t>Head of forest department</t>
  </si>
  <si>
    <t>Collections of taxes</t>
  </si>
  <si>
    <t>Brahmin</t>
  </si>
  <si>
    <t>Directs the king regarding offering during sacrifice</t>
  </si>
  <si>
    <t>Adhavarya</t>
  </si>
  <si>
    <t>Arrangement of sacrifice, building of altar(हवन कुंड)</t>
  </si>
  <si>
    <t>Hotri</t>
  </si>
  <si>
    <t>Invocation of mantras during starting of the yagya</t>
  </si>
  <si>
    <t>Udagatri</t>
  </si>
  <si>
    <t>Continious chanitng of mantras during the yagya</t>
  </si>
  <si>
    <t>Bramhacharya</t>
  </si>
  <si>
    <t>Student life [0 - 25 years]</t>
  </si>
  <si>
    <t>Grihastha</t>
  </si>
  <si>
    <t>Family life [25 - 50 years]</t>
  </si>
  <si>
    <t>Vanaprastha</t>
  </si>
  <si>
    <t>Retirement [50 - 75 years]</t>
  </si>
  <si>
    <t>Sanyasa</t>
  </si>
  <si>
    <t>Renunciation [75 - 100 years ]</t>
  </si>
  <si>
    <t>Ashrama System - Jabala Upanishad</t>
  </si>
  <si>
    <t>Garbhadana</t>
  </si>
  <si>
    <t>Having baby in womb</t>
  </si>
  <si>
    <t>Pumsavana</t>
  </si>
  <si>
    <t>3 months of pregnancy</t>
  </si>
  <si>
    <t>Simantonayan</t>
  </si>
  <si>
    <t>6 months of pregnancy</t>
  </si>
  <si>
    <t>Jatakarman</t>
  </si>
  <si>
    <t>Birth of the child</t>
  </si>
  <si>
    <t>Namkaran</t>
  </si>
  <si>
    <t>Name giving ceremony</t>
  </si>
  <si>
    <t>Nishkraman</t>
  </si>
  <si>
    <t>Coming out of the house after 40 days</t>
  </si>
  <si>
    <t>Annaprasanna</t>
  </si>
  <si>
    <t>Solid food feeding</t>
  </si>
  <si>
    <t>Cuda karana</t>
  </si>
  <si>
    <t>Haircut ceremony</t>
  </si>
  <si>
    <t>Kamavedha</t>
  </si>
  <si>
    <t>Ear piercing ceremony</t>
  </si>
  <si>
    <t>Vidyarambha</t>
  </si>
  <si>
    <t>Home/informal education</t>
  </si>
  <si>
    <t>Upanayana</t>
  </si>
  <si>
    <t>Thread ceremony</t>
  </si>
  <si>
    <t>Veda-arambha</t>
  </si>
  <si>
    <t>Starting of vedic education</t>
  </si>
  <si>
    <t>Keshanta(Male)
Ritushuddhi(Female)</t>
  </si>
  <si>
    <t>adoloscene</t>
  </si>
  <si>
    <t>Snataka</t>
  </si>
  <si>
    <t>Graduation ceremony</t>
  </si>
  <si>
    <t>Vivaah</t>
  </si>
  <si>
    <t>Marriage ceremony</t>
  </si>
  <si>
    <t>Antyeshi</t>
  </si>
  <si>
    <t>Death ceremony</t>
  </si>
  <si>
    <t>Samskara - 16 important events</t>
  </si>
  <si>
    <t>Bramha vivah</t>
  </si>
  <si>
    <t>Giving girl to man with dowry</t>
  </si>
  <si>
    <t>Daiva vivah</t>
  </si>
  <si>
    <t>Arsha vivah</t>
  </si>
  <si>
    <t>Giving girl to man after accepting bride price</t>
  </si>
  <si>
    <t>Prajpatya vivah</t>
  </si>
  <si>
    <t>Giving girl to man without demanding bride price to man</t>
  </si>
  <si>
    <t>Gandharva vivah</t>
  </si>
  <si>
    <t>Love marriage</t>
  </si>
  <si>
    <t>Asura vivah</t>
  </si>
  <si>
    <t>Marriage with purchased girl</t>
  </si>
  <si>
    <t>Rakshasa vivah</t>
  </si>
  <si>
    <t>Marriage with daughter of defeated king or kidnapped girl</t>
  </si>
  <si>
    <t>Paischacha vivah</t>
  </si>
  <si>
    <t>Marriage with a girl after seducing her/ raping her</t>
  </si>
  <si>
    <t>Anulom vivah</t>
  </si>
  <si>
    <t>Marriage between groom of higher caste &amp; girl of lower caste</t>
  </si>
  <si>
    <t>Praliom vivah</t>
  </si>
  <si>
    <t>Marriage between groom of lower caste &amp; girl of higher caste</t>
  </si>
  <si>
    <t>Types of marriages</t>
  </si>
  <si>
    <t>Aitareya Brahmana</t>
  </si>
  <si>
    <t>Daughter is a source of misery</t>
  </si>
  <si>
    <t>Prajapati</t>
  </si>
  <si>
    <t>Creator of Universe</t>
  </si>
  <si>
    <t>Vishnu</t>
  </si>
  <si>
    <t>patron god of Aryans</t>
  </si>
  <si>
    <t>Rudra</t>
  </si>
  <si>
    <t>God of animals(shiva)</t>
  </si>
  <si>
    <t>Pushana</t>
  </si>
  <si>
    <t>Shudra's god</t>
  </si>
  <si>
    <t>Laghu yagyans</t>
  </si>
  <si>
    <t>Yagna performed in household</t>
  </si>
  <si>
    <t>Mahayagyas</t>
  </si>
  <si>
    <t>Large scale yagya</t>
  </si>
  <si>
    <t>Rajasuya Yagya</t>
  </si>
  <si>
    <t>king coronation</t>
  </si>
  <si>
    <t>Ashwamedha yagya</t>
  </si>
  <si>
    <t>Horse yagya</t>
  </si>
  <si>
    <t>Agnishtoma</t>
  </si>
  <si>
    <t>Sacrifice of animal dedicated to Agni</t>
  </si>
  <si>
    <t>Vajpeya yagya</t>
  </si>
  <si>
    <t>Drink of strength</t>
  </si>
  <si>
    <t>War booty</t>
  </si>
  <si>
    <t>Enemy military objects captured from war</t>
  </si>
  <si>
    <t>Dakshina</t>
  </si>
  <si>
    <t>Gift</t>
  </si>
  <si>
    <t>Gohna</t>
  </si>
  <si>
    <t>One who feed on cattle</t>
  </si>
  <si>
    <t>Reason behind the rise of heterodox sects
- Economic Factors
- Social Factors
- Political Factors
- Organisation of guilds</t>
  </si>
  <si>
    <t>Jainism
- Origin of Jainism
- Origin of Vardhaman Mahavira
- Seven Fundamental Elements
- Discipline Types
- Five vows of Jainism(Anuvratas)/Panch Mahavratas
- Principles of Jainism as preached by Mahavira
- Doctrines
- Tools to achieve Moksha
- Jain Council(1st &amp; 2nd)
- Spread of Jainism
- Contribution o Jainism
- Decline of Jainism
- Decline of Jainism</t>
  </si>
  <si>
    <t>Buddhism
- Origin of Gautama Buddha
- Four Nobel Truth
- Middle Path(Ashtangika Marga | Noble Eightfold path)
- Triratna
- Buddha's 10 teachings
- Concept of Rebirth(Pati-iccha sammpada)
- Brahma-vihara
- 10 Pramitas(Perfections)
- Buddhist Council(1st, 2nd, 3rd, 4th)
- Buddhist School
- Expansion &amp; Development of Buddhism
- Contribution &amp; Impact of Buddhism
- Decline of Buddhism</t>
  </si>
  <si>
    <t>Ajivikas</t>
  </si>
  <si>
    <t>Charvakas</t>
  </si>
  <si>
    <t>563 BCE</t>
  </si>
  <si>
    <t>Birth of Gautama Buddha</t>
  </si>
  <si>
    <t>540 BCE</t>
  </si>
  <si>
    <t>Birth of Vardhamana Mahavira</t>
  </si>
  <si>
    <t>483 BCE</t>
  </si>
  <si>
    <t>Death of Gautama Buddha</t>
  </si>
  <si>
    <t>468 BCE</t>
  </si>
  <si>
    <t>Death of Vardhamana Mahavira</t>
  </si>
  <si>
    <t>300 BCE</t>
  </si>
  <si>
    <t>1st Jain Council</t>
  </si>
  <si>
    <t>512 BCE</t>
  </si>
  <si>
    <t>2nd Jain Council</t>
  </si>
  <si>
    <t>1st Buddhist Council</t>
  </si>
  <si>
    <t>383 BCE</t>
  </si>
  <si>
    <t>2nd Buddhist Council</t>
  </si>
  <si>
    <t>250 BCE</t>
  </si>
  <si>
    <t>3rd Buddhist Council</t>
  </si>
  <si>
    <t>NA</t>
  </si>
  <si>
    <t>4th Buddhist Council</t>
  </si>
  <si>
    <t>Birth - Janma Kalyanaka</t>
  </si>
  <si>
    <t>Leaving of house - Diksha Kalyanaka</t>
  </si>
  <si>
    <t>Enlightment - Kaivalya/ Kevaljana</t>
  </si>
  <si>
    <t>Death - Nirvana</t>
  </si>
  <si>
    <t>Jainism</t>
  </si>
  <si>
    <t>Birth - Jama</t>
  </si>
  <si>
    <t>Leaving of house - Mahabhinishkraman</t>
  </si>
  <si>
    <t>Enlightment - Nirvana</t>
  </si>
  <si>
    <t>1st Sermon - Dharmachakra Pravartan</t>
  </si>
  <si>
    <t>Death - Mahapariniravana</t>
  </si>
  <si>
    <t>Buddhism</t>
  </si>
  <si>
    <t>Character/Titles</t>
  </si>
  <si>
    <t>Character</t>
  </si>
  <si>
    <t>Giving girl to priest in lieu of his duties(sacrificial fee)</t>
  </si>
  <si>
    <t>Titles</t>
  </si>
  <si>
    <t>Jetthaka</t>
  </si>
  <si>
    <t>guildhead</t>
  </si>
  <si>
    <t>Setthi</t>
  </si>
  <si>
    <t>Banker of guild</t>
  </si>
  <si>
    <t>Gahapati</t>
  </si>
  <si>
    <t>Pesant proprietors</t>
  </si>
  <si>
    <t>Rishabhnath/Rishabdev</t>
  </si>
  <si>
    <r>
      <t xml:space="preserve">1st Tirthankaras </t>
    </r>
    <r>
      <rPr>
        <b/>
        <sz val="11"/>
        <color rgb="FF000000"/>
        <rFont val="Times New Roman"/>
        <family val="1"/>
      </rPr>
      <t>[Symbol = Bull]</t>
    </r>
  </si>
  <si>
    <t>Ajit Nath</t>
  </si>
  <si>
    <r>
      <t xml:space="preserve">2nd Tirthankaras </t>
    </r>
    <r>
      <rPr>
        <b/>
        <sz val="11"/>
        <color rgb="FF000000"/>
        <rFont val="Times New Roman"/>
        <family val="1"/>
      </rPr>
      <t>[Symbol = Elephant]</t>
    </r>
  </si>
  <si>
    <t>Nemi Nath</t>
  </si>
  <si>
    <r>
      <t xml:space="preserve">22nd Tirthankaras </t>
    </r>
    <r>
      <rPr>
        <b/>
        <sz val="11"/>
        <color rgb="FF000000"/>
        <rFont val="Times New Roman"/>
        <family val="1"/>
      </rPr>
      <t>[Symbol = Conch Shell]</t>
    </r>
  </si>
  <si>
    <t>Parshwa Nath</t>
  </si>
  <si>
    <r>
      <t xml:space="preserve">23rd Tirthankaras </t>
    </r>
    <r>
      <rPr>
        <b/>
        <sz val="11"/>
        <color rgb="FF000000"/>
        <rFont val="Times New Roman"/>
        <family val="1"/>
      </rPr>
      <t>[Symbol = Snake]</t>
    </r>
  </si>
  <si>
    <t>Vardhaman Mahavira</t>
  </si>
  <si>
    <r>
      <t xml:space="preserve">Lichchhavi prince, Vajji Sangha, 24th Tirthankaras </t>
    </r>
    <r>
      <rPr>
        <b/>
        <sz val="11"/>
        <color rgb="FF000000"/>
        <rFont val="Times New Roman"/>
        <family val="1"/>
      </rPr>
      <t>[Symbol = Lion]</t>
    </r>
  </si>
  <si>
    <t>Siddhartha</t>
  </si>
  <si>
    <t>Father of Vardhaman Mahavira</t>
  </si>
  <si>
    <t>Trishala</t>
  </si>
  <si>
    <t>Mother of Vardhaman Mahavira
sister of Lichchhavi chief Chetaka, whose daughter married Bimbisara</t>
  </si>
  <si>
    <t>Yashoda</t>
  </si>
  <si>
    <t>Wife of Vardhaman Mahavira</t>
  </si>
  <si>
    <t>Bhadrabahu</t>
  </si>
  <si>
    <t>Leader of Digambara</t>
  </si>
  <si>
    <t>Sthulabhadra</t>
  </si>
  <si>
    <t>Leader of Swetambara</t>
  </si>
  <si>
    <t>Gautama Buddha</t>
  </si>
  <si>
    <t>Sakya clan, Lumbini, Nepal</t>
  </si>
  <si>
    <t>Suddhodhan</t>
  </si>
  <si>
    <t>Father of Gautama Buddha</t>
  </si>
  <si>
    <t>Mahamaya</t>
  </si>
  <si>
    <t>Mother of Gautama Buddha</t>
  </si>
  <si>
    <t>Prajapati Gautami</t>
  </si>
  <si>
    <t>Foster mother of Gautama Buddha</t>
  </si>
  <si>
    <t>Yashodhara</t>
  </si>
  <si>
    <t>Wife of Gautama Buddha</t>
  </si>
  <si>
    <t>Rahul</t>
  </si>
  <si>
    <t>Son of Gautama Buddha</t>
  </si>
  <si>
    <t>Devdutta</t>
  </si>
  <si>
    <t>Cousin of Gautama Buddha</t>
  </si>
  <si>
    <t>Alara Kalana</t>
  </si>
  <si>
    <t>Teacher of Gautama Buddha</t>
  </si>
  <si>
    <t>Uddaka/ Ramputta</t>
  </si>
  <si>
    <t>Sujata</t>
  </si>
  <si>
    <t>Offered milk to Gautama Buddha</t>
  </si>
  <si>
    <t>Ananada</t>
  </si>
  <si>
    <t>Upali</t>
  </si>
  <si>
    <t>Aniruddha</t>
  </si>
  <si>
    <t>Disciple of Gautama Buddha</t>
  </si>
  <si>
    <t>Tirthankaras</t>
  </si>
  <si>
    <t>Supreme spiritual leader of the dharma</t>
  </si>
  <si>
    <t>Mahavira</t>
  </si>
  <si>
    <t>Great hero</t>
  </si>
  <si>
    <t>Jina</t>
  </si>
  <si>
    <t>Conqueror of senses</t>
  </si>
  <si>
    <t>Buddha Tathagat</t>
  </si>
  <si>
    <t>After getting the knowledge (Enlightment)</t>
  </si>
  <si>
    <t>Thera</t>
  </si>
  <si>
    <t>Senior male Buddhist monks</t>
  </si>
  <si>
    <t>Theri</t>
  </si>
  <si>
    <t>Senior femal Buddhist monks</t>
  </si>
  <si>
    <t>Kundagrama, Vaishali</t>
  </si>
  <si>
    <t>Birth place of Vardhaman Mahavira</t>
  </si>
  <si>
    <t>Vipuchak</t>
  </si>
  <si>
    <t>First preaching of Vardhaman Mahavira</t>
  </si>
  <si>
    <t>Pavapuri, Bihar</t>
  </si>
  <si>
    <t>Death of Vardhaman Mahavira(Nirvana)</t>
  </si>
  <si>
    <t>Patliputra</t>
  </si>
  <si>
    <t>Vallabhi, Gujarat</t>
  </si>
  <si>
    <t>Lumbini, Nepal</t>
  </si>
  <si>
    <t>Birth place of Gautama Buddha</t>
  </si>
  <si>
    <t>Rajgir</t>
  </si>
  <si>
    <t>Met Bimbisara</t>
  </si>
  <si>
    <t>Pepal tree,Urevela(Gaya)</t>
  </si>
  <si>
    <t>Niranjana</t>
  </si>
  <si>
    <t>Gautama Buddha took bath here</t>
  </si>
  <si>
    <t>Gautama Buddha's place of enlightment</t>
  </si>
  <si>
    <t>Sarnath</t>
  </si>
  <si>
    <t>1st Sermon</t>
  </si>
  <si>
    <t>Varanashi</t>
  </si>
  <si>
    <t>Establishment of Sangha</t>
  </si>
  <si>
    <t>Kapilavastu</t>
  </si>
  <si>
    <t>own city to get his brother Nanda</t>
  </si>
  <si>
    <t>Vaishali, Licchavi</t>
  </si>
  <si>
    <t>Gautama Buddha's foster mother Prajapati Gautami joined</t>
  </si>
  <si>
    <t>Kosala</t>
  </si>
  <si>
    <t>Gautama Buddha was invited by King Prasanjit</t>
  </si>
  <si>
    <t>Pava, Kushinagar</t>
  </si>
  <si>
    <t>Death of Gautama Buddha(Mahaparinirvana)</t>
  </si>
  <si>
    <t>Rajgriha</t>
  </si>
  <si>
    <t>Vaishali</t>
  </si>
  <si>
    <t>Kashmir</t>
  </si>
  <si>
    <t>Buddhist Text</t>
  </si>
  <si>
    <t>Canonical text(Tripatakas)
Non-canonical text</t>
  </si>
  <si>
    <t>Jiva</t>
  </si>
  <si>
    <t>Soul</t>
  </si>
  <si>
    <t>Ajivaa</t>
  </si>
  <si>
    <t>Body</t>
  </si>
  <si>
    <t>Asarava</t>
  </si>
  <si>
    <t>Inflow of karma</t>
  </si>
  <si>
    <t>Bandha</t>
  </si>
  <si>
    <t>Hurdles</t>
  </si>
  <si>
    <t>Samvara</t>
  </si>
  <si>
    <t>Stopping of inflow of karma</t>
  </si>
  <si>
    <t>Nirjara</t>
  </si>
  <si>
    <t>Moksha</t>
  </si>
  <si>
    <t>Liberation</t>
  </si>
  <si>
    <t>Arhata</t>
  </si>
  <si>
    <t>Upadhaya</t>
  </si>
  <si>
    <t>Teacher</t>
  </si>
  <si>
    <t>Acharya</t>
  </si>
  <si>
    <t>Tirthaankara</t>
  </si>
  <si>
    <t>Guide</t>
  </si>
  <si>
    <t>Getting rid of already existing karma</t>
  </si>
  <si>
    <t>Soul flowing to Nirvana</t>
  </si>
  <si>
    <t>Great disciple</t>
  </si>
  <si>
    <t>Sadhu</t>
  </si>
  <si>
    <t>Universal disciple</t>
  </si>
  <si>
    <t>7 Fundamental elements in Jainism</t>
  </si>
  <si>
    <t>Anekantavada</t>
  </si>
  <si>
    <t>Syadvada</t>
  </si>
  <si>
    <t>Nayayavada</t>
  </si>
  <si>
    <t>Many truth</t>
  </si>
  <si>
    <t>Relative nature of knowledge</t>
  </si>
  <si>
    <t>Reference of knowledge to claim truth</t>
  </si>
  <si>
    <t>Doctrines</t>
  </si>
  <si>
    <t>Ahimsa</t>
  </si>
  <si>
    <t>Non-violence</t>
  </si>
  <si>
    <t>Satya</t>
  </si>
  <si>
    <t>not telling lie</t>
  </si>
  <si>
    <t>Asetya/Acharya</t>
  </si>
  <si>
    <t>No stealing</t>
  </si>
  <si>
    <t>Observe continence</t>
  </si>
  <si>
    <t>Aparigraha</t>
  </si>
  <si>
    <t>No property</t>
  </si>
  <si>
    <t>Samyak Jnana</t>
  </si>
  <si>
    <t>Right knowledge</t>
  </si>
  <si>
    <t>Samyak Darshan</t>
  </si>
  <si>
    <t>Right faith, belief</t>
  </si>
  <si>
    <t>Samyak Charitra</t>
  </si>
  <si>
    <t>Right action</t>
  </si>
  <si>
    <t>Sallekna Vidhi</t>
  </si>
  <si>
    <t>Fasting till death</t>
  </si>
  <si>
    <t>Digambara</t>
  </si>
  <si>
    <t>Swetambara</t>
  </si>
  <si>
    <t>Parivarajak</t>
  </si>
  <si>
    <t>Leaving of house in search of knowledge</t>
  </si>
  <si>
    <t>Sect wearing no cloth(sky is their cloth)</t>
  </si>
  <si>
    <t>White clad</t>
  </si>
  <si>
    <t>Shramana</t>
  </si>
  <si>
    <t>Homeless asthetic</t>
  </si>
  <si>
    <t>Upakaska</t>
  </si>
  <si>
    <t>followers</t>
  </si>
  <si>
    <t>Dharmachakra Pravartana</t>
  </si>
  <si>
    <t>Setting the wheel in motion</t>
  </si>
  <si>
    <t>Dana</t>
  </si>
  <si>
    <t>Giving</t>
  </si>
  <si>
    <t>Sila</t>
  </si>
  <si>
    <t>Morality</t>
  </si>
  <si>
    <t>Nekkhamma</t>
  </si>
  <si>
    <t>Renunciation</t>
  </si>
  <si>
    <t>Panna</t>
  </si>
  <si>
    <t>Wisdom</t>
  </si>
  <si>
    <t>Khanti</t>
  </si>
  <si>
    <t>Patience</t>
  </si>
  <si>
    <t>Sacca</t>
  </si>
  <si>
    <t>Truthfulness</t>
  </si>
  <si>
    <t>Adhittana</t>
  </si>
  <si>
    <t>Determination</t>
  </si>
  <si>
    <t>Upekha</t>
  </si>
  <si>
    <t>Equanimity</t>
  </si>
  <si>
    <t>Virya</t>
  </si>
  <si>
    <t>Energy</t>
  </si>
  <si>
    <t>Metta</t>
  </si>
  <si>
    <t>Kindness</t>
  </si>
  <si>
    <t>10 Pramitas(Perfections)</t>
  </si>
  <si>
    <t>Love</t>
  </si>
  <si>
    <t>Upeksha</t>
  </si>
  <si>
    <t>Mudita</t>
  </si>
  <si>
    <t>Glad for others</t>
  </si>
  <si>
    <t>Karuna</t>
  </si>
  <si>
    <t>Compassion</t>
  </si>
  <si>
    <t>Bramha-vihara</t>
  </si>
  <si>
    <t>Aniccha</t>
  </si>
  <si>
    <t>Everything is temporary</t>
  </si>
  <si>
    <t>Anata</t>
  </si>
  <si>
    <t>No soul</t>
  </si>
  <si>
    <t>Pati-iccha sampada</t>
  </si>
  <si>
    <t>Concept of rebirth</t>
  </si>
  <si>
    <t>Nirvana(Buddhism)</t>
  </si>
  <si>
    <t>Liberation from desire</t>
  </si>
  <si>
    <t>Mahaparinirvana</t>
  </si>
  <si>
    <t>Death, final liberation from cycle</t>
  </si>
  <si>
    <t>Sutta</t>
  </si>
  <si>
    <t>Vinaya</t>
  </si>
  <si>
    <t>Rules</t>
  </si>
  <si>
    <t>Formula</t>
  </si>
  <si>
    <t>Abhi-dhamma</t>
  </si>
  <si>
    <t>Higher teachings of Buddha</t>
  </si>
  <si>
    <t>Pitaka</t>
  </si>
  <si>
    <t>Basket</t>
  </si>
  <si>
    <t>Diggha Nikaya</t>
  </si>
  <si>
    <t>long length teaching</t>
  </si>
  <si>
    <t>Majjihm Nikaya</t>
  </si>
  <si>
    <t>Medium length teaching</t>
  </si>
  <si>
    <t>Angutara Nikaya</t>
  </si>
  <si>
    <t>teaching related to numbers</t>
  </si>
  <si>
    <t>Sanyutta Nikaya</t>
  </si>
  <si>
    <t>topicwise teaching</t>
  </si>
  <si>
    <t>Kuddaka Nikaya</t>
  </si>
  <si>
    <t>Stories, Jataka</t>
  </si>
  <si>
    <t>Sutta Pitaka</t>
  </si>
  <si>
    <t>Sutta Vibhanga</t>
  </si>
  <si>
    <t>Khandaka</t>
  </si>
  <si>
    <t>Parivara</t>
  </si>
  <si>
    <t>Appendix</t>
  </si>
  <si>
    <t>Vinaya Pitaka</t>
  </si>
  <si>
    <t>Patimokkha</t>
  </si>
  <si>
    <t>Rules for monks &amp; nuns</t>
  </si>
  <si>
    <t>Upostha</t>
  </si>
  <si>
    <t>Reciting rules in every 14th day</t>
  </si>
  <si>
    <t>Upasamapada/ Prarajaka</t>
  </si>
  <si>
    <t>Full flegd membership of Sangha</t>
  </si>
  <si>
    <t>Parajika</t>
  </si>
  <si>
    <t>Defeat</t>
  </si>
  <si>
    <t>Hinayana</t>
  </si>
  <si>
    <t>Abandoned vehicle</t>
  </si>
  <si>
    <t>Mahayana</t>
  </si>
  <si>
    <t>Great vehicle</t>
  </si>
  <si>
    <t>Vajrayana</t>
  </si>
  <si>
    <t>Thunderbolt vehicle</t>
  </si>
  <si>
    <t>Utasarpani</t>
  </si>
  <si>
    <t>Cycle of rising</t>
  </si>
  <si>
    <t>Avasarpani</t>
  </si>
  <si>
    <t>Cycle of fall</t>
  </si>
  <si>
    <t>Dhamma</t>
  </si>
  <si>
    <t>Anityavada</t>
  </si>
  <si>
    <t>Action for limited time period</t>
  </si>
  <si>
    <t>Fact, reality</t>
  </si>
  <si>
    <t>Pratityasamutpada</t>
  </si>
  <si>
    <t>Cause &amp; effect concept</t>
  </si>
  <si>
    <t>Paramita</t>
  </si>
  <si>
    <t>Attainment of virtual perfection</t>
  </si>
  <si>
    <t>Anatmavada</t>
  </si>
  <si>
    <t>Challenging existence of soul</t>
  </si>
  <si>
    <t>Sramana</t>
  </si>
  <si>
    <t>Pravrajya</t>
  </si>
  <si>
    <t>Upasampada</t>
  </si>
  <si>
    <t>Nearing to ascetic tradition</t>
  </si>
  <si>
    <t>Seeker, performs act of austerity</t>
  </si>
  <si>
    <t>To go forth</t>
  </si>
  <si>
    <t>Vassa</t>
  </si>
  <si>
    <t>Three month retreat(Thervada)</t>
  </si>
  <si>
    <t>Pavarana</t>
  </si>
  <si>
    <t>Posadha</t>
  </si>
  <si>
    <t>Cleansing of the defiled mind</t>
  </si>
  <si>
    <t>Assembly at the end of Vassa</t>
  </si>
  <si>
    <t>Restoration of vows</t>
  </si>
  <si>
    <t>Worthy one</t>
  </si>
  <si>
    <t>Bodhi</t>
  </si>
  <si>
    <t>Enlightment</t>
  </si>
  <si>
    <t>Factors behind rise of Mahajanapada</t>
  </si>
  <si>
    <t>Republicans of Ancient Age</t>
  </si>
  <si>
    <t>Decline of Republicans</t>
  </si>
  <si>
    <t>Magadha(Rise &amp; Growth of Magadha Empire)
- Military Strength
- Socio cultural strength
- Reason behind Magadha success</t>
  </si>
  <si>
    <t>Haryanaka Dynasty</t>
  </si>
  <si>
    <t>Shisunaga Dynasty</t>
  </si>
  <si>
    <t>Nanda Dynasty</t>
  </si>
  <si>
    <t>Mauryan Dynasty</t>
  </si>
  <si>
    <t>[544 - 412 BC]</t>
  </si>
  <si>
    <t>Haryanka Dynasty</t>
  </si>
  <si>
    <t>[544 - 491 BC]</t>
  </si>
  <si>
    <t>Bimbisara</t>
  </si>
  <si>
    <t>[492 - 460 BC]</t>
  </si>
  <si>
    <t>Ajatsatru</t>
  </si>
  <si>
    <t>[460 - 444 BC]</t>
  </si>
  <si>
    <t>Udayin</t>
  </si>
  <si>
    <t>[437 - 412 BC]</t>
  </si>
  <si>
    <t>Naga Dasak</t>
  </si>
  <si>
    <t>[412 - 344 BC]</t>
  </si>
  <si>
    <t>Shishunaga Dynasty</t>
  </si>
  <si>
    <t>[344 - 323 BC]</t>
  </si>
  <si>
    <t>[322 - 185 BC]</t>
  </si>
  <si>
    <t>[413 - 395 BC]</t>
  </si>
  <si>
    <t>Shishunaga</t>
  </si>
  <si>
    <t>[395 - 377 BC]</t>
  </si>
  <si>
    <t>Kalaashoka</t>
  </si>
  <si>
    <t>[349 - 345 BC]</t>
  </si>
  <si>
    <t>Mahavandin</t>
  </si>
  <si>
    <t>Haryana dynasty, ruler of Magadh</t>
  </si>
  <si>
    <t>Kosaladevi</t>
  </si>
  <si>
    <t>Wife of Bimbisara, sister of Prasanjit</t>
  </si>
  <si>
    <t>Prasanjit</t>
  </si>
  <si>
    <t>Ruler of Kasi</t>
  </si>
  <si>
    <t>Chellana</t>
  </si>
  <si>
    <t>Wife of Bimbisara, Licchavi princess from Vajji Sangha</t>
  </si>
  <si>
    <t>Khema</t>
  </si>
  <si>
    <t>Wife of Bimbisara, princess of Madra clan Punjab</t>
  </si>
  <si>
    <t>Ruler of Magdh, Haryanka dynasty</t>
  </si>
  <si>
    <t>Ruler of Haryanka dynasty</t>
  </si>
  <si>
    <t>Nag-Dask</t>
  </si>
  <si>
    <t>Ruler of Shishunaga dynasty</t>
  </si>
  <si>
    <t>Mahapadma Nanda</t>
  </si>
  <si>
    <t>Ruler of Nanda dynasty</t>
  </si>
  <si>
    <t>Dhana Nanda</t>
  </si>
  <si>
    <t>Anga</t>
  </si>
  <si>
    <t>Champa</t>
  </si>
  <si>
    <t>Assaka/Asmaka</t>
  </si>
  <si>
    <t>Potana/Potali</t>
  </si>
  <si>
    <t>Avanti</t>
  </si>
  <si>
    <t>Ujjain [North]
Mahismati [South]</t>
  </si>
  <si>
    <t>Chetiya/Chedi</t>
  </si>
  <si>
    <t>Sothivati Nagar</t>
  </si>
  <si>
    <t>Gandhara</t>
  </si>
  <si>
    <t>Takshila</t>
  </si>
  <si>
    <t>Kamboja</t>
  </si>
  <si>
    <t>Rajwari</t>
  </si>
  <si>
    <t>Kashi</t>
  </si>
  <si>
    <t>Shravasti [North]
Kushavati [South]
Ayodhya [Center]</t>
  </si>
  <si>
    <t>Kuru</t>
  </si>
  <si>
    <t>Indraprasth</t>
  </si>
  <si>
    <t>Panchal</t>
  </si>
  <si>
    <t>Abhichetra [North]
Kampila [South]</t>
  </si>
  <si>
    <t>Surasena</t>
  </si>
  <si>
    <t>Mathura</t>
  </si>
  <si>
    <t>Matsya</t>
  </si>
  <si>
    <t>Viratnagar</t>
  </si>
  <si>
    <t>Vatsa/Vamsa</t>
  </si>
  <si>
    <t>Kausumbi</t>
  </si>
  <si>
    <t>Malla</t>
  </si>
  <si>
    <t>Pawapuri, Khusinagar</t>
  </si>
  <si>
    <t>Vajji</t>
  </si>
  <si>
    <t>Magadha</t>
  </si>
  <si>
    <t>Rajgriha, Pattliputra</t>
  </si>
  <si>
    <t>Persian/Irani/Archaemenian Invasion</t>
  </si>
  <si>
    <t>Effects of Persian Invasion</t>
  </si>
  <si>
    <t>Greeks/Bactria/Macedonian Invasion</t>
  </si>
  <si>
    <t>Effects of Greek Invasion</t>
  </si>
  <si>
    <t>Accounts(Alexander)
- Society
- Economy
- Religion</t>
  </si>
  <si>
    <t>[558 - 326 BC]</t>
  </si>
  <si>
    <t>Persian invasion</t>
  </si>
  <si>
    <t>[558 - 530 BC]</t>
  </si>
  <si>
    <t>Cyrus</t>
  </si>
  <si>
    <t>[522 - 486 BC]</t>
  </si>
  <si>
    <t>Darius</t>
  </si>
  <si>
    <t>[465 - 456 BC]</t>
  </si>
  <si>
    <t>Xerxes</t>
  </si>
  <si>
    <t>330 BC</t>
  </si>
  <si>
    <t>Darius III defeated by Alexander</t>
  </si>
  <si>
    <t>[356 - 323 BC]</t>
  </si>
  <si>
    <t>Greek Invasion</t>
  </si>
  <si>
    <t>336 BC</t>
  </si>
  <si>
    <t>Alexander became king</t>
  </si>
  <si>
    <t>323 BC</t>
  </si>
  <si>
    <t>Alexander died at Babylon</t>
  </si>
  <si>
    <t>Battle of Arbela =&gt; Darius III &amp; Alexander</t>
  </si>
  <si>
    <t>Battle of Hydaspas =&gt; Porus &amp; Alexander, Porus got defeated</t>
  </si>
  <si>
    <t>Darius III</t>
  </si>
  <si>
    <t>Persian Ruler</t>
  </si>
  <si>
    <t>Philip</t>
  </si>
  <si>
    <t>Macedonia's king, father of Alexander</t>
  </si>
  <si>
    <t>Alexander</t>
  </si>
  <si>
    <t>Macedonia's king</t>
  </si>
  <si>
    <t>Porus</t>
  </si>
  <si>
    <t>Ruled the kingdom between Jhelum &amp; Chenab</t>
  </si>
  <si>
    <t>Ambhi</t>
  </si>
  <si>
    <t>Ruler of Taxila</t>
  </si>
  <si>
    <t>Herodotus</t>
  </si>
  <si>
    <t>Father of history, Greek warrior</t>
  </si>
  <si>
    <t>Taxila</t>
  </si>
  <si>
    <t>Jhelum/Hydaspas</t>
  </si>
  <si>
    <t>Beas river</t>
  </si>
  <si>
    <t>max point to which Alexander reached</t>
  </si>
  <si>
    <t>Persia/ Babylon</t>
  </si>
  <si>
    <t>Macedonia/Greece</t>
  </si>
  <si>
    <t>Iranian coin</t>
  </si>
  <si>
    <t>Monolithic pillars</t>
  </si>
  <si>
    <t>Bell shaped abacus</t>
  </si>
  <si>
    <t>Kharosti script</t>
  </si>
  <si>
    <t>Gandhara school of art</t>
  </si>
  <si>
    <t>Origin of Mauryas</t>
  </si>
  <si>
    <t>Source contributing to understand the Mauryan Dynasty</t>
  </si>
  <si>
    <t>Prominent Mauryan Emperors</t>
  </si>
  <si>
    <t>Chandragupta Maurya
- Origin
- Rise to Power
- Establishment of the Empire</t>
  </si>
  <si>
    <t>Bindusara</t>
  </si>
  <si>
    <t>Ashoka
- Ashoka's edicts
- Impact of the Kalinga war
- Administrative Policies after Kalinga war
- Internal policy &amp; Buddhism
- Ashoka's dhamma
- Teaching of Ashoka
- Ashoka's significance in the history</t>
  </si>
  <si>
    <t>Administrative setup
-Economic Administration
-- Economic control by the state
-- Labour in Agriculture
-- Taxation
- Army
- Other state management(Province level, Village level)</t>
  </si>
  <si>
    <t>Spread of Material culture
- Increased use of Iron
- Art of steel making
- use of burnt bricks &amp; ring wells</t>
  </si>
  <si>
    <t>Decline of Mauryan Empire
- Brahmanical Reaction
- Financial Crisis
- Oppressive Rule</t>
  </si>
  <si>
    <t>Neglect the North-west Frontier &amp; Foreign Invasion</t>
  </si>
  <si>
    <t>Emerge of Shunga dynasty</t>
  </si>
  <si>
    <t>[324 - 300 BC]</t>
  </si>
  <si>
    <t>Reign of Chandragupta Maurya</t>
  </si>
  <si>
    <t>[300 - 273 BC]</t>
  </si>
  <si>
    <t>Reign of Bindusara</t>
  </si>
  <si>
    <t>[273 - 232 BC]</t>
  </si>
  <si>
    <t>Reign of Ashoka</t>
  </si>
  <si>
    <t>Battle against Kalinga by Ashoka</t>
  </si>
  <si>
    <t>Chandragupta Maurya</t>
  </si>
  <si>
    <t>Sandrocottas - called by Greeks</t>
  </si>
  <si>
    <t>Selucus Nikator</t>
  </si>
  <si>
    <t>Dhananand</t>
  </si>
  <si>
    <t>Megasthenes</t>
  </si>
  <si>
    <t xml:space="preserve">Greek ambasador during the reign of Chandragupta </t>
  </si>
  <si>
    <t>Deimachus</t>
  </si>
  <si>
    <t>Greek ambasador during the reign of Bindusara</t>
  </si>
  <si>
    <t>Amitrashata</t>
  </si>
  <si>
    <t>Amitrochates</t>
  </si>
  <si>
    <t>Slayer of foes ( Name given to Bindusara)</t>
  </si>
  <si>
    <t>in Greek sources ( Name given to Bindusara)</t>
  </si>
  <si>
    <t>Antiochus</t>
  </si>
  <si>
    <t>King of Syria, friendly relation with Bindusara</t>
  </si>
  <si>
    <t>Makhali Goshala</t>
  </si>
  <si>
    <t>founder of Ajivika Sect</t>
  </si>
  <si>
    <t>Sushima</t>
  </si>
  <si>
    <t>elder son of Bindusara</t>
  </si>
  <si>
    <t>Ashoka</t>
  </si>
  <si>
    <t># James Princep</t>
  </si>
  <si>
    <t>British Archeologist, deciphered Ashoka's inscription in 1837</t>
  </si>
  <si>
    <t># R.D. Banaerji</t>
  </si>
  <si>
    <t># Dayaram Shani</t>
  </si>
  <si>
    <t># Alexander Cunnigham</t>
  </si>
  <si>
    <t># John Marshall</t>
  </si>
  <si>
    <t>Amatya</t>
  </si>
  <si>
    <t>Minister</t>
  </si>
  <si>
    <t>Maha amatya</t>
  </si>
  <si>
    <t>Senior Minister</t>
  </si>
  <si>
    <t>Senapati</t>
  </si>
  <si>
    <t>Royal Priest</t>
  </si>
  <si>
    <t>King's elder son</t>
  </si>
  <si>
    <t>Mantri parishad adhyaksha
(High Ranking officer)</t>
  </si>
  <si>
    <t>Samaharti</t>
  </si>
  <si>
    <t>Sannidhatha</t>
  </si>
  <si>
    <t>Tax collector</t>
  </si>
  <si>
    <t>At central level</t>
  </si>
  <si>
    <t>Antarvamiska</t>
  </si>
  <si>
    <t>Chief of palace attendant</t>
  </si>
  <si>
    <t>Sitaadhyaksha</t>
  </si>
  <si>
    <t>Navaadhyasha</t>
  </si>
  <si>
    <t>Lohaadhyasha</t>
  </si>
  <si>
    <t>Pauthavadhyaksha</t>
  </si>
  <si>
    <t>Superintendent of agriculture</t>
  </si>
  <si>
    <t>Superintendent of ships</t>
  </si>
  <si>
    <t>Superintendent of irons</t>
  </si>
  <si>
    <t>Superintentdent of weights &amp; measures ( Ministry of commerce)</t>
  </si>
  <si>
    <t>Akaradhyaksha</t>
  </si>
  <si>
    <t>Superintentdent of mines</t>
  </si>
  <si>
    <t>Vjavharika Mahamatta</t>
  </si>
  <si>
    <t>Judiciary officer</t>
  </si>
  <si>
    <t>Pulisanj</t>
  </si>
  <si>
    <t>Public relation officer(Birth, Death, Foreign record)</t>
  </si>
  <si>
    <t>Antapala</t>
  </si>
  <si>
    <t>Soilders guarding the frontier</t>
  </si>
  <si>
    <t>Rajuk</t>
  </si>
  <si>
    <t>Measure land records</t>
  </si>
  <si>
    <t>Yukta</t>
  </si>
  <si>
    <t>Collects tax from land occupied</t>
  </si>
  <si>
    <t>At local level</t>
  </si>
  <si>
    <t>Pradeshika</t>
  </si>
  <si>
    <t>Head of district</t>
  </si>
  <si>
    <t>Gramik/Graminik</t>
  </si>
  <si>
    <t>Village head</t>
  </si>
  <si>
    <t>Gopa</t>
  </si>
  <si>
    <t>Head of group of villages</t>
  </si>
  <si>
    <t>Mahamatya prasarpa</t>
  </si>
  <si>
    <t>Head of spy department</t>
  </si>
  <si>
    <t>Sansthana</t>
  </si>
  <si>
    <t>Stationary</t>
  </si>
  <si>
    <t>Sanchari</t>
  </si>
  <si>
    <t>Wanderer</t>
  </si>
  <si>
    <t>Gudhapurushas</t>
  </si>
  <si>
    <t>Detective/secret agent</t>
  </si>
  <si>
    <t>Vishakanyas</t>
  </si>
  <si>
    <t>Poisonous girl</t>
  </si>
  <si>
    <t>Spy</t>
  </si>
  <si>
    <t>Panadhyaksha</t>
  </si>
  <si>
    <t>Incharge of trade</t>
  </si>
  <si>
    <t>Sansthadyaksha</t>
  </si>
  <si>
    <t>Incharge of market</t>
  </si>
  <si>
    <t>Rupadhayaksha/ Rupadarshak</t>
  </si>
  <si>
    <t>Inspector of coin</t>
  </si>
  <si>
    <t>Pautadhyaksha</t>
  </si>
  <si>
    <t>Incharge of weight &amp; measures</t>
  </si>
  <si>
    <t>Pindkara</t>
  </si>
  <si>
    <t>Tax collector from a village</t>
  </si>
  <si>
    <t>Dharmesthas</t>
  </si>
  <si>
    <t>Judge</t>
  </si>
  <si>
    <t>Ministers in economy</t>
  </si>
  <si>
    <t>Patliputra(Patna, Bihar)</t>
  </si>
  <si>
    <t>Ujjain</t>
  </si>
  <si>
    <t>Kalinga</t>
  </si>
  <si>
    <t>Uttarpath - Northern Province</t>
  </si>
  <si>
    <t>Swarnagiri</t>
  </si>
  <si>
    <t>Dakshinpath - Southern Province</t>
  </si>
  <si>
    <t>Avantipath - Western Province</t>
  </si>
  <si>
    <t>Kalinga/Toshali</t>
  </si>
  <si>
    <t>Prachyapatha - Eastern Province</t>
  </si>
  <si>
    <t>Magadha - Central Province</t>
  </si>
  <si>
    <t># Edicts of Ashoka - all locations</t>
  </si>
  <si>
    <t>Digha Nikaya(Cannonical text)</t>
  </si>
  <si>
    <t>Buddhist text</t>
  </si>
  <si>
    <t>Mahavamsa (Non-canonical text)</t>
  </si>
  <si>
    <t>Divya vandana (Non-canonical text)</t>
  </si>
  <si>
    <t>Dipavamsa (Non-canonical text)</t>
  </si>
  <si>
    <t>Buddhist text - collections of Buddhist stories</t>
  </si>
  <si>
    <t>Jain text</t>
  </si>
  <si>
    <t>Parishisthaparvam (Non-canonical)</t>
  </si>
  <si>
    <t>Mudrarakshash</t>
  </si>
  <si>
    <t>Written by Vishakhadutta</t>
  </si>
  <si>
    <t>Patanjali's Mahabhasya</t>
  </si>
  <si>
    <t>Arthashastra</t>
  </si>
  <si>
    <t>Written by Chanakya</t>
  </si>
  <si>
    <t>Indica</t>
  </si>
  <si>
    <t>Major rock edicts</t>
  </si>
  <si>
    <t>Pillar edicts</t>
  </si>
  <si>
    <t>Minor rock edicts</t>
  </si>
  <si>
    <t>Written by Megasthenes</t>
  </si>
  <si>
    <t>Shunga Dynasty</t>
  </si>
  <si>
    <t>Kanvas Dynasty</t>
  </si>
  <si>
    <t>Indo-Greek Invasion</t>
  </si>
  <si>
    <t>Indo-Synthians/Shakas</t>
  </si>
  <si>
    <t>Kushans Dynasty</t>
  </si>
  <si>
    <t>Satvahanas Dynasty</t>
  </si>
  <si>
    <t>Vakatakas Dynasty</t>
  </si>
  <si>
    <t>Guptas Dynasty</t>
  </si>
  <si>
    <t>Vardhanas Dynasty</t>
  </si>
  <si>
    <t xml:space="preserve">~ Administraion </t>
  </si>
  <si>
    <t>~ Society</t>
  </si>
  <si>
    <t>~ Religion</t>
  </si>
  <si>
    <t>~ Feudal System
- Drwabacks of Feudal System</t>
  </si>
  <si>
    <t>[185 - 75 BC ]</t>
  </si>
  <si>
    <t>[85 BC - 10 CE]</t>
  </si>
  <si>
    <t>[90 BC - 400 CE]</t>
  </si>
  <si>
    <t>[45 - 350 CE]</t>
  </si>
  <si>
    <t>[ 30 BC - 250 CE]</t>
  </si>
  <si>
    <t>[250 - 500 CE]</t>
  </si>
  <si>
    <t>[320 - 543 CE]</t>
  </si>
  <si>
    <t>[500 - 647 CE]</t>
  </si>
  <si>
    <t>Pushyamitra Sungha conducted vedic sacrifices likeAswamedha, Rajasuya &amp; Vajpeya</t>
  </si>
  <si>
    <t>Pushyamitra Sungha died</t>
  </si>
  <si>
    <t>151 BC</t>
  </si>
  <si>
    <t>[149 - 141 BC]</t>
  </si>
  <si>
    <t>Agnimitra ruled</t>
  </si>
  <si>
    <t>Last Shunga ruler, Devabhuti got killed by Vasudeva Kanva</t>
  </si>
  <si>
    <t>73 BC</t>
  </si>
  <si>
    <t>Vasumita Sungha fought against Indo - Greeks</t>
  </si>
  <si>
    <t>Devabhuti, last Shunga ruler fought against Kalinga king Kharavela</t>
  </si>
  <si>
    <t>Pushyamita Shunga</t>
  </si>
  <si>
    <t>Founder of Shunga Dynasty</t>
  </si>
  <si>
    <t>Patanjali</t>
  </si>
  <si>
    <t>Founder of Yoga philosophy</t>
  </si>
  <si>
    <t>Agnimitra Shunga</t>
  </si>
  <si>
    <t>Vasumita Shunga</t>
  </si>
  <si>
    <t>Devabhuti</t>
  </si>
  <si>
    <t>Last Shunga Dynasty ruler, preceded by Bhagabhadra</t>
  </si>
  <si>
    <t>Heliodorous</t>
  </si>
  <si>
    <t>Greek Ambassador</t>
  </si>
  <si>
    <t>Capital during the reign of Pushyamitra Shunga</t>
  </si>
  <si>
    <t>Besnagar(Vidisha, Madhya Pradesh)</t>
  </si>
  <si>
    <t>Capital during the reign of Bhagabhadra</t>
  </si>
  <si>
    <t>Kingdom extended to Narmada river in the south</t>
  </si>
  <si>
    <t>Mahabhasya(Sanskrit grammar)</t>
  </si>
  <si>
    <t>Written by Patanjali</t>
  </si>
  <si>
    <t>Malavikagnimitram</t>
  </si>
  <si>
    <t>Kalidasa's poem on Agnimitra</t>
  </si>
  <si>
    <t>Besnagar pillar inscription(Garud pillar dedicated to Lord Vishnu)</t>
  </si>
  <si>
    <t>Dedicated by Heliodorus - Greek ambassador
Script: Brahmi
Language: Prakrit</t>
  </si>
  <si>
    <t>[75 - 30 BC] / [73 - 28 BC]</t>
  </si>
  <si>
    <t>Vasudeva Kanva</t>
  </si>
  <si>
    <t>Founder of Kanva Dynasty, considered lineage of Rishi Kanva</t>
  </si>
  <si>
    <t>Susharman</t>
  </si>
  <si>
    <t>Last Kanva Dynasty ruler</t>
  </si>
  <si>
    <t>Kanva Dynasty</t>
  </si>
  <si>
    <t>Menander(Milanda)</t>
  </si>
  <si>
    <t>Famous Indo-Greek ruler</t>
  </si>
  <si>
    <t>[165 - 145 BC]</t>
  </si>
  <si>
    <t>Menander reign</t>
  </si>
  <si>
    <t>Nagasena(Nagarjuna)</t>
  </si>
  <si>
    <t>Buddhist Monk</t>
  </si>
  <si>
    <t>Sagala/Sakala/Sialkot(Punjab)</t>
  </si>
  <si>
    <t>Capital of Indo-Greek</t>
  </si>
  <si>
    <t>Indo-Greek invaded Ganga - Yamuna doab</t>
  </si>
  <si>
    <t>Die-stuck coin</t>
  </si>
  <si>
    <t>1st to use gold coin</t>
  </si>
  <si>
    <t>Milinda Panho(The questions of Milinda)</t>
  </si>
  <si>
    <t>Non-canonical Buddhist text, Pali text</t>
  </si>
  <si>
    <t>Indo-Greek were first to bring theaters</t>
  </si>
  <si>
    <t>Yavanika</t>
  </si>
  <si>
    <t>Curtains(used in theaters)</t>
  </si>
  <si>
    <t>Yavana</t>
  </si>
  <si>
    <t>terms used to refer Greeks</t>
  </si>
  <si>
    <t>Sutradhar</t>
  </si>
  <si>
    <t>narrator of the play</t>
  </si>
  <si>
    <t>Nepathya</t>
  </si>
  <si>
    <t>Backstage</t>
  </si>
  <si>
    <t>Horoscope</t>
  </si>
  <si>
    <t>Astrology(Greek term)
Horashastra(Indian term)</t>
  </si>
  <si>
    <t>Battle between Shakas &amp; Vikramaditya, Vikaramaditya won the battle</t>
  </si>
  <si>
    <t>Maues</t>
  </si>
  <si>
    <t>Founder of Shakas ruler in India</t>
  </si>
  <si>
    <t>Azes</t>
  </si>
  <si>
    <t>Son of Maues</t>
  </si>
  <si>
    <t>Rudradaman</t>
  </si>
  <si>
    <t>Shakas ruler</t>
  </si>
  <si>
    <t>12 Ratnis by 
Satapata Brahmana</t>
  </si>
  <si>
    <t>Western Satrap</t>
  </si>
  <si>
    <t>Junagardh, Girnar - Sudarshan Lake</t>
  </si>
  <si>
    <t>Vikram Samvat</t>
  </si>
  <si>
    <t>57/58 BC (older than Gregorian calendar)</t>
  </si>
  <si>
    <t>Luni solar</t>
  </si>
  <si>
    <t>Calendar based on sun &amp; moon motion</t>
  </si>
  <si>
    <t>Junagardh inscription</t>
  </si>
  <si>
    <t>FIRST EVER LONG INSCRIPTION
Script: Brahmi
Language: Sanskrit</t>
  </si>
  <si>
    <t>4th Buddhist Council - at Kudakvana, Kashmir</t>
  </si>
  <si>
    <t>Kujula Kadphasis</t>
  </si>
  <si>
    <t>Founder of Kushan Dynasty</t>
  </si>
  <si>
    <t>Vima Kadphasis</t>
  </si>
  <si>
    <t>Son of Kujala Kadphasis</t>
  </si>
  <si>
    <t>Kanishka</t>
  </si>
  <si>
    <t>Son of Vima Kadphasis</t>
  </si>
  <si>
    <t>Vasumitra</t>
  </si>
  <si>
    <t>President of 4th Buddhist Council</t>
  </si>
  <si>
    <t>Ashwagosha</t>
  </si>
  <si>
    <t>Writer of Buddha's biography - Buddhacharitra</t>
  </si>
  <si>
    <t>Nagarjuna</t>
  </si>
  <si>
    <t>Started Buddhist school</t>
  </si>
  <si>
    <t>Charaka</t>
  </si>
  <si>
    <t>A physicist</t>
  </si>
  <si>
    <t>Mathura(UP, India)</t>
  </si>
  <si>
    <t>Begram(Afghanistan)</t>
  </si>
  <si>
    <t>Peshawara(Pakistan)</t>
  </si>
  <si>
    <t>Capital of Kushans Dynasty #1</t>
  </si>
  <si>
    <t>Capital of Kushans Dynasty #2</t>
  </si>
  <si>
    <t>Capital of Kushans Dynasty #3</t>
  </si>
  <si>
    <t># Popular trade centers</t>
  </si>
  <si>
    <t># Market Towns</t>
  </si>
  <si>
    <t>Silk route</t>
  </si>
  <si>
    <t>Gandhar &amp; Mathura school of Arts</t>
  </si>
  <si>
    <t>Buddhacharita</t>
  </si>
  <si>
    <t>Written by Ashwagosha</t>
  </si>
  <si>
    <t>Charak Samhita</t>
  </si>
  <si>
    <t>Saka Calendar</t>
  </si>
  <si>
    <t>Sreshthi</t>
  </si>
  <si>
    <t>Head of Shreni(Sethji)</t>
  </si>
  <si>
    <t>Vratya Kshatriya</t>
  </si>
  <si>
    <t>Impure Kings</t>
  </si>
  <si>
    <t>Chandal</t>
  </si>
  <si>
    <t>Outcast</t>
  </si>
  <si>
    <t>Apapatra</t>
  </si>
  <si>
    <t>Food served on ground not on plate</t>
  </si>
  <si>
    <t>Stridhana</t>
  </si>
  <si>
    <t>Gifts,jewellery from parents, in-laws</t>
  </si>
  <si>
    <t>Surkhi</t>
  </si>
  <si>
    <t>Cement Agent</t>
  </si>
  <si>
    <t>High status girl (Inter varna marriage)</t>
  </si>
  <si>
    <t>Pratilom vivah</t>
  </si>
  <si>
    <t>High status boy (Inter varna marriage)</t>
  </si>
  <si>
    <t>Battle between Sri Satakarni &amp; Kalinga's king Kharavela</t>
  </si>
  <si>
    <t>Title given to Satvahanas Dynasty also known as Andhra Dynasty</t>
  </si>
  <si>
    <t>Simukha/Sisukha/Sindhuka</t>
  </si>
  <si>
    <t>Founder of Satvahanas Dynasty</t>
  </si>
  <si>
    <t>Sri Satakarni</t>
  </si>
  <si>
    <t>Ruler during Satvahanas Dynasty</t>
  </si>
  <si>
    <t>Nayanika</t>
  </si>
  <si>
    <t>Wife of Sri Satakarni</t>
  </si>
  <si>
    <t>Gautami Putra Satkarmi</t>
  </si>
  <si>
    <t>Gautami Balashree</t>
  </si>
  <si>
    <t>Mother of Gautami Putra Satkarmi</t>
  </si>
  <si>
    <t>Kharavela</t>
  </si>
  <si>
    <t>Pratishtana (present day Paithan)</t>
  </si>
  <si>
    <t>Capital of Satvahanas Dynasty</t>
  </si>
  <si>
    <t>Dharnikota (Krishna river)</t>
  </si>
  <si>
    <t>Another capital of Satvahanas Dynasty</t>
  </si>
  <si>
    <t>Amravati</t>
  </si>
  <si>
    <t>Nagarjunkonda</t>
  </si>
  <si>
    <t>Art &amp; Culture place</t>
  </si>
  <si>
    <t>Naneghat inscription(present at present day Nasik)</t>
  </si>
  <si>
    <t>Kanha/Krishna</t>
  </si>
  <si>
    <t>Ruler during Satvahanas Dynasty, Brother of Simukha</t>
  </si>
  <si>
    <t>Tri-samudra-pigatoh-yavanaha</t>
  </si>
  <si>
    <t>Saka-yavana-pallava-nisudana</t>
  </si>
  <si>
    <t>destroyer of Saka, Yavana, and Pallava power</t>
  </si>
  <si>
    <t>Ekbrahaman</t>
  </si>
  <si>
    <t>A brahmin + patron of brahmin</t>
  </si>
  <si>
    <t>Vashishtiputra Pulmaiyi</t>
  </si>
  <si>
    <t>Ruler during Satvahanas Dynasty, Son of Gautami Putra Satkarni</t>
  </si>
  <si>
    <t>Vashishtiputra Satakarni</t>
  </si>
  <si>
    <t>Yagyashri Satkarni</t>
  </si>
  <si>
    <t>Hala</t>
  </si>
  <si>
    <t>Sarva Varma</t>
  </si>
  <si>
    <t>Minister during the reign of Hala &amp; also a good writer</t>
  </si>
  <si>
    <t>Book</t>
  </si>
  <si>
    <t>Writtern by Hala, Prakrit language</t>
  </si>
  <si>
    <t>Katantra Vyakarana</t>
  </si>
  <si>
    <t>Written by Sarva varma</t>
  </si>
  <si>
    <t>Kavi vatsala</t>
  </si>
  <si>
    <t>Group of poets maintained by Hala</t>
  </si>
  <si>
    <t>Lead coin with boat marks</t>
  </si>
  <si>
    <t>By Vashishtiputra Pulmaiyi</t>
  </si>
  <si>
    <t>17th ruler during Satvahanas Dynasty, also a good writer</t>
  </si>
  <si>
    <t>Kushans Dynasty
- Origin (Sources)
- Rulers
- Administration
  - King
  - Ministers
  - Feudal System
  - District level management
- Religion
- Society
- Economy
- #Bonus - Kharavela</t>
  </si>
  <si>
    <t>Lord of Dakshinpath</t>
  </si>
  <si>
    <t>Title given to Sri Satakarni - Naneghat Inscription(Prashasti)</t>
  </si>
  <si>
    <t>Gatha Saptasati | Gathasattasai</t>
  </si>
  <si>
    <t>Brihat Katha</t>
  </si>
  <si>
    <t>Written by Prakrit poet Gunadya</t>
  </si>
  <si>
    <t>Gunadya</t>
  </si>
  <si>
    <t>Prakrit poet, written Brihat Katha</t>
  </si>
  <si>
    <t>Gaulmika</t>
  </si>
  <si>
    <t>head of village level province</t>
  </si>
  <si>
    <t>Raja</t>
  </si>
  <si>
    <t>High grade officer/ feudal lord</t>
  </si>
  <si>
    <t>Mahabhoja</t>
  </si>
  <si>
    <t>feudal lord of Western Deccan</t>
  </si>
  <si>
    <t>Senapati/ Maharathi</t>
  </si>
  <si>
    <t>feudal lord who maintains an army with territory administration</t>
  </si>
  <si>
    <t>Mahamatta</t>
  </si>
  <si>
    <t>head of district level province</t>
  </si>
  <si>
    <t>Vparakshita</t>
  </si>
  <si>
    <t>Duty of building/ cutting caves for the monks</t>
  </si>
  <si>
    <t>Karimnagar(District in Andhra Pradesh)</t>
  </si>
  <si>
    <t>Satvahana coins, burnt bricks &amp; roof tiles, ring wells, Sickels were found</t>
  </si>
  <si>
    <t>Peddabankur</t>
  </si>
  <si>
    <t>Place near Karimnagar where similar things were found</t>
  </si>
  <si>
    <t>Ahara</t>
  </si>
  <si>
    <t>Districts were known as</t>
  </si>
  <si>
    <t>Saptamatrika cults</t>
  </si>
  <si>
    <t>Cult of 7 mother(Tantric schools of Hinduism)</t>
  </si>
  <si>
    <t>Lajja Gouri</t>
  </si>
  <si>
    <t>Symbol of fertility(Tantric schools of Hinduism)</t>
  </si>
  <si>
    <t>Gandhika</t>
  </si>
  <si>
    <t>Perfumers</t>
  </si>
  <si>
    <t>Soni</t>
  </si>
  <si>
    <t>Kumhar</t>
  </si>
  <si>
    <t>Pot making occupation</t>
  </si>
  <si>
    <t>Goldsmith occupation</t>
  </si>
  <si>
    <t>Hatthigumpha inscription</t>
  </si>
  <si>
    <t>Place</t>
  </si>
  <si>
    <t>Udayagiri hills</t>
  </si>
  <si>
    <t>the ruler whose subjects drank the water of 
the three eastern, western, and southern seas</t>
  </si>
  <si>
    <t>Andhra</t>
  </si>
  <si>
    <t>Ruler during Satvahanas Dynasty,
defeated the Shakas ruler Rudradaman &amp; married his daughter</t>
  </si>
  <si>
    <t>Nayanika wife of Sri Satakarni, 
describes about her husband's achivements on the inscription</t>
  </si>
  <si>
    <t>Kalinga's King, Chedi dynasty/ Mahameghavahana dynasty</t>
  </si>
  <si>
    <t>Kudepasiri</t>
  </si>
  <si>
    <t>Successor of Kharavela</t>
  </si>
  <si>
    <t>Sangam Literature</t>
  </si>
  <si>
    <t>Complete composition of all Tamil poet work</t>
  </si>
  <si>
    <t>Vendagam hills</t>
  </si>
  <si>
    <t>Southern tip of India, lies the kingdom mentioned in the Sangam age</t>
  </si>
  <si>
    <t>Cholas Kingdom</t>
  </si>
  <si>
    <t>Madurai</t>
  </si>
  <si>
    <t>Tamilakam</t>
  </si>
  <si>
    <t>Land of the tamils</t>
  </si>
  <si>
    <t>Cheras Kingdom(Kerla putra)</t>
  </si>
  <si>
    <t>Port: Puhar/ Kaveripumpatinam
River: Palar, Pennar, Kaveri</t>
  </si>
  <si>
    <t>Capital of Cheras Kingdom(Kerla putra)</t>
  </si>
  <si>
    <t>Capital of Cholas Kingdom</t>
  </si>
  <si>
    <t>Introduction to Sangam Literature</t>
  </si>
  <si>
    <t>Dynasty on the basis of Sangam Literature
- Cheras/Kerelaputra
- Cholas
- Pandyas</t>
  </si>
  <si>
    <t>South India History
- Stone Age
- Megalithic Builders
- Sangam Age</t>
  </si>
  <si>
    <t>Sangam Literature
- 1st Sangam
- 2nd Sangam
- 3rd Sangam
- All literary works</t>
  </si>
  <si>
    <t>~ Society
- Material Culture
- Varna System
- Kuti
- Ananku
 - Warrior Ethics
- Funerary Practices
- Women
- Dwelling space</t>
  </si>
  <si>
    <t>Economy
- Agriculture
- Craft</t>
  </si>
  <si>
    <t>[300 BCE - 300 CE]</t>
  </si>
  <si>
    <t>Sangam Age</t>
  </si>
  <si>
    <t>[200 CE]</t>
  </si>
  <si>
    <t>Cheran Senguttuvan, Cheras's king</t>
  </si>
  <si>
    <t>500 CE</t>
  </si>
  <si>
    <t>Silapadikaram</t>
  </si>
  <si>
    <t>400 BCE</t>
  </si>
  <si>
    <t>Megalithic Builders(Pre history)</t>
  </si>
  <si>
    <t>Battle of Venni =&gt; Karikala, Cholas king VS Cheras, Pandyas and 11 minor chieftains, Karikala won the battle</t>
  </si>
  <si>
    <t>Battle of Vahaipparandalai +&gt; Karikala, Cholas king defeated 9 chieftains</t>
  </si>
  <si>
    <t>Cheran Senguttuvan</t>
  </si>
  <si>
    <t>Cheras king</t>
  </si>
  <si>
    <t>Ilango Adigal</t>
  </si>
  <si>
    <t>Younger brother of Cheran Senguttuvan, wrote Silapadikaram</t>
  </si>
  <si>
    <t>Karikala</t>
  </si>
  <si>
    <t>Cholas King</t>
  </si>
  <si>
    <t>Nendunjelian-I</t>
  </si>
  <si>
    <t>Pandyas king</t>
  </si>
  <si>
    <t>Nendunjelian-II</t>
  </si>
  <si>
    <t>Talaiyalanganattu Cheruvenra Nendunjelian</t>
  </si>
  <si>
    <t>Title given to Nendunjelian-II, won the battle of Talaiyalanganam</t>
  </si>
  <si>
    <t>Mankutti Maruthanar</t>
  </si>
  <si>
    <t>Praised Nendunjelian-II</t>
  </si>
  <si>
    <t>Nakkirar</t>
  </si>
  <si>
    <t>Rishi Agastasya</t>
  </si>
  <si>
    <t>Introduced Brahminical ideas, Hinduism in South(1st Sangam)</t>
  </si>
  <si>
    <t>Tolkapiyyar</t>
  </si>
  <si>
    <t>Composed Tolkappiyam</t>
  </si>
  <si>
    <t>Praised Nendunjelian-II, wrote Maduraikanchi</t>
  </si>
  <si>
    <t>Thiruvaluvan</t>
  </si>
  <si>
    <t>Written Thirukkural</t>
  </si>
  <si>
    <t>Sittalai Satlanar</t>
  </si>
  <si>
    <t>Written Manimekalai</t>
  </si>
  <si>
    <t>Anthanar</t>
  </si>
  <si>
    <t>Arasar</t>
  </si>
  <si>
    <t>Vaisiyar</t>
  </si>
  <si>
    <t>Velalar</t>
  </si>
  <si>
    <t>Adimai</t>
  </si>
  <si>
    <t>Kshtriya</t>
  </si>
  <si>
    <t>Vaishya</t>
  </si>
  <si>
    <t>Farmers</t>
  </si>
  <si>
    <t>Slaves(Somehow similar to Shudras)</t>
  </si>
  <si>
    <t>Brahmagir, Karnataka</t>
  </si>
  <si>
    <t>Megalithic sites</t>
  </si>
  <si>
    <t>Adichanallur, TamilNadu</t>
  </si>
  <si>
    <t>built by Karikala, Cholas king</t>
  </si>
  <si>
    <t>Port: Tondai, Muziri/Muzris
River: Periyar</t>
  </si>
  <si>
    <t>Capital of Pandyas Kingdom, important centre of fine textile and ivory working</t>
  </si>
  <si>
    <t>Pandyas Kingdom, famous for pearls</t>
  </si>
  <si>
    <t>Port: Korkai, Tirunnelveli district of Tamil Nadu
River: Vagai, Tamrapani</t>
  </si>
  <si>
    <t>Vajji/Vaiji, present day Karur in Tamil Nadu</t>
  </si>
  <si>
    <t>Uraiyur(Tiruchirapalli in Tamil Nadu)</t>
  </si>
  <si>
    <t>Written by Ilango Adigal(500 CE)</t>
  </si>
  <si>
    <t>Pugalur Inscription</t>
  </si>
  <si>
    <t>Reference of 3 generation of Chera kings</t>
  </si>
  <si>
    <t>Palmyra flower garland</t>
  </si>
  <si>
    <t>Royal Garland of Cheras</t>
  </si>
  <si>
    <t>Bow &amp; Arrow</t>
  </si>
  <si>
    <t>Royal Emblem of Cheras</t>
  </si>
  <si>
    <t>Kallani dam/ Kallanai embankment on Kaveri river</t>
  </si>
  <si>
    <t>Fig(Athi) flower garland</t>
  </si>
  <si>
    <t>Tiger</t>
  </si>
  <si>
    <t>Margosa(Neem) flower garland</t>
  </si>
  <si>
    <t>Fish(Meentachi)</t>
  </si>
  <si>
    <t>Royal Garland of Cholas</t>
  </si>
  <si>
    <t>Royal Emblem of Cholas</t>
  </si>
  <si>
    <t>Royal Garland of Pandyas</t>
  </si>
  <si>
    <t>Royal Emblem of Pandyas</t>
  </si>
  <si>
    <t>Tolkappiyam</t>
  </si>
  <si>
    <t>Tamil grammer book, composed by Tolkapiyyar</t>
  </si>
  <si>
    <t>Mellakanakku</t>
  </si>
  <si>
    <t>Pattutpattu</t>
  </si>
  <si>
    <t>Ettutokai/Ettutogai</t>
  </si>
  <si>
    <t>10 Anthologies (part of Mellakanakku)</t>
  </si>
  <si>
    <t>8 Songs (part of Mellakanakku)</t>
  </si>
  <si>
    <t>Maduraikanchi</t>
  </si>
  <si>
    <t>Written by Mankutti Maruthanar</t>
  </si>
  <si>
    <t>Padirruppattu</t>
  </si>
  <si>
    <t>About Cheras</t>
  </si>
  <si>
    <t>Pattinapalai</t>
  </si>
  <si>
    <t>About Cholas, Karikala</t>
  </si>
  <si>
    <t>18 major literature works, narrative style</t>
  </si>
  <si>
    <t>Patinenkilkanakku</t>
  </si>
  <si>
    <t>18 minor literature works, order style</t>
  </si>
  <si>
    <t>Thirukkural</t>
  </si>
  <si>
    <t>Written by Thiruvaluvan</t>
  </si>
  <si>
    <t>Manimekalai</t>
  </si>
  <si>
    <t>Written by Sittalai Satlanar, Non canonical Buddhist text</t>
  </si>
  <si>
    <t>Jivakachintamani</t>
  </si>
  <si>
    <t>Jain literature, About a king named Jivaka, an allrounder</t>
  </si>
  <si>
    <t>Kundalkesi</t>
  </si>
  <si>
    <t>Buddhist text, A woman having curly hairs</t>
  </si>
  <si>
    <t>Valayapathi</t>
  </si>
  <si>
    <t>Jain literature</t>
  </si>
  <si>
    <t>5 epics developed in
South(Tamil language)</t>
  </si>
  <si>
    <t>Kuruntogai</t>
  </si>
  <si>
    <t>Poem</t>
  </si>
  <si>
    <t>Gives description about women's status in the society</t>
  </si>
  <si>
    <t>Pattni Cult</t>
  </si>
  <si>
    <t>Worship of Godess Kanagi</t>
  </si>
  <si>
    <t>Pari, Orvi, Kari</t>
  </si>
  <si>
    <t>Minor chiefs</t>
  </si>
  <si>
    <t>Cholas, Cheras, Pandyas</t>
  </si>
  <si>
    <t>Major chiefs</t>
  </si>
  <si>
    <t>Akam/Aham</t>
  </si>
  <si>
    <t>Family related stories</t>
  </si>
  <si>
    <t>Puram</t>
  </si>
  <si>
    <t>War, Battle related stories</t>
  </si>
  <si>
    <t>Kurinji</t>
  </si>
  <si>
    <t>Mountains</t>
  </si>
  <si>
    <t>Palai</t>
  </si>
  <si>
    <t>Dessert/Arid</t>
  </si>
  <si>
    <t>Mullai</t>
  </si>
  <si>
    <t>Pastoral land</t>
  </si>
  <si>
    <t>Marudam</t>
  </si>
  <si>
    <t>Agriculture</t>
  </si>
  <si>
    <t>Neydal</t>
  </si>
  <si>
    <t>Coastal</t>
  </si>
  <si>
    <t>Anaku</t>
  </si>
  <si>
    <t>Magical force</t>
  </si>
  <si>
    <t>Pukal</t>
  </si>
  <si>
    <t>Glory &amp; fame of a king</t>
  </si>
  <si>
    <t>Vattakirutal</t>
  </si>
  <si>
    <t>The king who lost the battle, starves to death</t>
  </si>
  <si>
    <t>Natukal/Virakal</t>
  </si>
  <si>
    <t>Hero stone, for inspiration</t>
  </si>
  <si>
    <t>Viraliyar</t>
  </si>
  <si>
    <t>Singing &amp; dancing women, they belong to a community called Panar community</t>
  </si>
  <si>
    <t>Tankai method</t>
  </si>
  <si>
    <t>for ship building</t>
  </si>
  <si>
    <t>Muvendar</t>
  </si>
  <si>
    <t>Three crowned kings</t>
  </si>
  <si>
    <t>Vendar</t>
  </si>
  <si>
    <t>Crowned king</t>
  </si>
  <si>
    <t>Imperial court</t>
  </si>
  <si>
    <t>Avai</t>
  </si>
  <si>
    <t>Advisors</t>
  </si>
  <si>
    <t>Surram</t>
  </si>
  <si>
    <t>Amaichara</t>
  </si>
  <si>
    <t>ministers</t>
  </si>
  <si>
    <t>Anthanara</t>
  </si>
  <si>
    <t>Senapathi</t>
  </si>
  <si>
    <t>Military Commanders</t>
  </si>
  <si>
    <t>Thuthar</t>
  </si>
  <si>
    <t>Envoy, Ambassador</t>
  </si>
  <si>
    <t>Orrar</t>
  </si>
  <si>
    <t>Aimperunkulu</t>
  </si>
  <si>
    <t>5 members council</t>
  </si>
  <si>
    <t>Enperayan</t>
  </si>
  <si>
    <t>8 memebers counci</t>
  </si>
  <si>
    <t>Samudra Gupta
- Military Campaign
- Inscriptions, Coins, Court Poet</t>
  </si>
  <si>
    <t>ChandraGupta Vikramaditya( ChandraGupta II)
- Sources
- Gold coins
- Military Campaign
- Nine Gems of ChandraGupta II
- Fahien's Visit</t>
  </si>
  <si>
    <t>Kumar Gupta</t>
  </si>
  <si>
    <t>Skanda Gupta</t>
  </si>
  <si>
    <t>Fall of Gupta Empire</t>
  </si>
  <si>
    <t>Gupta's Administration
- Ministers
- Other Ministry
- Army
- Revenue Administration
- Administration( From Fahein's Account book)</t>
  </si>
  <si>
    <t>Society
- Division of Varnas
- Varna System
- Status of women</t>
  </si>
  <si>
    <t>Status of Buddhism &amp; Jainism</t>
  </si>
  <si>
    <t>Bhagwatism</t>
  </si>
  <si>
    <t>Literature
- Literary works
- Epics</t>
  </si>
  <si>
    <t>Mathematics</t>
  </si>
  <si>
    <t>Astronomy</t>
  </si>
  <si>
    <t>Medicine</t>
  </si>
  <si>
    <t>Metallurgy</t>
  </si>
  <si>
    <t>ChandraGupta I (SamudraGupta)</t>
  </si>
  <si>
    <t>ChandraGupta II( ChandraGupta Vikramaditya)</t>
  </si>
  <si>
    <t>KumarGupta</t>
  </si>
  <si>
    <t>SamudraGupta Military Campaign
- North India(Aryavarta)
  - Defeated Achyuta, Naga ruler
  - Kings of Kota region
  - King Matila from the city of Buland</t>
  </si>
  <si>
    <t>ChandraGupta II Military Campaign
- Defeated enemy chief in Vanga(Bengal)
- Conqured Bactria</t>
  </si>
  <si>
    <t>Founder of Gupta Dynasty</t>
  </si>
  <si>
    <t>Vasubandhu</t>
  </si>
  <si>
    <t>Buddhist scholar</t>
  </si>
  <si>
    <t>Hari sena</t>
  </si>
  <si>
    <t>Poet</t>
  </si>
  <si>
    <t>Asanga</t>
  </si>
  <si>
    <t>Poet + Musician</t>
  </si>
  <si>
    <t>Court scholars of 
SamudraGupta</t>
  </si>
  <si>
    <t>DattaDevi</t>
  </si>
  <si>
    <t>wife of ChandrGupta I</t>
  </si>
  <si>
    <t>Successor of SamudraGupta</t>
  </si>
  <si>
    <t>Prabhabati Gupta</t>
  </si>
  <si>
    <t>Daughter of ChandraGupta II &amp; Kubernaga, virtual ruler of Vakataka dynasty</t>
  </si>
  <si>
    <t>Amarasimha/ Amarnath</t>
  </si>
  <si>
    <t>Sanskrit Poet</t>
  </si>
  <si>
    <t>Dhanvantri</t>
  </si>
  <si>
    <t>Great physician</t>
  </si>
  <si>
    <t>Kalidasa</t>
  </si>
  <si>
    <t>Great Sanskrit poet &amp; dramatist</t>
  </si>
  <si>
    <t>Kahapanaka/ Kshapanaka</t>
  </si>
  <si>
    <t>An astrologer</t>
  </si>
  <si>
    <t>Sanku</t>
  </si>
  <si>
    <t>An expert in architecture</t>
  </si>
  <si>
    <t>Varahamihira</t>
  </si>
  <si>
    <t>Astronomer, mathematician</t>
  </si>
  <si>
    <t>Vararuchi</t>
  </si>
  <si>
    <t>Sanskrit scholar</t>
  </si>
  <si>
    <t>Vetalbhatta</t>
  </si>
  <si>
    <t>magician</t>
  </si>
  <si>
    <t>Ghatakarpara</t>
  </si>
  <si>
    <t>poet + Scholar</t>
  </si>
  <si>
    <t>Nine gems of 
ChandraGupta II</t>
  </si>
  <si>
    <t>Fahien</t>
  </si>
  <si>
    <t>Chinese Buddhist pilgrim</t>
  </si>
  <si>
    <t>Successor of ChandraGupta II</t>
  </si>
  <si>
    <t>SkandaGupta</t>
  </si>
  <si>
    <t>Last strong ruler of Gupta dynasty</t>
  </si>
  <si>
    <t>Licchavi-dauhitra</t>
  </si>
  <si>
    <t>Grandson(Maternal) of Licchavi</t>
  </si>
  <si>
    <t>Anukampavan</t>
  </si>
  <si>
    <t>Kaviraj</t>
  </si>
  <si>
    <t>Best of the poet</t>
  </si>
  <si>
    <t>Dharmpvachirbandhu</t>
  </si>
  <si>
    <t>Patroniser of dharma</t>
  </si>
  <si>
    <t>Parambhattarak</t>
  </si>
  <si>
    <t>Great devotee</t>
  </si>
  <si>
    <t>Parmeshwara</t>
  </si>
  <si>
    <t>God himself</t>
  </si>
  <si>
    <t>Napoleon of India</t>
  </si>
  <si>
    <t>from the inscription</t>
  </si>
  <si>
    <t>Sakari</t>
  </si>
  <si>
    <t>Destroyer of Shakas</t>
  </si>
  <si>
    <t>Vikramaditya</t>
  </si>
  <si>
    <t>Title given after defeating the Shakas ruler</t>
  </si>
  <si>
    <t>Rudrasimha - III</t>
  </si>
  <si>
    <t>The last Shakas ruler</t>
  </si>
  <si>
    <t>Title given to KumarGupta</t>
  </si>
  <si>
    <t>Vikramaditya/Karmaditya</t>
  </si>
  <si>
    <t>Title give to SkandaGupta</t>
  </si>
  <si>
    <t>Uparika, Lokpala, Gopati</t>
  </si>
  <si>
    <t>Head of Bhuti(Province)</t>
  </si>
  <si>
    <t>Vishyapati</t>
  </si>
  <si>
    <t>Head of Vishya(District)</t>
  </si>
  <si>
    <t>Nagar Shreshti</t>
  </si>
  <si>
    <t>Head of Vithi(Town)</t>
  </si>
  <si>
    <t>Gramanika, Mahatra</t>
  </si>
  <si>
    <t>Head of Gramma(Village)</t>
  </si>
  <si>
    <t>Mahadandanayak</t>
  </si>
  <si>
    <t>Chief Justice</t>
  </si>
  <si>
    <t>Vinaya-Sthiti-Sthapaka</t>
  </si>
  <si>
    <t>Maintainer of  rules/law</t>
  </si>
  <si>
    <t>Kumaramatya</t>
  </si>
  <si>
    <t>Minister holding a position so important equal to the king's son</t>
  </si>
  <si>
    <t>Sandhi-vigraha-harika</t>
  </si>
  <si>
    <t>Foreign Minister</t>
  </si>
  <si>
    <t>Pratihara</t>
  </si>
  <si>
    <t>Palace guards</t>
  </si>
  <si>
    <t>Mahapratihara</t>
  </si>
  <si>
    <t>Chief of palace guards</t>
  </si>
  <si>
    <t>Khadyatapakita</t>
  </si>
  <si>
    <t>Chief of royal kitchen</t>
  </si>
  <si>
    <t>Dutaka</t>
  </si>
  <si>
    <t>Messenger</t>
  </si>
  <si>
    <t>Mahabalaadhikrita</t>
  </si>
  <si>
    <t>Senapati/Chief Commander</t>
  </si>
  <si>
    <t>Head of horse unit</t>
  </si>
  <si>
    <t>Pilupati</t>
  </si>
  <si>
    <t>Head of elephant unit</t>
  </si>
  <si>
    <t>Narapati</t>
  </si>
  <si>
    <t>Head of foot soilders</t>
  </si>
  <si>
    <t>Dandapashika</t>
  </si>
  <si>
    <t>District level police</t>
  </si>
  <si>
    <t>Sarthavaha</t>
  </si>
  <si>
    <t>Head of travelling traders</t>
  </si>
  <si>
    <t>Pratham Kulika</t>
  </si>
  <si>
    <t>Chief artisan</t>
  </si>
  <si>
    <t>Pratham Kayantha</t>
  </si>
  <si>
    <t>Chief scribe</t>
  </si>
  <si>
    <t>Pustapala</t>
  </si>
  <si>
    <t>Record keeper</t>
  </si>
  <si>
    <t>Akshapataladhikrita</t>
  </si>
  <si>
    <t>Accountant</t>
  </si>
  <si>
    <t>Patliputra, Ujjain</t>
  </si>
  <si>
    <t>Capitals of ChandraGupta II</t>
  </si>
  <si>
    <t>Ashwamedha Yagya conducted by ChandraGupta I, II &amp; KumarGupta</t>
  </si>
  <si>
    <t>Thanesar, Haryana</t>
  </si>
  <si>
    <t>Pushyabhuti/ Vardhans started Vardhans dynasty</t>
  </si>
  <si>
    <t>Nalanda University</t>
  </si>
  <si>
    <t>constructed by Kumar Gupta center for Buddhist education</t>
  </si>
  <si>
    <t>Nandivardhan</t>
  </si>
  <si>
    <t>Capital of Vakatakas during the time of Pravavati Gupta</t>
  </si>
  <si>
    <t>SamudrGupta Gold coins</t>
  </si>
  <si>
    <t>Gold coins(dinars)</t>
  </si>
  <si>
    <t>ChandraGupta II Gold coins</t>
  </si>
  <si>
    <t>Iron pillar, Mehrauli, Delhi</t>
  </si>
  <si>
    <t>About ChandraGupta II</t>
  </si>
  <si>
    <t>Amarkosh</t>
  </si>
  <si>
    <t>Written by Amarasimha</t>
  </si>
  <si>
    <t>Prakrit Prakash</t>
  </si>
  <si>
    <t>Prakrit grammer book, written by Vararuchi</t>
  </si>
  <si>
    <t>Niti-Pradipa</t>
  </si>
  <si>
    <t>Book for ChandraGupta II, written by Vetalbhatta</t>
  </si>
  <si>
    <t>Invasion of Huns during the Gupta Era</t>
  </si>
  <si>
    <t>Second Jain Council held during Gupta age, at Valabhi,Gujarat</t>
  </si>
  <si>
    <t>Bhagvad-Gita</t>
  </si>
  <si>
    <t>VishnuPuran</t>
  </si>
  <si>
    <t>Vishnu Smriti</t>
  </si>
  <si>
    <t>Vishnusahasranam</t>
  </si>
  <si>
    <t>Hindu religious text</t>
  </si>
  <si>
    <t>Abhijnanashakuntalam</t>
  </si>
  <si>
    <t>Malvikagnimitra</t>
  </si>
  <si>
    <t>Vikramorvasiya</t>
  </si>
  <si>
    <t>Sanskrit drama</t>
  </si>
  <si>
    <t>By Kalidasa</t>
  </si>
  <si>
    <t>Raghuvamsa</t>
  </si>
  <si>
    <t>Kumarasambhav</t>
  </si>
  <si>
    <t>Epics</t>
  </si>
  <si>
    <t>Ritusamhara</t>
  </si>
  <si>
    <t>Meghadutam</t>
  </si>
  <si>
    <t>Lyrics</t>
  </si>
  <si>
    <t>Devichandraguptam</t>
  </si>
  <si>
    <t>Drama</t>
  </si>
  <si>
    <t>By Vishakhadatta</t>
  </si>
  <si>
    <t>Mrichchakatika</t>
  </si>
  <si>
    <t>By Sudarak</t>
  </si>
  <si>
    <t>Kiratarjuniya</t>
  </si>
  <si>
    <t>Natyashashtra</t>
  </si>
  <si>
    <t>Daskumaracharita</t>
  </si>
  <si>
    <t>Kavyadarshan</t>
  </si>
  <si>
    <t>Kavyalankar</t>
  </si>
  <si>
    <t>Sapnavasavadatta</t>
  </si>
  <si>
    <t>Charudatta</t>
  </si>
  <si>
    <t>Dutavakya</t>
  </si>
  <si>
    <t>By Bhamaha</t>
  </si>
  <si>
    <t>By Bhasa</t>
  </si>
  <si>
    <t>By Bharvi</t>
  </si>
  <si>
    <t>By Bharat Muni</t>
  </si>
  <si>
    <t>By Dandin</t>
  </si>
  <si>
    <t>Panchatantra</t>
  </si>
  <si>
    <t>By Vishnu Sharma</t>
  </si>
  <si>
    <t>Nyaya Sutra</t>
  </si>
  <si>
    <t>Kamasutra</t>
  </si>
  <si>
    <t>By Vatsyayana</t>
  </si>
  <si>
    <t>Aryabhattia</t>
  </si>
  <si>
    <t>By Aryabhata</t>
  </si>
  <si>
    <t>Brihatsamhita</t>
  </si>
  <si>
    <t>Panchsiddantika</t>
  </si>
  <si>
    <t>By Varahmihira</t>
  </si>
  <si>
    <t>By Brahmagupta</t>
  </si>
  <si>
    <t>Brahmasuptasiddhanta</t>
  </si>
  <si>
    <t>Shushruta Samhita</t>
  </si>
  <si>
    <t>By Shushruta</t>
  </si>
  <si>
    <t>Vindhya Shakti I</t>
  </si>
  <si>
    <t>Founder of Vakataka dynasty</t>
  </si>
  <si>
    <t>Pravarsena - I</t>
  </si>
  <si>
    <t>Ruler of Vakataka dynasty</t>
  </si>
  <si>
    <t>Rudrasena - II</t>
  </si>
  <si>
    <t>Ruler of Vakataka dynasty, married to Pravavati Gupta</t>
  </si>
  <si>
    <t>Pravarapura, Wardha district</t>
  </si>
  <si>
    <t>Capital during the rule of Pravarsena II, Vakataka ruler</t>
  </si>
  <si>
    <t>Pravarsena - II</t>
  </si>
  <si>
    <t>Narendrasena</t>
  </si>
  <si>
    <t>Harisena</t>
  </si>
  <si>
    <t>Last strong ruler of Vakataka dynasty</t>
  </si>
  <si>
    <t>Ajanta Caves(Buddhist Caves)</t>
  </si>
  <si>
    <t>Patronised by Harisena</t>
  </si>
  <si>
    <t>Setubandh</t>
  </si>
  <si>
    <t>Ravanvaho</t>
  </si>
  <si>
    <t>Written by Pravarsena - II</t>
  </si>
  <si>
    <t>By Dandin, tells about the fall of Vakatakas after Harisena</t>
  </si>
  <si>
    <t>Bhaga</t>
  </si>
  <si>
    <t>1/6th of the average produced</t>
  </si>
  <si>
    <t>Shulka</t>
  </si>
  <si>
    <t>Custom duty(Foreign tax)</t>
  </si>
  <si>
    <t>Uparikara</t>
  </si>
  <si>
    <t>Additional tax(mostly by traders)</t>
  </si>
  <si>
    <t>Vishti/Klipta/Upaklipta</t>
  </si>
  <si>
    <t>Forced labour</t>
  </si>
  <si>
    <t>Voluntary offering</t>
  </si>
  <si>
    <t>Bhoga</t>
  </si>
  <si>
    <t>Tax paid by fruit seller, flower seller</t>
  </si>
  <si>
    <t>Hiranya</t>
  </si>
  <si>
    <t>Tax paid in the form of cash</t>
  </si>
  <si>
    <t>Udaranga</t>
  </si>
  <si>
    <t>Water tax</t>
  </si>
  <si>
    <t>Vata-bhuta</t>
  </si>
  <si>
    <t>tax paid for rituals done by the king</t>
  </si>
  <si>
    <t>Bramhadeya</t>
  </si>
  <si>
    <t>Donation of land to the Brahmins</t>
  </si>
  <si>
    <t>Vakatakas Dynasty
- Sources
- Founder &amp; rulers
- Fall of Vakataks
- Administration
Society, Economy, Agriculture were all same like Guptas
Vakatakas are contemporary to Guptas</t>
  </si>
  <si>
    <t>Shankaraditya/Mahendraditya</t>
  </si>
  <si>
    <t>Asvapati</t>
  </si>
  <si>
    <t>Bhagavad Puran</t>
  </si>
  <si>
    <t>MeI20</t>
  </si>
  <si>
    <t>MeI21</t>
  </si>
  <si>
    <t>Mandal</t>
  </si>
  <si>
    <t>Mandaleshwar</t>
  </si>
  <si>
    <t>Maha Mandaleshwar</t>
  </si>
  <si>
    <t>Feudal Land</t>
  </si>
  <si>
    <t>Feudal Lord</t>
  </si>
  <si>
    <t>Powerful Feudal Lord</t>
  </si>
  <si>
    <t>Harshavardhana/ Vardhan Dynasty/ Pushyabhuti Dynasty</t>
  </si>
  <si>
    <t>Imperial Guptas &amp; Vakataks, Post Gupta Empire</t>
  </si>
  <si>
    <t>Post Gupta Empire - split of empires</t>
  </si>
  <si>
    <r>
      <rPr>
        <b/>
        <sz val="11"/>
        <color rgb="FF000000"/>
        <rFont val="Times New Roman"/>
        <family val="1"/>
      </rPr>
      <t xml:space="preserve">Post Gupta Empire - split of empires
</t>
    </r>
    <r>
      <rPr>
        <sz val="11"/>
        <color rgb="FF000000"/>
        <rFont val="Times New Roman"/>
        <family val="1"/>
      </rPr>
      <t>Thanesar(Present day Punjab) - Pushyhabhuti Dynasty
Kanauj, Uttar Pradesh - Maukhari tribe
Malwa - King Devgupta
Bengal - Gaud dynasty (King Shashank)
Assam - King Bhaskar Varman
Bijapur(Deccan) - Chalukyas dynasty</t>
    </r>
  </si>
  <si>
    <t>Harshcharita</t>
  </si>
  <si>
    <t>Written by Banabhatt</t>
  </si>
  <si>
    <t>Kadambari</t>
  </si>
  <si>
    <t>Naganandam</t>
  </si>
  <si>
    <t>Priyadarshika</t>
  </si>
  <si>
    <t>Ratnavali</t>
  </si>
  <si>
    <t>Play</t>
  </si>
  <si>
    <t>Written by Harshavardhan</t>
  </si>
  <si>
    <t>Shiyuki</t>
  </si>
  <si>
    <t>Written by Hiuen Tsang</t>
  </si>
  <si>
    <t>Autobiography of Hiuen Tsang</t>
  </si>
  <si>
    <t>Written by Hvili</t>
  </si>
  <si>
    <t>Sonepat Inscription</t>
  </si>
  <si>
    <t>Banskhera inscription</t>
  </si>
  <si>
    <t>Aihole inscription</t>
  </si>
  <si>
    <t>Sources to study the rule of Harshavardhan</t>
  </si>
  <si>
    <t>Military Administration</t>
  </si>
  <si>
    <t>Novel</t>
  </si>
  <si>
    <t>Inscription</t>
  </si>
  <si>
    <r>
      <t xml:space="preserve">Aihole, Bagalkot district, Karnataka </t>
    </r>
    <r>
      <rPr>
        <b/>
        <sz val="11"/>
        <color rgb="FF000000"/>
        <rFont val="Times New Roman"/>
        <family val="1"/>
      </rPr>
      <t>[Pulakesin II - 634CE]</t>
    </r>
  </si>
  <si>
    <r>
      <t xml:space="preserve">Banskhera village, Shahjahanpur district, Uttar Pradesh
</t>
    </r>
    <r>
      <rPr>
        <b/>
        <sz val="11"/>
        <color rgb="FF000000"/>
        <rFont val="Times New Roman"/>
        <family val="1"/>
      </rPr>
      <t>[Harshavardhana - 628 CE]</t>
    </r>
  </si>
  <si>
    <r>
      <t xml:space="preserve">Sonipat, Haryana </t>
    </r>
    <r>
      <rPr>
        <b/>
        <sz val="11"/>
        <color rgb="FF000000"/>
        <rFont val="Times New Roman"/>
        <family val="1"/>
      </rPr>
      <t>[Harshavardhana]</t>
    </r>
  </si>
  <si>
    <r>
      <t xml:space="preserve">Madhuban village, Bihar </t>
    </r>
    <r>
      <rPr>
        <b/>
        <sz val="11"/>
        <color rgb="FF000000"/>
        <rFont val="Times New Roman"/>
        <family val="1"/>
      </rPr>
      <t>[Later Gupta / early post-Gupta]</t>
    </r>
  </si>
  <si>
    <t>Chinese travellers - during that period</t>
  </si>
  <si>
    <t>Role of Buddhism in the life of Harshvardhan</t>
  </si>
  <si>
    <t>Kanauj Assembly</t>
  </si>
  <si>
    <t>Allahbad conference</t>
  </si>
  <si>
    <t>Contribution to Nalanda University</t>
  </si>
  <si>
    <t>Harshavardhan</t>
  </si>
  <si>
    <t>Only ruler of Vardhan Dynasty/ Pushyabhuti Dynasty</t>
  </si>
  <si>
    <t>Banabhatt</t>
  </si>
  <si>
    <t>Court poet, written Harshcharitra, Kadambari</t>
  </si>
  <si>
    <t>Hiuen Tsang</t>
  </si>
  <si>
    <t>Chinese traveller during the visit of Harshvardhan</t>
  </si>
  <si>
    <t>I-Tsing</t>
  </si>
  <si>
    <t>Chinese traveller visited after the death of Harshvardhan</t>
  </si>
  <si>
    <t>Shashanka</t>
  </si>
  <si>
    <t>Bhaskar Varman</t>
  </si>
  <si>
    <t>ruler of Assam, good friend of Harshvardhan</t>
  </si>
  <si>
    <t>ruler of Gauda(Bengal), Harshvardhan killed him</t>
  </si>
  <si>
    <t>Dingnaga</t>
  </si>
  <si>
    <t>Dharmapala</t>
  </si>
  <si>
    <t>Sthiramati,</t>
  </si>
  <si>
    <t>Shilabhadra</t>
  </si>
  <si>
    <t>Famous professor of Nalanda University</t>
  </si>
  <si>
    <t>From the account book of Hiuen Tsang</t>
  </si>
  <si>
    <t>Administation(Same like Guptas)</t>
  </si>
  <si>
    <t>Alliance</t>
  </si>
  <si>
    <t>Economy</t>
  </si>
  <si>
    <t>Harshvardhan had a battle against Chalukya dynasty's king Pulakeshin II, Harshvardhan was defeated</t>
  </si>
  <si>
    <t>Harshvardhan had a battle against Gauda king Shashanka, Harshvardhan killed Shashanka</t>
  </si>
  <si>
    <t>Taizong</t>
  </si>
  <si>
    <t>Ruler of China belongs to Tang dynasty</t>
  </si>
  <si>
    <t>Parameshwara</t>
  </si>
  <si>
    <t>given to Harshvardhan - great devotee of Lord Shiva</t>
  </si>
  <si>
    <t>Shiladitya</t>
  </si>
  <si>
    <t>followers of moral values; given to Harshvardhan</t>
  </si>
  <si>
    <t>Bodhi tree, Bodh Gaya</t>
  </si>
  <si>
    <t>Shashanka ruler of Gauda, cut this tree under which Buddha attained enlightment</t>
  </si>
  <si>
    <t>Harshvardhan patronised this university during his period</t>
  </si>
  <si>
    <t>Madhuben copper plate Inscription</t>
  </si>
  <si>
    <t>Land granted to Brahmins</t>
  </si>
  <si>
    <t>Nilopitu</t>
  </si>
  <si>
    <t>Maintenance of public records(archive)</t>
  </si>
  <si>
    <t>Tulya-meya</t>
  </si>
  <si>
    <t>The tax collected from the weighted items like rice, wheat</t>
  </si>
  <si>
    <t>Vijayanagar and Bahamani Empire (1336 - 1650) CE</t>
  </si>
  <si>
    <t>The Delhi Sultanate (1206 - 1526)CE</t>
  </si>
  <si>
    <t>Early Medieval India's Major Dynasties Part 3 - (1000 - 1200) CE</t>
  </si>
  <si>
    <t>Early Medieval India's Major Dynasties Part 1 - (550 - 750)CE</t>
  </si>
  <si>
    <t>Mughal Dynasty (1526 - 1857) CE</t>
  </si>
  <si>
    <t>Yashodharman</t>
  </si>
  <si>
    <t>Feudal lord of Malwa, Aulikara dynasty - one of the reason behind the fall of Guptas</t>
  </si>
  <si>
    <t>[319 CE - 334 CE]</t>
  </si>
  <si>
    <t>[380CE - 412 CE]</t>
  </si>
  <si>
    <t>ChandraGupta II( ChandraGupta VikramCEitya)</t>
  </si>
  <si>
    <t>[412 CE - 454 CE]</t>
  </si>
  <si>
    <t>645 CE</t>
  </si>
  <si>
    <t>HeCEing of Chapter (Flow)</t>
  </si>
  <si>
    <t>MahajanapCEa, Iranian &amp; Macedonian Invasion</t>
  </si>
  <si>
    <t>Post-Mauryan India (200 BC - 300 CE)</t>
  </si>
  <si>
    <t>670 CE</t>
  </si>
  <si>
    <t>Hiuen Tsang visited during the reign of Harshvardhan</t>
  </si>
  <si>
    <t>I-Tsing visited after the reign of Harshvardhan</t>
  </si>
  <si>
    <t>1. Huns
2. Maukharis
3. Western Ganga
4. Shailodbhava dynasty</t>
  </si>
  <si>
    <t>6. Pallavas
    - Origin
    - Rulers
    - Art &amp; Architecture
    - Literature
    - Society</t>
  </si>
  <si>
    <t>5th to 6th century CE</t>
  </si>
  <si>
    <t>Period in which Huns ruled</t>
  </si>
  <si>
    <t xml:space="preserve"> 6th century CE</t>
  </si>
  <si>
    <t>Period in which Maukharis ruled</t>
  </si>
  <si>
    <t>[350 - 1000 CE]</t>
  </si>
  <si>
    <t>Period in which Western Ganga ruled</t>
  </si>
  <si>
    <t>Period in which Shailodbhava dynasty ruled</t>
  </si>
  <si>
    <t>late 6th to 8th century CE</t>
  </si>
  <si>
    <t>Reign of Pulakeshin</t>
  </si>
  <si>
    <t>Reign of Kirtivarman</t>
  </si>
  <si>
    <t>Reign of Mangalesha</t>
  </si>
  <si>
    <t>Reign of Pulakeshin II</t>
  </si>
  <si>
    <t>Reign of Vikramaditya</t>
  </si>
  <si>
    <t>Reign of Kirtivarman II</t>
  </si>
  <si>
    <t>[535 - 566 CE]</t>
  </si>
  <si>
    <t>[566 -597 CE]</t>
  </si>
  <si>
    <t>[597 - 609 CE]</t>
  </si>
  <si>
    <t>[609 - 642 CE]</t>
  </si>
  <si>
    <t>[655 - 680 CE]</t>
  </si>
  <si>
    <t>[746 - 753 CE]</t>
  </si>
  <si>
    <t>Western Chalukyas ruler</t>
  </si>
  <si>
    <t>[624 - 641 CE]</t>
  </si>
  <si>
    <t>Reign of Vishnu Vardhan I</t>
  </si>
  <si>
    <t>Eastern Chalukyas ruler</t>
  </si>
  <si>
    <t>Chalukya dynasty's king Pulakeshin II vs Harshvardhan, Harshvardhan was defeated</t>
  </si>
  <si>
    <t>Battle of Narmada</t>
  </si>
  <si>
    <t>Maharajadhiraja</t>
  </si>
  <si>
    <t>Parambhattaraka</t>
  </si>
  <si>
    <t>“Supreme Lord” - Titles given to king</t>
  </si>
  <si>
    <t>“Great King of Kings” - Titles given to king</t>
  </si>
  <si>
    <t>“Supreme Revered Lord” - Titles given to king</t>
  </si>
  <si>
    <t>Pulakeshin</t>
  </si>
  <si>
    <t>Kirtivaman I</t>
  </si>
  <si>
    <t>Mangalesha</t>
  </si>
  <si>
    <t>Pulakeshin II</t>
  </si>
  <si>
    <t>Kirtivaman II</t>
  </si>
  <si>
    <t>Vishnu Vardhan I</t>
  </si>
  <si>
    <t>Vijyay Aditya I</t>
  </si>
  <si>
    <t>Bhima II</t>
  </si>
  <si>
    <t>Amma II</t>
  </si>
  <si>
    <t>Founder of Chalukya dynasty</t>
  </si>
  <si>
    <t xml:space="preserve">Son of Pulakeshin </t>
  </si>
  <si>
    <t>Brother of Kirtivarman I</t>
  </si>
  <si>
    <t>Son of Kirtivarman I, Most powerful ruler of Chalukya dynasty</t>
  </si>
  <si>
    <t>Ravikirti</t>
  </si>
  <si>
    <t>Son of Pulakeshin II</t>
  </si>
  <si>
    <t>Last great ruler of Chalukya dynasty</t>
  </si>
  <si>
    <t>Founder of Eastern Chalukya dynasty</t>
  </si>
  <si>
    <t>Ruler of Eastern Chalukya dynasty</t>
  </si>
  <si>
    <t>Western Chalukyas
Badami Chalukyas</t>
  </si>
  <si>
    <t>Eastern Chalukyas</t>
  </si>
  <si>
    <t>Court poet of Pulakeshin II</t>
  </si>
  <si>
    <t>Narmada river</t>
  </si>
  <si>
    <t>Battle of Narmada - Chalukya dynasty's king Pulakeshin II vs Harshvardhan, Harshvardhan was defeated</t>
  </si>
  <si>
    <t>Vallabeshwar</t>
  </si>
  <si>
    <t>Ttile given to Pulakeshin</t>
  </si>
  <si>
    <t>Konkan</t>
  </si>
  <si>
    <t>Kingdom expanded by Kirtivarman I</t>
  </si>
  <si>
    <t>Northen Kerla</t>
  </si>
  <si>
    <t>Kadamas of Banavasi</t>
  </si>
  <si>
    <t>Khusru II</t>
  </si>
  <si>
    <t>King of Persia, contemporary to Pulakeshin II, Pulakeshin II had good relations with him</t>
  </si>
  <si>
    <t>Vatapi(Badami)</t>
  </si>
  <si>
    <t>Capital of Western Chalukyas</t>
  </si>
  <si>
    <t>Vengi</t>
  </si>
  <si>
    <t>Capital of Eastern Chalukyas</t>
  </si>
  <si>
    <r>
      <t>5. Chalukyas
    - Origin
    - Rulers
    - Split in the Chalukyas
    - Contribution of Chalukyas{</t>
    </r>
    <r>
      <rPr>
        <b/>
        <sz val="11"/>
        <color theme="1"/>
        <rFont val="Times New Roman"/>
        <family val="1"/>
      </rPr>
      <t>Western Chalukya-Badami Chalukya</t>
    </r>
    <r>
      <rPr>
        <sz val="11"/>
        <color theme="1"/>
        <rFont val="Times New Roman"/>
        <family val="1"/>
      </rPr>
      <t>}
       - Architecture
       - Literature</t>
    </r>
  </si>
  <si>
    <t>Ravan Phadi Cave</t>
  </si>
  <si>
    <t>Architecture</t>
  </si>
  <si>
    <t>Durga Temple</t>
  </si>
  <si>
    <t>Aihole, Karnataka</t>
  </si>
  <si>
    <t>Badami Cave Temple</t>
  </si>
  <si>
    <t>Karnataka</t>
  </si>
  <si>
    <t>Lad Khan Temple</t>
  </si>
  <si>
    <t>Meguti Jain Temple</t>
  </si>
  <si>
    <t>Aihole, Karnataka, Aihole Inscription craved on the eastern wall</t>
  </si>
  <si>
    <t>Vijayanaka</t>
  </si>
  <si>
    <t>Poetess from Western Chalukya dynasty</t>
  </si>
  <si>
    <t>Mitakshara</t>
  </si>
  <si>
    <t>Hindu law book, written by Vijnaneshvara</t>
  </si>
  <si>
    <t>Karnateshwara Katha</t>
  </si>
  <si>
    <t>Story of Chalukya king Pulakeshin II, written by Jain poet Jayakirti</t>
  </si>
  <si>
    <t>Reign of Simhavishnu</t>
  </si>
  <si>
    <t>[600 - 630 CE]</t>
  </si>
  <si>
    <t>Reign of Mahendravarman</t>
  </si>
  <si>
    <t>[630 - 668 CE]</t>
  </si>
  <si>
    <t>Reign of Narshimhavarman I</t>
  </si>
  <si>
    <t>Reign of Narshimhavarman II / Rajasimha</t>
  </si>
  <si>
    <t>[700 - 728 CE]</t>
  </si>
  <si>
    <t>[795 - 846 CE]</t>
  </si>
  <si>
    <t>Reign of Dantivarman</t>
  </si>
  <si>
    <t>[880 - 897 CE]</t>
  </si>
  <si>
    <t>Reign of Aparajitavarman</t>
  </si>
  <si>
    <t>Pallavas</t>
  </si>
  <si>
    <t>Pallava king Simhavishnu defeated the Pandyas &amp; Kalachuris</t>
  </si>
  <si>
    <t>Chalukya king Pulakeshin II defeated the Pallava king Mahendravarman</t>
  </si>
  <si>
    <t>Pallava king Narshimhavarman I defeated the Chalukya king Pulakeshin II</t>
  </si>
  <si>
    <t>Cholas defeated the last Pallava king Aparajitavarman</t>
  </si>
  <si>
    <t>Simhavishnu</t>
  </si>
  <si>
    <t>Ruler of Pallava dynasty</t>
  </si>
  <si>
    <t>Mahendravarman</t>
  </si>
  <si>
    <t>Vichitrachita</t>
  </si>
  <si>
    <t>Title given to Mahendravarman</t>
  </si>
  <si>
    <t>Narshimhavarman I</t>
  </si>
  <si>
    <t>Mahamalla</t>
  </si>
  <si>
    <t>Vatapikonda</t>
  </si>
  <si>
    <t>Title given to Narshimhavarman</t>
  </si>
  <si>
    <t>Narshimhavarman II / Rajasimha</t>
  </si>
  <si>
    <t>Dantivarman</t>
  </si>
  <si>
    <t>Aparajitavarman</t>
  </si>
  <si>
    <t>Bharavi</t>
  </si>
  <si>
    <t>great poet in the court of Simhavishnu</t>
  </si>
  <si>
    <t>Dandin</t>
  </si>
  <si>
    <t>Sanskrit poet, present in the court of Narasimhavarman II</t>
  </si>
  <si>
    <t>Mayurasarman</t>
  </si>
  <si>
    <t>founder of Kadamba dynasty</t>
  </si>
  <si>
    <t>Andal</t>
  </si>
  <si>
    <t>she belongs from Alvars(Devotee of Lord Vishnu), great devotee</t>
  </si>
  <si>
    <t>Tondaimandalam</t>
  </si>
  <si>
    <t>Origin place of Pallavas, present day Tamil Nadu</t>
  </si>
  <si>
    <t>Manavarman</t>
  </si>
  <si>
    <t>Ruler of Srilanka</t>
  </si>
  <si>
    <t>Mahamallapuram</t>
  </si>
  <si>
    <t>Narshimhavarman I established this port city, present day Mahabalipuram, Tamil Nadu</t>
  </si>
  <si>
    <t>Kanchi</t>
  </si>
  <si>
    <t>Kanchipuram</t>
  </si>
  <si>
    <t>Center of learning &amp; art</t>
  </si>
  <si>
    <t>Ghatika at Kanchi</t>
  </si>
  <si>
    <t>Learning center for Vedas</t>
  </si>
  <si>
    <t>Religious capital of South India</t>
  </si>
  <si>
    <t>Mattavilasa Prahasana</t>
  </si>
  <si>
    <t>drama, written by Mahendravarman</t>
  </si>
  <si>
    <t>Rock cut architecture</t>
  </si>
  <si>
    <t>Mahaballipuram</t>
  </si>
  <si>
    <t>Ratha Temples</t>
  </si>
  <si>
    <t>8 Ratha Temples, by Pallava dynasty at Mahaballipuram</t>
  </si>
  <si>
    <t>Shore Temple</t>
  </si>
  <si>
    <t>Built by Narasimhavarman II in 800CE, at Mahaballipuram</t>
  </si>
  <si>
    <t>Kailasanathar Temple</t>
  </si>
  <si>
    <t>Built by Narasimhavarman II in 800CE, at Kanchipuram, Tamil Nadu</t>
  </si>
  <si>
    <t>Tirumurai</t>
  </si>
  <si>
    <t>Bhakti songs for Lord Shiva</t>
  </si>
  <si>
    <t>Bhakti songs for Lord Vishnu</t>
  </si>
  <si>
    <t>Nalayira Divya Pravandham (4000 Divine Songs)</t>
  </si>
  <si>
    <t>Prahasana</t>
  </si>
  <si>
    <t>type of drama with full of comedy</t>
  </si>
  <si>
    <t>Bhakti</t>
  </si>
  <si>
    <t>devotional idea introduced by lower caste people of the society</t>
  </si>
  <si>
    <t>Alvars</t>
  </si>
  <si>
    <t>Devotee of Lord Vishnu, lower caste people</t>
  </si>
  <si>
    <t>Nayanars</t>
  </si>
  <si>
    <t>Devotee of Lord Shiva, lower caste people</t>
  </si>
  <si>
    <t>Adhikarnas</t>
  </si>
  <si>
    <t>High level court</t>
  </si>
  <si>
    <t>Karnas</t>
  </si>
  <si>
    <t>Village level court</t>
  </si>
  <si>
    <t>Song</t>
  </si>
  <si>
    <t>Ruler of Shunga dynasty</t>
  </si>
  <si>
    <t>Rashtrakutas
    - Origin
    - Rulers
    - Administration
    - Society
    - Economy
    - Literature</t>
  </si>
  <si>
    <t>[300 - 900 CE]</t>
  </si>
  <si>
    <t>Period of Pallavas</t>
  </si>
  <si>
    <t>[735 - 975 CE]</t>
  </si>
  <si>
    <t>Period of Rashtrakutas</t>
  </si>
  <si>
    <t>[575 - 600 CE]</t>
  </si>
  <si>
    <t>[735 - 756 CE]</t>
  </si>
  <si>
    <t>Reign of Dantidurga</t>
  </si>
  <si>
    <t>[756 - 774 CE]</t>
  </si>
  <si>
    <t>Reign of Krishna I</t>
  </si>
  <si>
    <t>[793 - 814 CE]</t>
  </si>
  <si>
    <t>Reign of Govinda III</t>
  </si>
  <si>
    <t>[814 - 878 CE]</t>
  </si>
  <si>
    <t>Reign of Amogvarsha</t>
  </si>
  <si>
    <t>[914 - 929 CE]</t>
  </si>
  <si>
    <t>Reign of Indra III</t>
  </si>
  <si>
    <t>[939 - 967 CE]</t>
  </si>
  <si>
    <t>Reign of Krishna III</t>
  </si>
  <si>
    <t>[972 - 973 CE]</t>
  </si>
  <si>
    <t>Reign of Karka</t>
  </si>
  <si>
    <t>Rashtrakutas king Dantidurga performed Hiranya Garb Yagya</t>
  </si>
  <si>
    <t>Battle of Takkolam - Rashtrakutas king Krishna III vs Cholas king Parantaka I, Parantaka I was defeated</t>
  </si>
  <si>
    <t>Rashtrakutas</t>
  </si>
  <si>
    <t>Early Medieval India's Major Dynasties Part 2 - (750 - 1000)CE</t>
  </si>
  <si>
    <t>635 CE</t>
  </si>
  <si>
    <t>Rashtrakutas migrated from Latur to Ellichpur(Madhya Pradesh)</t>
  </si>
  <si>
    <t>Dantidurga</t>
  </si>
  <si>
    <t>Founder of Rashtrakutas dynasty</t>
  </si>
  <si>
    <t>Krishna I</t>
  </si>
  <si>
    <t>Ruler of Rashtrakutas dynasty</t>
  </si>
  <si>
    <t>Rashtrakutas king Krishna I vs Eastern Chalukyas king Vishnuvardhan, Vishnuvardhan was defeated</t>
  </si>
  <si>
    <t>Govind III</t>
  </si>
  <si>
    <t>Amogvarsha</t>
  </si>
  <si>
    <t>Jinasena</t>
  </si>
  <si>
    <t>Jain monk, part of Amogvarsha court</t>
  </si>
  <si>
    <t>Arab merchant, visited during the period of Amogvarsha</t>
  </si>
  <si>
    <t>Greatest king of all time(one of the four)</t>
  </si>
  <si>
    <t>Indra III</t>
  </si>
  <si>
    <t>Rashtrakutas king Indra III vs Gurjar-Pratihar king Mahipala, Mahipala was defeated</t>
  </si>
  <si>
    <t>Al-masudi</t>
  </si>
  <si>
    <t>Arab merchant, visited during the period of Indra III</t>
  </si>
  <si>
    <t>Krishna III</t>
  </si>
  <si>
    <t>Karka</t>
  </si>
  <si>
    <t>Last ruler of Rashtrakutas dynasty</t>
  </si>
  <si>
    <t>Last powerful ruler of Rashtrakutas dynasty</t>
  </si>
  <si>
    <t>Tailapa II</t>
  </si>
  <si>
    <t>Halayudha</t>
  </si>
  <si>
    <t>wrote Kavirahasya(book of poem) in the court of Krishna III</t>
  </si>
  <si>
    <t>defeated Karka, founder of Western Chalukya dynasty(973 CE)</t>
  </si>
  <si>
    <t xml:space="preserve">Rashtrakutas </t>
  </si>
  <si>
    <t>Pampa</t>
  </si>
  <si>
    <t>Ponnna</t>
  </si>
  <si>
    <t>Ranna</t>
  </si>
  <si>
    <t>Sakatayana</t>
  </si>
  <si>
    <t>court poet of Amogvarsha</t>
  </si>
  <si>
    <t>Trinity of Kanada poem</t>
  </si>
  <si>
    <t>Jain scholar</t>
  </si>
  <si>
    <t>Pampa, Ponnna &amp; Ranna</t>
  </si>
  <si>
    <t>Rashtrapati</t>
  </si>
  <si>
    <t>Head of Rashtra(Province)</t>
  </si>
  <si>
    <t>Bhogapati / Bhojpati</t>
  </si>
  <si>
    <t>Head of Bhukti(50 -70 villages)</t>
  </si>
  <si>
    <t>Village headman</t>
  </si>
  <si>
    <t>Head of Gramik(Village)</t>
  </si>
  <si>
    <t>(Administraion)
Rashtrkutas</t>
  </si>
  <si>
    <t>Latur, Maharashtra</t>
  </si>
  <si>
    <t>Origin region of Rashtrakutas dynasty</t>
  </si>
  <si>
    <t>Ellichpur, Madhya Pradesh</t>
  </si>
  <si>
    <t>Rashtrakutas migrated to this place</t>
  </si>
  <si>
    <t>Capital of Rashtrakutas</t>
  </si>
  <si>
    <t>Manyakhet / Malkhed, Karnataka</t>
  </si>
  <si>
    <t>Kailash temple, Ellora</t>
  </si>
  <si>
    <t>Rock cut temple, patronised by Krishna I</t>
  </si>
  <si>
    <t>Krishneswar temple, Rameshwaram</t>
  </si>
  <si>
    <t>Built by Krishna III</t>
  </si>
  <si>
    <t>Kavirajamarga</t>
  </si>
  <si>
    <t>written in Kanada &amp; written by Amogvarsha</t>
  </si>
  <si>
    <t>Kavirahasya</t>
  </si>
  <si>
    <t>written by Halayudha &amp; patronised by Krishna III</t>
  </si>
  <si>
    <t>Adipurana</t>
  </si>
  <si>
    <t>written by Pampa, about Adinath the first Jain Tirthankara</t>
  </si>
  <si>
    <t>Vikramarjuna vijaya</t>
  </si>
  <si>
    <t>written by Pampa</t>
  </si>
  <si>
    <t>Santipurana</t>
  </si>
  <si>
    <t>written by Ponnna</t>
  </si>
  <si>
    <t>Sabdanusasana</t>
  </si>
  <si>
    <t>Amoghavriti</t>
  </si>
  <si>
    <t>written by Sakatayana in the periof of Amogvarsha, grammer book</t>
  </si>
  <si>
    <t>written by Sakatayana in the periof of Amogvarsha, autobiography of Amogvarsha</t>
  </si>
  <si>
    <t>Rashtakutas</t>
  </si>
  <si>
    <t>Western Chalukyas</t>
  </si>
  <si>
    <t>Gurjar Pratihara
    - Origin
    - Rulers
    - Administration</t>
  </si>
  <si>
    <t>Period of Gurjar Pratihara</t>
  </si>
  <si>
    <t>[730 - 1036 CE]</t>
  </si>
  <si>
    <t>[730 - 760 CE]</t>
  </si>
  <si>
    <t>Reign of Nagabhatt I</t>
  </si>
  <si>
    <t>Reign of Nagabhatt II</t>
  </si>
  <si>
    <t>[800 - 833CE]</t>
  </si>
  <si>
    <t>Reign of Mihir Bhoja</t>
  </si>
  <si>
    <t>[836 - 885 CE]</t>
  </si>
  <si>
    <t>[885 - 910 CE]</t>
  </si>
  <si>
    <t>Reign of Mahendrapal</t>
  </si>
  <si>
    <t>[910 - 944 CE]</t>
  </si>
  <si>
    <t>Reign of Mahipal</t>
  </si>
  <si>
    <t>Gurjar Pratihara</t>
  </si>
  <si>
    <t>First Battle of Rajasthan - Gurjar Prathihara king Nagabhatt vs Arab king Junaid</t>
  </si>
  <si>
    <t>Gurjar Prathihara</t>
  </si>
  <si>
    <t>Tri party struggle of Kannauj - Gurjar Prathihara vs Rashtrakutas vs Palas, Gurjar Prathihara was the winner</t>
  </si>
  <si>
    <t>Nagabhatt I</t>
  </si>
  <si>
    <t>Junaid</t>
  </si>
  <si>
    <t>Arab king, whose expansion was stopped by Nagabhatt I</t>
  </si>
  <si>
    <t>Nagbhatt II</t>
  </si>
  <si>
    <t>First known ruler of Gurjar Pratihara dynasty</t>
  </si>
  <si>
    <t>Ruler of Gurjar Pratihara dynasty</t>
  </si>
  <si>
    <t>Mihir Bhoja</t>
  </si>
  <si>
    <t>Mahendrapal</t>
  </si>
  <si>
    <t>Mahipal</t>
  </si>
  <si>
    <t>Arab merchant, visited during the period of Mihir Bhoja</t>
  </si>
  <si>
    <t>Adivaraha</t>
  </si>
  <si>
    <t>title given to Mihir Bhoja</t>
  </si>
  <si>
    <t>Juzr</t>
  </si>
  <si>
    <t>Jodhpur</t>
  </si>
  <si>
    <t>Old capital of Gurjar Pratihara</t>
  </si>
  <si>
    <t>New capital of Gurjar Pratihara</t>
  </si>
  <si>
    <t>Skandavara</t>
  </si>
  <si>
    <t>Rajashekar</t>
  </si>
  <si>
    <t>court poet of Mahendrapal</t>
  </si>
  <si>
    <t>Barah copper plate inscription</t>
  </si>
  <si>
    <t>About Mihir Bhoja</t>
  </si>
  <si>
    <t>Kavyamimansa</t>
  </si>
  <si>
    <t>written by Rajashekar, court poet of Mahendrapal, guide to write poem</t>
  </si>
  <si>
    <t>Viddhashalabhanjika</t>
  </si>
  <si>
    <t>written by Rajashekar in Sanskrit language, court poet of Mahendrapal, drama</t>
  </si>
  <si>
    <t>place where military camp is established</t>
  </si>
  <si>
    <t>Kannauj / Mahodaya</t>
  </si>
  <si>
    <t>Palas
    - Origin
    - Rulers
    - Art &amp; Architecture of Palas
    - Foreign Contacts
    - Administration</t>
  </si>
  <si>
    <t>750 CE</t>
  </si>
  <si>
    <t>Reign of Gopala</t>
  </si>
  <si>
    <t>[770 - 810 CE]</t>
  </si>
  <si>
    <t>[810 - 850 CE]</t>
  </si>
  <si>
    <t>[1072 - 1126 CE]</t>
  </si>
  <si>
    <t>Reign of Dharmapala</t>
  </si>
  <si>
    <t>Reign of Devpala</t>
  </si>
  <si>
    <t>Reign of Rampala</t>
  </si>
  <si>
    <t>Palas</t>
  </si>
  <si>
    <t>Gopala</t>
  </si>
  <si>
    <t>Founder of Pala dynasty</t>
  </si>
  <si>
    <t>Ruler of Pala dynasty</t>
  </si>
  <si>
    <t>Taranatha</t>
  </si>
  <si>
    <t>Sulaiman</t>
  </si>
  <si>
    <t>Devpala</t>
  </si>
  <si>
    <t>Arab merchant, visited during the period of Devpala</t>
  </si>
  <si>
    <t>Ruhma</t>
  </si>
  <si>
    <t>title given to Devpala by Sulaiman</t>
  </si>
  <si>
    <t>title given to Mihir Bhoja by Sulaiman</t>
  </si>
  <si>
    <t>Given to Amogvarsha by Sulaiman</t>
  </si>
  <si>
    <t>Last strong ruler of Pala dynasty</t>
  </si>
  <si>
    <t>Sandhyakar Nandi</t>
  </si>
  <si>
    <t>Writtern in the period of Rampal</t>
  </si>
  <si>
    <t>Santarakshita Dipankar</t>
  </si>
  <si>
    <t>Buddhist scholar invited by Tibetan Buddhist</t>
  </si>
  <si>
    <t>Cotton(Muslin)</t>
  </si>
  <si>
    <t>trade with Arab merchants</t>
  </si>
  <si>
    <t>Sandalwood</t>
  </si>
  <si>
    <t>Ivory</t>
  </si>
  <si>
    <t>trade item</t>
  </si>
  <si>
    <t>Bengal</t>
  </si>
  <si>
    <t>Pala Dynasty ruled in this region</t>
  </si>
  <si>
    <t>Odisha</t>
  </si>
  <si>
    <t>Devapala established his rule in his reign</t>
  </si>
  <si>
    <t>Ramcharita</t>
  </si>
  <si>
    <t>built by Gupta dynasty but grows in the period of Palas</t>
  </si>
  <si>
    <t>Vikramshila Monastry</t>
  </si>
  <si>
    <t>Sompuri Monastry</t>
  </si>
  <si>
    <t>Odanpuri Monastry</t>
  </si>
  <si>
    <t>built by Palas, Buddhism was patronised in this monastry</t>
  </si>
  <si>
    <t>Indonesian Islands - Burma, Malaya, Java, Sumata</t>
  </si>
  <si>
    <t>Palas having contacts with Sailendra dynasty</t>
  </si>
  <si>
    <t>Uparika</t>
  </si>
  <si>
    <t>Mandaleswar</t>
  </si>
  <si>
    <t>Head of Bhukti(Province)</t>
  </si>
  <si>
    <t>Head of Mandal(District)</t>
  </si>
  <si>
    <t>Avritti</t>
  </si>
  <si>
    <t>Chaturaka</t>
  </si>
  <si>
    <t>Patakha</t>
  </si>
  <si>
    <t>Small land units</t>
  </si>
  <si>
    <t>written by Sandhakar Nandi, autobiography of Rampala</t>
  </si>
  <si>
    <t>Kalimpur copper plate inscription</t>
  </si>
  <si>
    <t>About the origin of Pala dynasty</t>
  </si>
  <si>
    <t>cotton</t>
  </si>
  <si>
    <t>trade with Indonesian Island</t>
  </si>
  <si>
    <t>Utapala</t>
  </si>
  <si>
    <t>Minister in the court of Harshvardhan</t>
  </si>
  <si>
    <t>Vardhan Dynasty</t>
  </si>
  <si>
    <t>1. Agnikula Myth
2. Parmars of Malwa
    - Origin
    - Rulers
3. Chauhan/Chahamanas of Delhi-Ajmer
    - Origin
    - Rulers
4. Chandella of Jejakabhukti
    - Origin
    - Feudal Lords
    - Ruler
5. Chaulukyas/Solanki of Gujarat
    - Rulers of Anahilapataka
6. Tomara of Haryana and Delhi
    - Origin
    - Sources
    - Rulers
7. Gahadavals/ Rathor of Kannauj
    - origin
    - Rulers
8. Guhilota/Sisodia of Mewar
    - Origin
    - Rulers</t>
  </si>
  <si>
    <t>9. Events in Odisha
    - Shailodbhava dynasty
    - Somvanshi dynasty
    - Ganga of Kalinganagar/Eastern Ganga Dynasty</t>
  </si>
  <si>
    <t>10. Sena Dynasty
    - Origin
    - Rulers</t>
  </si>
  <si>
    <t>[790 - 1150 CE]</t>
  </si>
  <si>
    <t>Period of Parmars of Malwa</t>
  </si>
  <si>
    <t>[948 - 972 CE]</t>
  </si>
  <si>
    <t>Reign of Siyaki II / Harsha</t>
  </si>
  <si>
    <t>[972 - 990 CE]</t>
  </si>
  <si>
    <t>Reign of Munja / Vakpatiraja II / Utapala</t>
  </si>
  <si>
    <t>[990 - 1010 CE]</t>
  </si>
  <si>
    <t>Reign of Sindhuraja</t>
  </si>
  <si>
    <t>[1010 - 1055 CE]</t>
  </si>
  <si>
    <t>Reign of Bhoja</t>
  </si>
  <si>
    <t>Parmars of Malwa</t>
  </si>
  <si>
    <t>Siyaki II / Harsh</t>
  </si>
  <si>
    <t>Ruler of Parmar dynasty</t>
  </si>
  <si>
    <t>Munja / Vakpatiraja II / Utapala</t>
  </si>
  <si>
    <t>Munja / Vakpatiraja II / Utapala adopted this title</t>
  </si>
  <si>
    <t>Prithivivallabha</t>
  </si>
  <si>
    <t>Sri vallabha</t>
  </si>
  <si>
    <t>ttitle given to Munja / Vakpatiraja II / Utapala</t>
  </si>
  <si>
    <t>Sindhuraja</t>
  </si>
  <si>
    <t>Writer during the period of Sindhuraja</t>
  </si>
  <si>
    <t>Padmagupta</t>
  </si>
  <si>
    <t>Bhoja</t>
  </si>
  <si>
    <t>Invasion of Gazanavids in the regin of Parmar king Bhoja</t>
  </si>
  <si>
    <t>Param Dev</t>
  </si>
  <si>
    <t>title given to Bhoja</t>
  </si>
  <si>
    <t>Parmar dynasty declined after Bhoja and was attacked anc controlled by Allauddin Khilji</t>
  </si>
  <si>
    <t>Kalika temple</t>
  </si>
  <si>
    <t xml:space="preserve">Dhar, Madhya Pradhesh - built by Munja / Vakpatiraja II / Utapala </t>
  </si>
  <si>
    <t>Bhoj Shala</t>
  </si>
  <si>
    <t>Saraswati temple / Bhojeshswar temple</t>
  </si>
  <si>
    <t xml:space="preserve">Dhar, Madhya Pradhesh - built by Bhoja </t>
  </si>
  <si>
    <t xml:space="preserve">Center for Sanskrit studies - built by Bhoja </t>
  </si>
  <si>
    <t>Nava-Sahasanka Charita</t>
  </si>
  <si>
    <t>written by Padmagupta, autobiography of Sinduraja</t>
  </si>
  <si>
    <t>[700 - 1192 CE]</t>
  </si>
  <si>
    <t>Period of Chauhan / Chahamanas of Delhi-Ajmer</t>
  </si>
  <si>
    <t>[944 - 9971 CE]</t>
  </si>
  <si>
    <t>[1110 - 1135 CE]</t>
  </si>
  <si>
    <t>[1177 - 1192 CE]</t>
  </si>
  <si>
    <t>Reign of Simharaja</t>
  </si>
  <si>
    <t>Reign of Ajayaraja II</t>
  </si>
  <si>
    <t>Reign of Prithviraja III</t>
  </si>
  <si>
    <t>1191 CE</t>
  </si>
  <si>
    <t>First Battle of Tarain - Prithviraj Chauhan defeated Muhammad Ghori</t>
  </si>
  <si>
    <t>1192 CE</t>
  </si>
  <si>
    <t>Second Battle of Tarain - Muhammad Ghori defeated Prithviraj Chauhan</t>
  </si>
  <si>
    <t>Chauhan / Chahamanas of Delhi-Ajmer</t>
  </si>
  <si>
    <t>Simharaja</t>
  </si>
  <si>
    <t>Ajayaraja II</t>
  </si>
  <si>
    <t>Prithviraja III</t>
  </si>
  <si>
    <t>Chauhan dynasty's Prtihiviraja III defeated the Chandella dynasty's ruler Paramardideva</t>
  </si>
  <si>
    <t>Rai Pithora</t>
  </si>
  <si>
    <t>Muhammad Ghori</t>
  </si>
  <si>
    <t>Jayanaka</t>
  </si>
  <si>
    <t>Ruler of Chauhan dynasty</t>
  </si>
  <si>
    <t>Ruler of Chauhan dynasty, declared indepndence from Gurjar-Pratiharas</t>
  </si>
  <si>
    <t>title given to Prithviraja III</t>
  </si>
  <si>
    <t>Defeated Prithviraja III in the second battle of Tarain [ 1192CE]</t>
  </si>
  <si>
    <t>court poet of Prithviraj III</t>
  </si>
  <si>
    <t>Ajaymeru(present day Ajmer)</t>
  </si>
  <si>
    <t>city built by Ajayaraja</t>
  </si>
  <si>
    <t>Rajasthan to Delhi</t>
  </si>
  <si>
    <t>Chauhan dynasty's kingdom expansion under Prithviraja III</t>
  </si>
  <si>
    <t>Prithviraj Raso</t>
  </si>
  <si>
    <t>Prithviraj Vijaya</t>
  </si>
  <si>
    <t>Chandbardai</t>
  </si>
  <si>
    <t>written by Chandbardai,book of poem</t>
  </si>
  <si>
    <t>written by Jayanaka</t>
  </si>
  <si>
    <t>Chauhans</t>
  </si>
  <si>
    <t>[831 - 1202 CE]</t>
  </si>
  <si>
    <t>Period of Chandella of Jejakabhukti</t>
  </si>
  <si>
    <t>[831 - 845 CE]</t>
  </si>
  <si>
    <t>[990 - 925 CE</t>
  </si>
  <si>
    <t>[925 - 950 CE]</t>
  </si>
  <si>
    <t>[950 - 1000 CE]</t>
  </si>
  <si>
    <t>[1000 -1035 CE]</t>
  </si>
  <si>
    <t>Regin of Harsha</t>
  </si>
  <si>
    <t>Reign of Yashovarman</t>
  </si>
  <si>
    <t>Reign of Dhangadev</t>
  </si>
  <si>
    <t>Vidyadhara</t>
  </si>
  <si>
    <t>Reign of Vidyadhara</t>
  </si>
  <si>
    <t>Nannuk</t>
  </si>
  <si>
    <t>Reign of Nannuk</t>
  </si>
  <si>
    <t>Chandella</t>
  </si>
  <si>
    <t>Jaya Shakti / Jeja</t>
  </si>
  <si>
    <t>Vijaya Shakti / Vija</t>
  </si>
  <si>
    <t>Harsha</t>
  </si>
  <si>
    <t>Yashovarman</t>
  </si>
  <si>
    <t>Dhangadev</t>
  </si>
  <si>
    <t>Parmardideva</t>
  </si>
  <si>
    <t>Alha &amp; Udal</t>
  </si>
  <si>
    <t>Maharajaadhiraja</t>
  </si>
  <si>
    <t>Founder of Chandella dynasty (Feudal Lord)</t>
  </si>
  <si>
    <t>Ruler of Chandella dynasty</t>
  </si>
  <si>
    <t>Ruler of Chandella dynasty (Feudal Lord)</t>
  </si>
  <si>
    <t>First independent ruler of Chandella dynasty</t>
  </si>
  <si>
    <t>title given to Dhangadev</t>
  </si>
  <si>
    <t>Legendry warriors who fought against Prithivraj III of Chauhan dynasty</t>
  </si>
  <si>
    <t>Ruler of Chandella dynasty, defetaed by Prithviraj III of Chauhan dynasty</t>
  </si>
  <si>
    <t>Lakshmana temple</t>
  </si>
  <si>
    <t>Khajuraho, Madhya Pradhesh, built by Yashovarman</t>
  </si>
  <si>
    <t>Chandellas</t>
  </si>
  <si>
    <t>Vishvanatha temple</t>
  </si>
  <si>
    <t>Parshvanath temple</t>
  </si>
  <si>
    <t>Khajuraho, Madhya Pradhesh, built by Dhangadev</t>
  </si>
  <si>
    <t>Kandriya Mahadev temple</t>
  </si>
  <si>
    <t>built by Vidyadhara</t>
  </si>
  <si>
    <t>Khajuraho inscription</t>
  </si>
  <si>
    <t>Issued by Dhangadev</t>
  </si>
  <si>
    <t>[942 - 1297 CE]</t>
  </si>
  <si>
    <t>[940 - 995 CE</t>
  </si>
  <si>
    <t>[1092 - 1142 CE]</t>
  </si>
  <si>
    <t>[1022 - 1064 CE]</t>
  </si>
  <si>
    <t>[1142 - 1171 CE]</t>
  </si>
  <si>
    <t>[1172 - 1240 CE]]</t>
  </si>
  <si>
    <t>Period of Chaulukyas / Solanki of Gujarat</t>
  </si>
  <si>
    <t>Reign of Mulraja</t>
  </si>
  <si>
    <t>Reign of Bhimadev I</t>
  </si>
  <si>
    <t>Reign of Siddharaja Jayasimha</t>
  </si>
  <si>
    <t>Reign of Kumarapala</t>
  </si>
  <si>
    <t>Reign of Bhimadev II</t>
  </si>
  <si>
    <t>Chaulukyas / Solankis</t>
  </si>
  <si>
    <t>1025 CE</t>
  </si>
  <si>
    <t>Mahmud of Ghazni plundered Somnath Temple during the reign of Chaulukyas / Solankis' king Bhimadev I</t>
  </si>
  <si>
    <t>Mulraja</t>
  </si>
  <si>
    <t>Bhimadev I</t>
  </si>
  <si>
    <t>Vimalsha</t>
  </si>
  <si>
    <t>Rani Udaymati</t>
  </si>
  <si>
    <t>Siddharaja Jayasimha</t>
  </si>
  <si>
    <t>Hemchandra Suri</t>
  </si>
  <si>
    <t>Kumarapala</t>
  </si>
  <si>
    <t>Bhimadev II</t>
  </si>
  <si>
    <t>Minister in the court of Bhimadev I</t>
  </si>
  <si>
    <t>Wife of Bhimadev I</t>
  </si>
  <si>
    <t>Jain scholar and author was present in the court of Siddharaja Jayasimha</t>
  </si>
  <si>
    <t>Anahilapataka</t>
  </si>
  <si>
    <t>One of the kingdom branch of Chaulukyas / Solankis dynasty</t>
  </si>
  <si>
    <t>Mulavasatika</t>
  </si>
  <si>
    <t>Mulanatha - jinadeva</t>
  </si>
  <si>
    <t>Sun temple</t>
  </si>
  <si>
    <t>Vimal Vashi temple</t>
  </si>
  <si>
    <t>Rani-ki vav(Queen's stepwell)</t>
  </si>
  <si>
    <t>Parishishtaparvan</t>
  </si>
  <si>
    <t>Siddem Shabdanushasan</t>
  </si>
  <si>
    <t>Trishashtishalakapurushacharita</t>
  </si>
  <si>
    <t>Jain temple built by Mulraja</t>
  </si>
  <si>
    <t>Modhera, Gujarat, built by Bhimadev I</t>
  </si>
  <si>
    <t>Built by Vimalsha, minister under Bhimadev I</t>
  </si>
  <si>
    <t>Built by Rani Udaymati, wife of Bhimadev I</t>
  </si>
  <si>
    <t>Jain text, written by Hemchandra Suri</t>
  </si>
  <si>
    <t>Jain grammar text, written by Hemchandra Suri</t>
  </si>
  <si>
    <t>Anangapala Tomar</t>
  </si>
  <si>
    <t>Anangapala II</t>
  </si>
  <si>
    <t>Surajpala</t>
  </si>
  <si>
    <t>Ruler of Tomar dynasty</t>
  </si>
  <si>
    <t>Tomars</t>
  </si>
  <si>
    <t>Dhillika (Delhi)</t>
  </si>
  <si>
    <t>Capital of Tomar dynasty</t>
  </si>
  <si>
    <t>Shri Samanata Deva</t>
  </si>
  <si>
    <t>Title given to Anangapala Tomar</t>
  </si>
  <si>
    <t>Citadel of LalKot</t>
  </si>
  <si>
    <t>Mehrauli, Delhi</t>
  </si>
  <si>
    <t>Anang Tal</t>
  </si>
  <si>
    <t>lake near Mehrauli, Delhi</t>
  </si>
  <si>
    <t>Surajkund (Sun lake)</t>
  </si>
  <si>
    <t>Aravalli, Delhi - for rain water harvesting</t>
  </si>
  <si>
    <t>Palm Baoli Inscription</t>
  </si>
  <si>
    <t>Delhi, information about Tomars, Chauhans &amp; Delhi Sultanates</t>
  </si>
  <si>
    <t>Iron pillar</t>
  </si>
  <si>
    <t>Mehrauli, Delhi - About Anangapal Tomar</t>
  </si>
  <si>
    <t>Contains information about Anangapal Tomar</t>
  </si>
  <si>
    <t>[1090 - 1194 CE]</t>
  </si>
  <si>
    <t>[1090 CE]</t>
  </si>
  <si>
    <t>[1114 - 1154 CE]</t>
  </si>
  <si>
    <t>[1170 - 1194 CE]</t>
  </si>
  <si>
    <t>Period of Ghadavala dynasty</t>
  </si>
  <si>
    <t>Reign of Chandradeva</t>
  </si>
  <si>
    <t>Reign of Govindchandra</t>
  </si>
  <si>
    <t>Reign of Jayachandra</t>
  </si>
  <si>
    <t>Ghadavalas / Rathors</t>
  </si>
  <si>
    <t>Chandradeva</t>
  </si>
  <si>
    <t>Govindchandra</t>
  </si>
  <si>
    <t>Jayachandra</t>
  </si>
  <si>
    <t>Founder of Ghadavalas dynasty</t>
  </si>
  <si>
    <t>Ruler of Ghadavalas dynasty, defeated the Ghaznavids</t>
  </si>
  <si>
    <t>Ruler of Ghadavalas dynasty, last great ruler of Ghadavalas dynasty</t>
  </si>
  <si>
    <t>Kannauj</t>
  </si>
  <si>
    <t>Capital of Ghadavalas dynasty</t>
  </si>
  <si>
    <t>[800 - 1500 CE]</t>
  </si>
  <si>
    <t>[1335 CE]</t>
  </si>
  <si>
    <t>[1302 - 1303 CE]</t>
  </si>
  <si>
    <t>[1433 - 1468 CE]</t>
  </si>
  <si>
    <t>Period of Guhilota / Sisodia of Mewar</t>
  </si>
  <si>
    <t>Reign of Rana Hammira</t>
  </si>
  <si>
    <t>Reign of Rana Ratan Singh</t>
  </si>
  <si>
    <t>Reign of Rana Kumbha</t>
  </si>
  <si>
    <t>Rana Kumbha fought against Khilji dynasty's king and won Chittorgarh</t>
  </si>
  <si>
    <t>Khilji dynasty's king Allaudin Khilji attacked Chittorgarh and defeated Rana Ratan Singh</t>
  </si>
  <si>
    <t>Sisodias</t>
  </si>
  <si>
    <t>Bappa Rawal</t>
  </si>
  <si>
    <t>Rana Hammira</t>
  </si>
  <si>
    <t>Rana</t>
  </si>
  <si>
    <t>Rana Ratan Singh</t>
  </si>
  <si>
    <t>Rana Kumbha</t>
  </si>
  <si>
    <t>Considered founder of Sisodia dynasty</t>
  </si>
  <si>
    <t>Rana Hammira was the first person to use the title Rana</t>
  </si>
  <si>
    <t>Ruler of Sisodia dynasty</t>
  </si>
  <si>
    <t>Ruler of Sisodia dynasty, was attacked and defeated by Allaudin Khilji</t>
  </si>
  <si>
    <t>Ruler of Sisodia dynasty, fought back and won the capital of Sisodia - Chittorgarh</t>
  </si>
  <si>
    <t>Rani Padmavati</t>
  </si>
  <si>
    <t>Wife of Rana Ratan Singh, performed Jahaur</t>
  </si>
  <si>
    <t>Chittorgarh</t>
  </si>
  <si>
    <t>Capital of Sisodia dynasty</t>
  </si>
  <si>
    <t>Sisodias
(Kishkinda region)</t>
  </si>
  <si>
    <t>Chaulukyas / Solankis
(Anahilapataka region)</t>
  </si>
  <si>
    <t>Ruler of Chaulukyas / Solankis</t>
  </si>
  <si>
    <t>Ruler ofChaulukyas / Solankis, Grandson of Mulraja</t>
  </si>
  <si>
    <t>Annaponna Mata temple</t>
  </si>
  <si>
    <t>Vijaya Stambha (Victory Tower)</t>
  </si>
  <si>
    <t>Chittorgarh, built by Rana Kumbha after defeating the Khilji dynasty</t>
  </si>
  <si>
    <t>[600 - 800 CE]</t>
  </si>
  <si>
    <t>Period of Shailodbhava dynasty</t>
  </si>
  <si>
    <t>Ganga of Shvetaka, Utkal (North Odisha)  - subordinate to Shailodbhava dynasty</t>
  </si>
  <si>
    <t>Ganga of Kalinganagar, Kalinga, (South Odisha)  - subordinate to Shailodbhava dynasty</t>
  </si>
  <si>
    <t xml:space="preserve">Somvanshi dynasty took over Ganga of Shvetaka </t>
  </si>
  <si>
    <t>Period of Ganga of Kalinganagar / Eastern Ganga dynasty</t>
  </si>
  <si>
    <t>Not given</t>
  </si>
  <si>
    <t>Reign of Antavarman Chadoganga Deva</t>
  </si>
  <si>
    <t>Reign of Narasimhadeva</t>
  </si>
  <si>
    <t>[1238 - 1264 CE]</t>
  </si>
  <si>
    <t>Jagganath temple, Puri</t>
  </si>
  <si>
    <t>Built by Anatavarman Chadoganga Deva</t>
  </si>
  <si>
    <t>Sun temple, Konarka</t>
  </si>
  <si>
    <t>Built by Narsimhadeva</t>
  </si>
  <si>
    <t>Eastern Gangas</t>
  </si>
  <si>
    <t>Rampal / Rampala</t>
  </si>
  <si>
    <t xml:space="preserve">Gauda </t>
  </si>
  <si>
    <t>powerful king of Eastern Ganga dynasty</t>
  </si>
  <si>
    <t>Anantavarman Chadoganga Deva</t>
  </si>
  <si>
    <t>ruler of Gauda dynasty defeated by Harshvardhan from Vardhan dynasty</t>
  </si>
  <si>
    <t>ruler of Eastern Ganga dynasty</t>
  </si>
  <si>
    <t>Narasimhadeva</t>
  </si>
  <si>
    <t>feudal lord under the Pala dynasty</t>
  </si>
  <si>
    <t>Period of Sena Dynasty</t>
  </si>
  <si>
    <t>[1158 - 1179 CE]</t>
  </si>
  <si>
    <t>Eastern Ganga</t>
  </si>
  <si>
    <t>[1095 - 1158 CE]</t>
  </si>
  <si>
    <t>[1178 - 1206CE]</t>
  </si>
  <si>
    <t>Lakshamana Sena</t>
  </si>
  <si>
    <t>Reign of Vijaya Sena</t>
  </si>
  <si>
    <t>Reign of Bhallal Sena</t>
  </si>
  <si>
    <t xml:space="preserve">Sena </t>
  </si>
  <si>
    <t>Samanta Sena</t>
  </si>
  <si>
    <t>Vijaya Sena</t>
  </si>
  <si>
    <t>Bhalla Sena</t>
  </si>
  <si>
    <t>ruler of Sena dynasty, declared independence from Pala dynasty</t>
  </si>
  <si>
    <t>ruler of Sena dynasty</t>
  </si>
  <si>
    <t>Ramadevi</t>
  </si>
  <si>
    <t>married to Bhalla Sena, princess of Western Chalukya</t>
  </si>
  <si>
    <t>Halayudh</t>
  </si>
  <si>
    <t>Minister in the court of Bhalla Sena</t>
  </si>
  <si>
    <t>Last strong ruler of Sena dynasty</t>
  </si>
  <si>
    <t>Arirajamadana sankar</t>
  </si>
  <si>
    <t>Gureshwar</t>
  </si>
  <si>
    <t>Paramvaishnav</t>
  </si>
  <si>
    <t>title given to Lakshamana Sena</t>
  </si>
  <si>
    <t>Umapati Dhar</t>
  </si>
  <si>
    <t>Minister in the court of Lakshamana Sena</t>
  </si>
  <si>
    <t>1204 CE</t>
  </si>
  <si>
    <t>Bakhtiyar Khilji attacked Nawadwip, Lakshmana Sena of Sena dynasty fleed the capital without any resistance</t>
  </si>
  <si>
    <t>Sena</t>
  </si>
  <si>
    <t>Vijaypura</t>
  </si>
  <si>
    <t>Vikrampura</t>
  </si>
  <si>
    <t>Nawadwip</t>
  </si>
  <si>
    <t>Capital of Sena dynasty, under Vijaya Sena</t>
  </si>
  <si>
    <t>Capital of Sena dynasty, under Bhallal Sena</t>
  </si>
  <si>
    <t>Barrackpore plate inscription</t>
  </si>
  <si>
    <t>Source about Sena dynasty</t>
  </si>
  <si>
    <t>Danasagar</t>
  </si>
  <si>
    <t>Chittor Raj,  built by Rana Hammira</t>
  </si>
  <si>
    <t>Adbhutsagar</t>
  </si>
  <si>
    <t>book of poem, written by Bhallal Sena</t>
  </si>
  <si>
    <t>started by Bhallal Sena, completed by hi minister Halayudh</t>
  </si>
  <si>
    <t>Jayadev</t>
  </si>
  <si>
    <t>who wrote Gita Govinda</t>
  </si>
  <si>
    <t>Gita Govinda</t>
  </si>
  <si>
    <t>Deopara Prashasti</t>
  </si>
  <si>
    <t>written by Jayadev</t>
  </si>
  <si>
    <t>written by Umapati Dhar, about Vijaya Sena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</si>
</sst>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rgb="FF000000"/>
      <name val="Times New Roman"/>
      <family val="1"/>
    </font>
    <font>
      <b/>
      <sz val="11"/>
      <color theme="3" tint="-0.499984740745262"/>
      <name val="Times New Roman"/>
      <family val="1"/>
    </font>
    <font>
      <sz val="11"/>
      <color theme="2" tint="-0.749992370372631"/>
      <name val="Times New Roman"/>
      <family val="1"/>
    </font>
    <font>
      <b/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4" fillId="8" borderId="1" xfId="0" applyFont="1" applyFill="1" applyBorder="1"/>
    <xf numFmtId="0" fontId="4" fillId="11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2" borderId="1" xfId="0" applyFont="1" applyFill="1" applyBorder="1"/>
    <xf numFmtId="0" fontId="1" fillId="4" borderId="6" xfId="0" applyFont="1" applyFill="1" applyBorder="1"/>
    <xf numFmtId="0" fontId="1" fillId="5" borderId="6" xfId="0" applyFont="1" applyFill="1" applyBorder="1"/>
    <xf numFmtId="0" fontId="1" fillId="6" borderId="6" xfId="0" applyFont="1" applyFill="1" applyBorder="1"/>
    <xf numFmtId="0" fontId="1" fillId="7" borderId="6" xfId="0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6" fillId="9" borderId="1" xfId="0" applyFont="1" applyFill="1" applyBorder="1"/>
    <xf numFmtId="0" fontId="6" fillId="10" borderId="1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0" xfId="0" applyFont="1" applyBorder="1"/>
    <xf numFmtId="0" fontId="5" fillId="0" borderId="1" xfId="0" applyFont="1" applyBorder="1"/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6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088024-6241-476D-8518-9DAD3A5C2EDB}" name="Table8" displayName="Table8" ref="A2:C68" totalsRowShown="0" headerRowDxfId="76" headerRowBorderDxfId="75" tableBorderDxfId="74" totalsRowBorderDxfId="73">
  <autoFilter ref="A2:C68" xr:uid="{05088024-6241-476D-8518-9DAD3A5C2EDB}"/>
  <tableColumns count="3">
    <tableColumn id="1" xr3:uid="{E34CDD70-A3AB-45E0-8A2A-63708229F1A2}" name="SL.No" dataDxfId="72"/>
    <tableColumn id="2" xr3:uid="{DAA51DF8-6A66-4119-BB8B-7C254BBD8AEC}" name="Category No" dataDxfId="71"/>
    <tableColumn id="3" xr3:uid="{38A6B588-DC49-4BEE-8C73-9546B9A7FDEF}" name="Chapter List" dataDxfId="7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B8D923-147D-4898-9130-6DFC7653453B}" name="Table6" displayName="Table6" ref="A1:D1000" totalsRowShown="0" headerRowDxfId="69" dataDxfId="67" headerRowBorderDxfId="68" tableBorderDxfId="66" totalsRowBorderDxfId="65">
  <autoFilter ref="A1:D1000" xr:uid="{67B8D923-147D-4898-9130-6DFC7653453B}"/>
  <tableColumns count="4">
    <tableColumn id="1" xr3:uid="{2C0098E3-D9EF-415F-B830-03855C884022}" name="SL. No" dataDxfId="64"/>
    <tableColumn id="2" xr3:uid="{8364D35C-F6DC-46A0-917E-B9928DF6B1CE}" name="Category No" dataDxfId="63"/>
    <tableColumn id="3" xr3:uid="{DDE5593A-8FBE-4006-80D9-DD0EDFF39140}" name="Chapter Name" dataDxfId="62">
      <calculatedColumnFormula>_xlfn.XLOOKUP(Table6[[#This Row],[Category No]],Table8[Category No],Table8[Chapter List],FALSE)</calculatedColumnFormula>
    </tableColumn>
    <tableColumn id="4" xr3:uid="{C692D4D1-7548-49D6-9F58-BFFAFAC00B1C}" name="Flow of chapter" dataDxfId="6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F596BC-E826-45AE-A994-D1FC0E822334}" name="Table610" displayName="Table610" ref="A1:E1001" totalsRowShown="0" headerRowDxfId="60" dataDxfId="58" headerRowBorderDxfId="59" tableBorderDxfId="57" totalsRowBorderDxfId="56">
  <autoFilter ref="A1:E1001" xr:uid="{67B8D923-147D-4898-9130-6DFC7653453B}"/>
  <tableColumns count="5">
    <tableColumn id="1" xr3:uid="{5E2106A0-4425-4C70-B6D6-81F851E9063B}" name="SL. No" dataDxfId="55"/>
    <tableColumn id="2" xr3:uid="{075C108C-CAF0-411B-95BE-F5A18FC206F8}" name="Category No" dataDxfId="54"/>
    <tableColumn id="3" xr3:uid="{797AE275-5CFB-49E8-9A82-43773C24F45B}" name="Chapter Name" dataDxfId="53">
      <calculatedColumnFormula>_xlfn.XLOOKUP(Table610[[#This Row],[Category No]],Table8[Category No],Table8[Chapter List],FALSE)</calculatedColumnFormula>
    </tableColumn>
    <tableColumn id="4" xr3:uid="{5645D899-6476-4D80-B54D-4AAB84FDD491}" name="Timeline" dataDxfId="52"/>
    <tableColumn id="5" xr3:uid="{894FAAED-0CED-4210-85C4-C53753DED8AB}" name="Event" dataDxfId="5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015063-B878-4DAD-9A16-892B441E27A8}" name="Table61011" displayName="Table61011" ref="A1:E1000" totalsRowShown="0" headerRowDxfId="50" dataDxfId="48" headerRowBorderDxfId="49" tableBorderDxfId="47" totalsRowBorderDxfId="46">
  <autoFilter ref="A1:E1000" xr:uid="{67B8D923-147D-4898-9130-6DFC7653453B}"/>
  <tableColumns count="5">
    <tableColumn id="1" xr3:uid="{A561D7C9-DC4D-4C6E-AD4E-E4CF167177D3}" name="SL. No" dataDxfId="45"/>
    <tableColumn id="2" xr3:uid="{B514A9D8-6D54-4594-8B14-7855A615734A}" name="Category No" dataDxfId="44"/>
    <tableColumn id="3" xr3:uid="{2B702DF4-B638-451D-A197-DD8920B8AFCB}" name="Chapter Name" dataDxfId="43">
      <calculatedColumnFormula>_xlfn.XLOOKUP(Table61011[[#This Row],[Category No]],Table8[Category No],Table8[Chapter List],FALSE)</calculatedColumnFormula>
    </tableColumn>
    <tableColumn id="4" xr3:uid="{5E9301FC-C73F-4257-821F-F10925D6132F}" name="Year" dataDxfId="42"/>
    <tableColumn id="5" xr3:uid="{6D6770BA-EE57-4236-B508-87C776488557}" name="Events" dataDxfId="4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202C38C-7F07-419B-8FBA-C1DD40AF5872}" name="Table6101112" displayName="Table6101112" ref="A1:E1000" totalsRowShown="0" headerRowDxfId="40" dataDxfId="38" headerRowBorderDxfId="39" tableBorderDxfId="37" totalsRowBorderDxfId="36">
  <autoFilter ref="A1:E1000" xr:uid="{67B8D923-147D-4898-9130-6DFC7653453B}"/>
  <tableColumns count="5">
    <tableColumn id="1" xr3:uid="{1E813366-9EB3-4D05-9BB8-15FFB22C5DA0}" name="SL. No" dataDxfId="35"/>
    <tableColumn id="2" xr3:uid="{D34D44FD-E40F-49FF-B164-295FBE847505}" name="Category No" dataDxfId="34"/>
    <tableColumn id="3" xr3:uid="{91A164DD-B241-492E-9239-9AC8922E2829}" name="Chapter Name" dataDxfId="33">
      <calculatedColumnFormula>_xlfn.XLOOKUP(Table6101112[[#This Row],[Category No]],Table8[Category No],Table8[Chapter List],FALSE)</calculatedColumnFormula>
    </tableColumn>
    <tableColumn id="4" xr3:uid="{0F2CA7F4-78A7-4419-8AE5-B053BC1F903B}" name="Year" dataDxfId="32"/>
    <tableColumn id="5" xr3:uid="{B4489705-7FAB-45FB-99E7-4A7A96CEABB3}" name="Battles" dataDxfId="31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5EAE4F2-9979-4D6A-8008-5C38E32ECF81}" name="Table610111213" displayName="Table610111213" ref="A1:F1009" totalsRowShown="0" headerRowDxfId="30" dataDxfId="28" headerRowBorderDxfId="29" tableBorderDxfId="27" totalsRowBorderDxfId="26">
  <autoFilter ref="A1:F1009" xr:uid="{67B8D923-147D-4898-9130-6DFC7653453B}"/>
  <tableColumns count="6">
    <tableColumn id="1" xr3:uid="{8A9B2712-11E9-432A-8173-1A8D17B40D29}" name="SL. No" dataDxfId="25"/>
    <tableColumn id="2" xr3:uid="{A9382B50-7E31-4ECF-821A-CF9E4DACCD4F}" name="Category No" dataDxfId="24"/>
    <tableColumn id="3" xr3:uid="{82B4AE4D-61F9-4733-870F-0209C169D396}" name="Chapter Name" dataDxfId="23">
      <calculatedColumnFormula>_xlfn.XLOOKUP(Table610111213[[#This Row],[Category No]],Table8[Category No],Table8[Chapter List],FALSE)</calculatedColumnFormula>
    </tableColumn>
    <tableColumn id="5" xr3:uid="{4D75030E-3AC2-4C08-9D40-3E98E3D19D40}" name="Characters" dataDxfId="22"/>
    <tableColumn id="4" xr3:uid="{0D2CAAB3-E1AA-498C-8684-F81B731400BA}" name="Character/Titles" dataDxfId="21"/>
    <tableColumn id="6" xr3:uid="{86771ABB-33D6-4343-ACD8-C05EDA38A3EA}" name="Details" dataDxfId="20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C97D0AF-25B3-4A16-A127-D693E114FA50}" name="Table61011121314" displayName="Table61011121314" ref="A1:E1000" totalsRowShown="0" headerRowDxfId="19" dataDxfId="17" headerRowBorderDxfId="18" tableBorderDxfId="16" totalsRowBorderDxfId="15">
  <autoFilter ref="A1:E1000" xr:uid="{67B8D923-147D-4898-9130-6DFC7653453B}"/>
  <tableColumns count="5">
    <tableColumn id="1" xr3:uid="{E14FA1FE-6DDD-47A3-AC42-7F6069713DDE}" name="SL. No" dataDxfId="14"/>
    <tableColumn id="2" xr3:uid="{D4132587-86C2-49EE-9005-B07A2A997809}" name="Category No" dataDxfId="13"/>
    <tableColumn id="3" xr3:uid="{4F33C3D0-BF43-459A-BB36-61DFF0826F45}" name="Chapter Name" dataDxfId="12">
      <calculatedColumnFormula>_xlfn.XLOOKUP(Table61011121314[[#This Row],[Category No]],Table8[Category No],Table8[Chapter List],FALSE)</calculatedColumnFormula>
    </tableColumn>
    <tableColumn id="5" xr3:uid="{CF4DBB70-B726-4337-A486-CF56A4E66C29}" name="Geographical Locations" dataDxfId="11"/>
    <tableColumn id="6" xr3:uid="{D928BE4A-4CE7-4811-B9FA-DA9680DBC26B}" name="Timeline/Events" dataDxfId="10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7082A85-4AFC-4B48-A40D-6F865FE40B15}" name="Table6101112131415" displayName="Table6101112131415" ref="A1:F1006" totalsRowShown="0" headerRowDxfId="87" dataDxfId="85" headerRowBorderDxfId="86" tableBorderDxfId="84" totalsRowBorderDxfId="83">
  <autoFilter ref="A1:F1006" xr:uid="{67B8D923-147D-4898-9130-6DFC7653453B}"/>
  <tableColumns count="6">
    <tableColumn id="1" xr3:uid="{2AFB891B-26D0-48B0-ABB1-1020B2594C12}" name="SL. No" dataDxfId="82"/>
    <tableColumn id="2" xr3:uid="{5F7048C5-4ACF-4DE0-A032-06D12100E31B}" name="Category No" dataDxfId="81"/>
    <tableColumn id="3" xr3:uid="{56D77870-FADA-4409-B34E-903C93833148}" name="Chapter Name" dataDxfId="80">
      <calculatedColumnFormula>_xlfn.XLOOKUP(Table6101112131415[[#This Row],[Category No]],Table8[Category No],Table8[Chapter List],FALSE)</calculatedColumnFormula>
    </tableColumn>
    <tableColumn id="5" xr3:uid="{D62B4CE1-1677-4839-B3A1-DD2C67320457}" name="Name" dataDxfId="79"/>
    <tableColumn id="6" xr3:uid="{2C93BC3E-A4E2-4A7B-B681-82B378294D95}" name="Type" dataDxfId="78"/>
    <tableColumn id="7" xr3:uid="{F0C25B01-DA8B-48D8-88C2-F94E191FC3EE}" name="Details" dataDxfId="77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7071858-4713-4F65-8B49-A4013654EC63}" name="Table61011121316" displayName="Table61011121316" ref="A1:E1000" totalsRowShown="0" headerRowDxfId="9" dataDxfId="7" headerRowBorderDxfId="8" tableBorderDxfId="6" totalsRowBorderDxfId="5">
  <autoFilter ref="A1:E1000" xr:uid="{67B8D923-147D-4898-9130-6DFC7653453B}"/>
  <tableColumns count="5">
    <tableColumn id="1" xr3:uid="{961F4EE5-1E4D-4C67-A5F2-1E47FB7D2954}" name="SL. No" dataDxfId="4"/>
    <tableColumn id="2" xr3:uid="{942DDA79-981A-40FD-8225-4E78B83F1A5E}" name="Category No" dataDxfId="3"/>
    <tableColumn id="3" xr3:uid="{E346C9F9-3D93-4500-B2E2-EBC161A6EB26}" name="Chapter Name" dataDxfId="2">
      <calculatedColumnFormula>_xlfn.XLOOKUP(Table61011121316[[#This Row],[Category No]],Table8[Category No],Table8[Chapter List],FALSE)</calculatedColumnFormula>
    </tableColumn>
    <tableColumn id="5" xr3:uid="{9F54769C-B3E3-4F81-9D6D-1F17760DC786}" name="Word" dataDxfId="1"/>
    <tableColumn id="6" xr3:uid="{57CF965D-A5B5-4052-928D-4D0511F6E4E0}" name="Meaning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4BEF-C0E4-426F-A8F3-64DD624BF3EA}">
  <dimension ref="A2:I68"/>
  <sheetViews>
    <sheetView topLeftCell="A4" workbookViewId="0">
      <selection activeCell="C18" sqref="C18"/>
    </sheetView>
  </sheetViews>
  <sheetFormatPr defaultRowHeight="13.8" x14ac:dyDescent="0.25"/>
  <cols>
    <col min="1" max="1" width="8.44140625" style="1" customWidth="1"/>
    <col min="2" max="2" width="14.21875" style="1" bestFit="1" customWidth="1"/>
    <col min="3" max="3" width="55.21875" style="1" bestFit="1" customWidth="1"/>
    <col min="4" max="4" width="8.88671875" style="1"/>
    <col min="5" max="5" width="4.77734375" style="1" bestFit="1" customWidth="1"/>
    <col min="6" max="6" width="14.109375" style="1" bestFit="1" customWidth="1"/>
    <col min="7" max="7" width="8.88671875" style="1"/>
    <col min="8" max="8" width="3.88671875" style="1" customWidth="1"/>
    <col min="9" max="9" width="24.33203125" style="1" bestFit="1" customWidth="1"/>
    <col min="10" max="16384" width="8.88671875" style="1"/>
  </cols>
  <sheetData>
    <row r="2" spans="1:9" x14ac:dyDescent="0.25">
      <c r="A2" s="23" t="s">
        <v>129</v>
      </c>
      <c r="B2" s="24" t="s">
        <v>125</v>
      </c>
      <c r="C2" s="25" t="s">
        <v>128</v>
      </c>
      <c r="H2" s="8" t="s">
        <v>169</v>
      </c>
      <c r="I2" s="8" t="s">
        <v>1934</v>
      </c>
    </row>
    <row r="3" spans="1:9" x14ac:dyDescent="0.25">
      <c r="A3" s="7">
        <v>1</v>
      </c>
      <c r="B3" s="11" t="s">
        <v>60</v>
      </c>
      <c r="C3" s="16" t="s">
        <v>140</v>
      </c>
      <c r="H3" s="8" t="s">
        <v>170</v>
      </c>
      <c r="I3" s="8" t="s">
        <v>171</v>
      </c>
    </row>
    <row r="4" spans="1:9" x14ac:dyDescent="0.25">
      <c r="A4" s="7">
        <v>2</v>
      </c>
      <c r="B4" s="8" t="s">
        <v>61</v>
      </c>
      <c r="C4" s="9" t="s">
        <v>6</v>
      </c>
      <c r="E4" s="2" t="s">
        <v>57</v>
      </c>
      <c r="F4" s="2" t="s">
        <v>2</v>
      </c>
      <c r="H4" s="8" t="s">
        <v>172</v>
      </c>
      <c r="I4" s="8" t="s">
        <v>173</v>
      </c>
    </row>
    <row r="5" spans="1:9" x14ac:dyDescent="0.25">
      <c r="A5" s="7">
        <v>3</v>
      </c>
      <c r="B5" s="11" t="s">
        <v>62</v>
      </c>
      <c r="C5" s="16" t="s">
        <v>167</v>
      </c>
      <c r="E5" s="26" t="s">
        <v>73</v>
      </c>
      <c r="F5" s="26" t="s">
        <v>3</v>
      </c>
      <c r="H5" s="8" t="s">
        <v>174</v>
      </c>
      <c r="I5" s="8" t="s">
        <v>131</v>
      </c>
    </row>
    <row r="6" spans="1:9" x14ac:dyDescent="0.25">
      <c r="A6" s="7">
        <v>4</v>
      </c>
      <c r="B6" s="8" t="s">
        <v>63</v>
      </c>
      <c r="C6" s="9" t="s">
        <v>168</v>
      </c>
      <c r="E6" s="27" t="s">
        <v>59</v>
      </c>
      <c r="F6" s="27" t="s">
        <v>4</v>
      </c>
      <c r="H6" s="8" t="s">
        <v>175</v>
      </c>
      <c r="I6" s="8" t="s">
        <v>176</v>
      </c>
    </row>
    <row r="7" spans="1:9" x14ac:dyDescent="0.25">
      <c r="A7" s="7">
        <v>5</v>
      </c>
      <c r="B7" s="11" t="s">
        <v>64</v>
      </c>
      <c r="C7" s="16" t="s">
        <v>7</v>
      </c>
      <c r="E7" s="3" t="s">
        <v>58</v>
      </c>
      <c r="F7" s="3" t="s">
        <v>5</v>
      </c>
      <c r="H7" s="8" t="s">
        <v>177</v>
      </c>
      <c r="I7" s="8" t="s">
        <v>178</v>
      </c>
    </row>
    <row r="8" spans="1:9" x14ac:dyDescent="0.25">
      <c r="A8" s="7">
        <v>6</v>
      </c>
      <c r="B8" s="8" t="s">
        <v>65</v>
      </c>
      <c r="C8" s="9" t="s">
        <v>1935</v>
      </c>
      <c r="H8" s="8" t="s">
        <v>179</v>
      </c>
      <c r="I8" s="8" t="s">
        <v>180</v>
      </c>
    </row>
    <row r="9" spans="1:9" x14ac:dyDescent="0.25">
      <c r="A9" s="7">
        <v>7</v>
      </c>
      <c r="B9" s="11" t="s">
        <v>66</v>
      </c>
      <c r="C9" s="16" t="s">
        <v>8</v>
      </c>
      <c r="H9" s="8" t="s">
        <v>181</v>
      </c>
      <c r="I9" s="8" t="s">
        <v>182</v>
      </c>
    </row>
    <row r="10" spans="1:9" x14ac:dyDescent="0.25">
      <c r="A10" s="7">
        <v>8</v>
      </c>
      <c r="B10" s="8" t="s">
        <v>67</v>
      </c>
      <c r="C10" s="9" t="s">
        <v>1936</v>
      </c>
    </row>
    <row r="11" spans="1:9" x14ac:dyDescent="0.25">
      <c r="A11" s="7">
        <v>9</v>
      </c>
      <c r="B11" s="11" t="s">
        <v>68</v>
      </c>
      <c r="C11" s="16" t="s">
        <v>9</v>
      </c>
    </row>
    <row r="12" spans="1:9" x14ac:dyDescent="0.25">
      <c r="A12" s="7">
        <v>10</v>
      </c>
      <c r="B12" s="8" t="s">
        <v>69</v>
      </c>
      <c r="C12" s="9" t="s">
        <v>1853</v>
      </c>
    </row>
    <row r="13" spans="1:9" x14ac:dyDescent="0.25">
      <c r="A13" s="7">
        <v>11</v>
      </c>
      <c r="B13" s="11" t="s">
        <v>70</v>
      </c>
      <c r="C13" s="16" t="s">
        <v>1852</v>
      </c>
    </row>
    <row r="14" spans="1:9" x14ac:dyDescent="0.25">
      <c r="A14" s="7">
        <v>12</v>
      </c>
      <c r="B14" s="8" t="s">
        <v>71</v>
      </c>
      <c r="C14" s="9"/>
    </row>
    <row r="15" spans="1:9" x14ac:dyDescent="0.25">
      <c r="A15" s="7">
        <v>13</v>
      </c>
      <c r="B15" s="11" t="s">
        <v>72</v>
      </c>
      <c r="C15" s="16"/>
    </row>
    <row r="16" spans="1:9" x14ac:dyDescent="0.25">
      <c r="A16" s="7">
        <v>14</v>
      </c>
      <c r="B16" s="12" t="s">
        <v>74</v>
      </c>
      <c r="C16" s="17" t="s">
        <v>1925</v>
      </c>
    </row>
    <row r="17" spans="1:3" x14ac:dyDescent="0.25">
      <c r="A17" s="7">
        <v>15</v>
      </c>
      <c r="B17" s="13" t="s">
        <v>75</v>
      </c>
      <c r="C17" s="17" t="s">
        <v>2123</v>
      </c>
    </row>
    <row r="18" spans="1:3" x14ac:dyDescent="0.25">
      <c r="A18" s="7">
        <v>16</v>
      </c>
      <c r="B18" s="12" t="s">
        <v>76</v>
      </c>
      <c r="C18" s="17" t="s">
        <v>1924</v>
      </c>
    </row>
    <row r="19" spans="1:3" x14ac:dyDescent="0.25">
      <c r="A19" s="7">
        <v>15</v>
      </c>
      <c r="B19" s="12" t="s">
        <v>77</v>
      </c>
      <c r="C19" s="17" t="s">
        <v>1923</v>
      </c>
    </row>
    <row r="20" spans="1:3" x14ac:dyDescent="0.25">
      <c r="A20" s="7">
        <v>16</v>
      </c>
      <c r="B20" s="13" t="s">
        <v>78</v>
      </c>
      <c r="C20" s="17" t="s">
        <v>1922</v>
      </c>
    </row>
    <row r="21" spans="1:3" x14ac:dyDescent="0.25">
      <c r="A21" s="7">
        <v>17</v>
      </c>
      <c r="B21" s="12" t="s">
        <v>79</v>
      </c>
      <c r="C21" s="18" t="s">
        <v>1926</v>
      </c>
    </row>
    <row r="22" spans="1:3" x14ac:dyDescent="0.25">
      <c r="A22" s="7">
        <v>18</v>
      </c>
      <c r="B22" s="12" t="s">
        <v>80</v>
      </c>
      <c r="C22" s="17" t="s">
        <v>10</v>
      </c>
    </row>
    <row r="23" spans="1:3" x14ac:dyDescent="0.25">
      <c r="A23" s="7">
        <v>19</v>
      </c>
      <c r="B23" s="13" t="s">
        <v>81</v>
      </c>
      <c r="C23" s="18" t="s">
        <v>11</v>
      </c>
    </row>
    <row r="24" spans="1:3" x14ac:dyDescent="0.25">
      <c r="A24" s="7">
        <v>20</v>
      </c>
      <c r="B24" s="12" t="s">
        <v>82</v>
      </c>
      <c r="C24" s="17" t="s">
        <v>12</v>
      </c>
    </row>
    <row r="25" spans="1:3" x14ac:dyDescent="0.25">
      <c r="A25" s="7">
        <v>21</v>
      </c>
      <c r="B25" s="12" t="s">
        <v>83</v>
      </c>
      <c r="C25" s="18" t="s">
        <v>13</v>
      </c>
    </row>
    <row r="26" spans="1:3" x14ac:dyDescent="0.25">
      <c r="A26" s="7">
        <v>22</v>
      </c>
      <c r="B26" s="13" t="s">
        <v>84</v>
      </c>
      <c r="C26" s="17" t="s">
        <v>14</v>
      </c>
    </row>
    <row r="27" spans="1:3" x14ac:dyDescent="0.25">
      <c r="A27" s="7">
        <v>23</v>
      </c>
      <c r="B27" s="12" t="s">
        <v>85</v>
      </c>
      <c r="C27" s="18" t="s">
        <v>15</v>
      </c>
    </row>
    <row r="28" spans="1:3" x14ac:dyDescent="0.25">
      <c r="A28" s="7">
        <v>24</v>
      </c>
      <c r="B28" s="12" t="s">
        <v>86</v>
      </c>
      <c r="C28" s="17" t="s">
        <v>16</v>
      </c>
    </row>
    <row r="29" spans="1:3" x14ac:dyDescent="0.25">
      <c r="A29" s="7">
        <v>25</v>
      </c>
      <c r="B29" s="13" t="s">
        <v>87</v>
      </c>
      <c r="C29" s="18" t="s">
        <v>17</v>
      </c>
    </row>
    <row r="30" spans="1:3" x14ac:dyDescent="0.25">
      <c r="A30" s="7">
        <v>26</v>
      </c>
      <c r="B30" s="12" t="s">
        <v>88</v>
      </c>
      <c r="C30" s="17" t="s">
        <v>18</v>
      </c>
    </row>
    <row r="31" spans="1:3" x14ac:dyDescent="0.25">
      <c r="A31" s="7">
        <v>27</v>
      </c>
      <c r="B31" s="12" t="s">
        <v>89</v>
      </c>
      <c r="C31" s="18" t="s">
        <v>19</v>
      </c>
    </row>
    <row r="32" spans="1:3" x14ac:dyDescent="0.25">
      <c r="A32" s="7">
        <v>28</v>
      </c>
      <c r="B32" s="13" t="s">
        <v>90</v>
      </c>
      <c r="C32" s="17" t="s">
        <v>20</v>
      </c>
    </row>
    <row r="33" spans="1:3" x14ac:dyDescent="0.25">
      <c r="A33" s="7">
        <v>29</v>
      </c>
      <c r="B33" s="12" t="s">
        <v>91</v>
      </c>
      <c r="C33" s="18" t="s">
        <v>21</v>
      </c>
    </row>
    <row r="34" spans="1:3" x14ac:dyDescent="0.25">
      <c r="A34" s="7">
        <v>30</v>
      </c>
      <c r="B34" s="12" t="s">
        <v>92</v>
      </c>
      <c r="C34" s="17" t="s">
        <v>22</v>
      </c>
    </row>
    <row r="35" spans="1:3" x14ac:dyDescent="0.25">
      <c r="A35" s="7">
        <v>31</v>
      </c>
      <c r="B35" s="13" t="s">
        <v>1844</v>
      </c>
      <c r="C35" s="18" t="s">
        <v>23</v>
      </c>
    </row>
    <row r="36" spans="1:3" x14ac:dyDescent="0.25">
      <c r="A36" s="7">
        <v>32</v>
      </c>
      <c r="B36" s="12" t="s">
        <v>1845</v>
      </c>
      <c r="C36" s="17" t="s">
        <v>24</v>
      </c>
    </row>
    <row r="37" spans="1:3" x14ac:dyDescent="0.25">
      <c r="A37" s="7">
        <v>33</v>
      </c>
      <c r="B37" s="14" t="s">
        <v>93</v>
      </c>
      <c r="C37" s="19" t="s">
        <v>25</v>
      </c>
    </row>
    <row r="38" spans="1:3" x14ac:dyDescent="0.25">
      <c r="A38" s="7">
        <v>34</v>
      </c>
      <c r="B38" s="8" t="s">
        <v>94</v>
      </c>
      <c r="C38" s="9" t="s">
        <v>26</v>
      </c>
    </row>
    <row r="39" spans="1:3" x14ac:dyDescent="0.25">
      <c r="A39" s="7">
        <v>35</v>
      </c>
      <c r="B39" s="14" t="s">
        <v>95</v>
      </c>
      <c r="C39" s="19" t="s">
        <v>27</v>
      </c>
    </row>
    <row r="40" spans="1:3" x14ac:dyDescent="0.25">
      <c r="A40" s="7">
        <v>36</v>
      </c>
      <c r="B40" s="8" t="s">
        <v>96</v>
      </c>
      <c r="C40" s="9" t="s">
        <v>28</v>
      </c>
    </row>
    <row r="41" spans="1:3" x14ac:dyDescent="0.25">
      <c r="A41" s="7">
        <v>37</v>
      </c>
      <c r="B41" s="14" t="s">
        <v>97</v>
      </c>
      <c r="C41" s="19" t="s">
        <v>29</v>
      </c>
    </row>
    <row r="42" spans="1:3" x14ac:dyDescent="0.25">
      <c r="A42" s="7">
        <v>38</v>
      </c>
      <c r="B42" s="8" t="s">
        <v>98</v>
      </c>
      <c r="C42" s="9" t="s">
        <v>30</v>
      </c>
    </row>
    <row r="43" spans="1:3" x14ac:dyDescent="0.25">
      <c r="A43" s="7">
        <v>39</v>
      </c>
      <c r="B43" s="14" t="s">
        <v>99</v>
      </c>
      <c r="C43" s="19" t="s">
        <v>31</v>
      </c>
    </row>
    <row r="44" spans="1:3" x14ac:dyDescent="0.25">
      <c r="A44" s="7">
        <v>40</v>
      </c>
      <c r="B44" s="8" t="s">
        <v>100</v>
      </c>
      <c r="C44" s="9" t="s">
        <v>32</v>
      </c>
    </row>
    <row r="45" spans="1:3" x14ac:dyDescent="0.25">
      <c r="A45" s="7">
        <v>41</v>
      </c>
      <c r="B45" s="14" t="s">
        <v>101</v>
      </c>
      <c r="C45" s="19" t="s">
        <v>33</v>
      </c>
    </row>
    <row r="46" spans="1:3" x14ac:dyDescent="0.25">
      <c r="A46" s="7">
        <v>42</v>
      </c>
      <c r="B46" s="8" t="s">
        <v>102</v>
      </c>
      <c r="C46" s="9" t="s">
        <v>34</v>
      </c>
    </row>
    <row r="47" spans="1:3" x14ac:dyDescent="0.25">
      <c r="A47" s="7">
        <v>43</v>
      </c>
      <c r="B47" s="14" t="s">
        <v>103</v>
      </c>
      <c r="C47" s="19" t="s">
        <v>35</v>
      </c>
    </row>
    <row r="48" spans="1:3" x14ac:dyDescent="0.25">
      <c r="A48" s="7">
        <v>44</v>
      </c>
      <c r="B48" s="8" t="s">
        <v>104</v>
      </c>
      <c r="C48" s="9" t="s">
        <v>36</v>
      </c>
    </row>
    <row r="49" spans="1:3" x14ac:dyDescent="0.25">
      <c r="A49" s="7">
        <v>45</v>
      </c>
      <c r="B49" s="14" t="s">
        <v>105</v>
      </c>
      <c r="C49" s="19" t="s">
        <v>37</v>
      </c>
    </row>
    <row r="50" spans="1:3" x14ac:dyDescent="0.25">
      <c r="A50" s="7">
        <v>46</v>
      </c>
      <c r="B50" s="8" t="s">
        <v>106</v>
      </c>
      <c r="C50" s="9" t="s">
        <v>38</v>
      </c>
    </row>
    <row r="51" spans="1:3" x14ac:dyDescent="0.25">
      <c r="A51" s="7">
        <v>47</v>
      </c>
      <c r="B51" s="14" t="s">
        <v>107</v>
      </c>
      <c r="C51" s="19" t="s">
        <v>39</v>
      </c>
    </row>
    <row r="52" spans="1:3" x14ac:dyDescent="0.25">
      <c r="A52" s="7">
        <v>48</v>
      </c>
      <c r="B52" s="8" t="s">
        <v>108</v>
      </c>
      <c r="C52" s="9" t="s">
        <v>40</v>
      </c>
    </row>
    <row r="53" spans="1:3" x14ac:dyDescent="0.25">
      <c r="A53" s="7">
        <v>49</v>
      </c>
      <c r="B53" s="14" t="s">
        <v>109</v>
      </c>
      <c r="C53" s="19" t="s">
        <v>41</v>
      </c>
    </row>
    <row r="54" spans="1:3" x14ac:dyDescent="0.25">
      <c r="A54" s="7">
        <v>50</v>
      </c>
      <c r="B54" s="8" t="s">
        <v>110</v>
      </c>
      <c r="C54" s="9" t="s">
        <v>42</v>
      </c>
    </row>
    <row r="55" spans="1:3" x14ac:dyDescent="0.25">
      <c r="A55" s="7">
        <v>51</v>
      </c>
      <c r="B55" s="14" t="s">
        <v>111</v>
      </c>
      <c r="C55" s="19" t="s">
        <v>43</v>
      </c>
    </row>
    <row r="56" spans="1:3" x14ac:dyDescent="0.25">
      <c r="A56" s="7">
        <v>52</v>
      </c>
      <c r="B56" s="15" t="s">
        <v>112</v>
      </c>
      <c r="C56" s="20" t="s">
        <v>44</v>
      </c>
    </row>
    <row r="57" spans="1:3" x14ac:dyDescent="0.25">
      <c r="A57" s="7">
        <v>53</v>
      </c>
      <c r="B57" s="8" t="s">
        <v>113</v>
      </c>
      <c r="C57" s="9" t="s">
        <v>45</v>
      </c>
    </row>
    <row r="58" spans="1:3" x14ac:dyDescent="0.25">
      <c r="A58" s="7">
        <v>54</v>
      </c>
      <c r="B58" s="15" t="s">
        <v>114</v>
      </c>
      <c r="C58" s="20" t="s">
        <v>46</v>
      </c>
    </row>
    <row r="59" spans="1:3" x14ac:dyDescent="0.25">
      <c r="A59" s="7">
        <v>55</v>
      </c>
      <c r="B59" s="8" t="s">
        <v>115</v>
      </c>
      <c r="C59" s="9" t="s">
        <v>47</v>
      </c>
    </row>
    <row r="60" spans="1:3" x14ac:dyDescent="0.25">
      <c r="A60" s="7">
        <v>56</v>
      </c>
      <c r="B60" s="15" t="s">
        <v>116</v>
      </c>
      <c r="C60" s="20" t="s">
        <v>48</v>
      </c>
    </row>
    <row r="61" spans="1:3" x14ac:dyDescent="0.25">
      <c r="A61" s="7">
        <v>57</v>
      </c>
      <c r="B61" s="8" t="s">
        <v>117</v>
      </c>
      <c r="C61" s="9" t="s">
        <v>49</v>
      </c>
    </row>
    <row r="62" spans="1:3" x14ac:dyDescent="0.25">
      <c r="A62" s="7">
        <v>58</v>
      </c>
      <c r="B62" s="15" t="s">
        <v>118</v>
      </c>
      <c r="C62" s="20" t="s">
        <v>50</v>
      </c>
    </row>
    <row r="63" spans="1:3" x14ac:dyDescent="0.25">
      <c r="A63" s="7">
        <v>59</v>
      </c>
      <c r="B63" s="8" t="s">
        <v>119</v>
      </c>
      <c r="C63" s="9" t="s">
        <v>51</v>
      </c>
    </row>
    <row r="64" spans="1:3" x14ac:dyDescent="0.25">
      <c r="A64" s="7">
        <v>60</v>
      </c>
      <c r="B64" s="15" t="s">
        <v>120</v>
      </c>
      <c r="C64" s="20" t="s">
        <v>52</v>
      </c>
    </row>
    <row r="65" spans="1:3" x14ac:dyDescent="0.25">
      <c r="A65" s="7">
        <v>61</v>
      </c>
      <c r="B65" s="8" t="s">
        <v>121</v>
      </c>
      <c r="C65" s="9" t="s">
        <v>53</v>
      </c>
    </row>
    <row r="66" spans="1:3" x14ac:dyDescent="0.25">
      <c r="A66" s="7">
        <v>62</v>
      </c>
      <c r="B66" s="15" t="s">
        <v>122</v>
      </c>
      <c r="C66" s="20" t="s">
        <v>54</v>
      </c>
    </row>
    <row r="67" spans="1:3" x14ac:dyDescent="0.25">
      <c r="A67" s="7">
        <v>63</v>
      </c>
      <c r="B67" s="8" t="s">
        <v>123</v>
      </c>
      <c r="C67" s="9" t="s">
        <v>55</v>
      </c>
    </row>
    <row r="68" spans="1:3" x14ac:dyDescent="0.25">
      <c r="A68" s="10">
        <v>64</v>
      </c>
      <c r="B68" s="21" t="s">
        <v>124</v>
      </c>
      <c r="C68" s="22" t="s">
        <v>56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F42C-7FAA-4526-9EE0-D85B96B1F3A8}">
  <dimension ref="A1:D1000"/>
  <sheetViews>
    <sheetView topLeftCell="A138" workbookViewId="0">
      <selection activeCell="D138" sqref="D138"/>
    </sheetView>
  </sheetViews>
  <sheetFormatPr defaultColWidth="9.44140625" defaultRowHeight="13.8" x14ac:dyDescent="0.25"/>
  <cols>
    <col min="1" max="1" width="9.33203125" style="1" bestFit="1" customWidth="1"/>
    <col min="2" max="2" width="14.21875" style="1" bestFit="1" customWidth="1"/>
    <col min="3" max="3" width="55.33203125" style="1" bestFit="1" customWidth="1"/>
    <col min="4" max="4" width="59.5546875" style="1" customWidth="1"/>
    <col min="5" max="16384" width="9.44140625" style="1"/>
  </cols>
  <sheetData>
    <row r="1" spans="1:4" x14ac:dyDescent="0.25">
      <c r="A1" s="4" t="s">
        <v>1</v>
      </c>
      <c r="B1" s="5" t="s">
        <v>125</v>
      </c>
      <c r="C1" s="5" t="s">
        <v>126</v>
      </c>
      <c r="D1" s="6" t="s">
        <v>127</v>
      </c>
    </row>
    <row r="2" spans="1:4" x14ac:dyDescent="0.25">
      <c r="A2" s="50">
        <v>1</v>
      </c>
      <c r="B2" s="32" t="s">
        <v>60</v>
      </c>
      <c r="C2" s="32" t="str">
        <f>_xlfn.XLOOKUP(Table6[[#This Row],[Category No]],Table8[Category No],Table8[Chapter List],FALSE)</f>
        <v>Prehistoric Phase of India</v>
      </c>
      <c r="D2" s="51" t="s">
        <v>141</v>
      </c>
    </row>
    <row r="3" spans="1:4" x14ac:dyDescent="0.25">
      <c r="A3" s="50">
        <v>2</v>
      </c>
      <c r="B3" s="32" t="s">
        <v>60</v>
      </c>
      <c r="C3" s="32" t="str">
        <f>_xlfn.XLOOKUP(Table6[[#This Row],[Category No]],Table8[Category No],Table8[Chapter List],FALSE)</f>
        <v>Prehistoric Phase of India</v>
      </c>
      <c r="D3" s="51" t="s">
        <v>142</v>
      </c>
    </row>
    <row r="4" spans="1:4" x14ac:dyDescent="0.25">
      <c r="A4" s="50">
        <v>3</v>
      </c>
      <c r="B4" s="32" t="s">
        <v>60</v>
      </c>
      <c r="C4" s="32" t="str">
        <f>_xlfn.XLOOKUP(Table6[[#This Row],[Category No]],Table8[Category No],Table8[Chapter List],FALSE)</f>
        <v>Prehistoric Phase of India</v>
      </c>
      <c r="D4" s="51" t="s">
        <v>143</v>
      </c>
    </row>
    <row r="5" spans="1:4" x14ac:dyDescent="0.25">
      <c r="A5" s="50">
        <v>4</v>
      </c>
      <c r="B5" s="32" t="s">
        <v>60</v>
      </c>
      <c r="C5" s="32" t="str">
        <f>_xlfn.XLOOKUP(Table6[[#This Row],[Category No]],Table8[Category No],Table8[Chapter List],FALSE)</f>
        <v>Prehistoric Phase of India</v>
      </c>
      <c r="D5" s="51" t="s">
        <v>144</v>
      </c>
    </row>
    <row r="6" spans="1:4" x14ac:dyDescent="0.25">
      <c r="A6" s="50">
        <v>5</v>
      </c>
      <c r="B6" s="32" t="s">
        <v>60</v>
      </c>
      <c r="C6" s="32" t="str">
        <f>_xlfn.XLOOKUP(Table6[[#This Row],[Category No]],Table8[Category No],Table8[Chapter List],FALSE)</f>
        <v>Prehistoric Phase of India</v>
      </c>
      <c r="D6" s="51" t="s">
        <v>145</v>
      </c>
    </row>
    <row r="7" spans="1:4" x14ac:dyDescent="0.25">
      <c r="A7" s="50">
        <v>6</v>
      </c>
      <c r="B7" s="32" t="s">
        <v>60</v>
      </c>
      <c r="C7" s="32" t="str">
        <f>_xlfn.XLOOKUP(Table6[[#This Row],[Category No]],Table8[Category No],Table8[Chapter List],FALSE)</f>
        <v>Prehistoric Phase of India</v>
      </c>
      <c r="D7" s="51" t="s">
        <v>146</v>
      </c>
    </row>
    <row r="8" spans="1:4" x14ac:dyDescent="0.25">
      <c r="A8" s="50">
        <v>7</v>
      </c>
      <c r="B8" s="32" t="s">
        <v>60</v>
      </c>
      <c r="C8" s="32" t="str">
        <f>_xlfn.XLOOKUP(Table6[[#This Row],[Category No]],Table8[Category No],Table8[Chapter List],FALSE)</f>
        <v>Prehistoric Phase of India</v>
      </c>
      <c r="D8" s="51" t="s">
        <v>147</v>
      </c>
    </row>
    <row r="9" spans="1:4" x14ac:dyDescent="0.25">
      <c r="A9" s="50">
        <v>8</v>
      </c>
      <c r="B9" s="32" t="s">
        <v>60</v>
      </c>
      <c r="C9" s="32" t="str">
        <f>_xlfn.XLOOKUP(Table6[[#This Row],[Category No]],Table8[Category No],Table8[Chapter List],FALSE)</f>
        <v>Prehistoric Phase of India</v>
      </c>
      <c r="D9" s="51" t="s">
        <v>148</v>
      </c>
    </row>
    <row r="10" spans="1:4" x14ac:dyDescent="0.25">
      <c r="A10" s="50">
        <v>9</v>
      </c>
      <c r="B10" s="32" t="s">
        <v>60</v>
      </c>
      <c r="C10" s="32" t="str">
        <f>_xlfn.XLOOKUP(Table6[[#This Row],[Category No]],Table8[Category No],Table8[Chapter List],FALSE)</f>
        <v>Prehistoric Phase of India</v>
      </c>
      <c r="D10" s="51" t="s">
        <v>149</v>
      </c>
    </row>
    <row r="11" spans="1:4" x14ac:dyDescent="0.25">
      <c r="A11" s="50">
        <v>10</v>
      </c>
      <c r="B11" s="32" t="s">
        <v>60</v>
      </c>
      <c r="C11" s="32" t="str">
        <f>_xlfn.XLOOKUP(Table6[[#This Row],[Category No]],Table8[Category No],Table8[Chapter List],FALSE)</f>
        <v>Prehistoric Phase of India</v>
      </c>
      <c r="D11" s="51" t="s">
        <v>150</v>
      </c>
    </row>
    <row r="12" spans="1:4" x14ac:dyDescent="0.25">
      <c r="A12" s="50">
        <v>11</v>
      </c>
      <c r="B12" s="32" t="s">
        <v>60</v>
      </c>
      <c r="C12" s="32" t="str">
        <f>_xlfn.XLOOKUP(Table6[[#This Row],[Category No]],Table8[Category No],Table8[Chapter List],FALSE)</f>
        <v>Prehistoric Phase of India</v>
      </c>
      <c r="D12" s="51" t="s">
        <v>151</v>
      </c>
    </row>
    <row r="13" spans="1:4" x14ac:dyDescent="0.25">
      <c r="A13" s="50">
        <v>12</v>
      </c>
      <c r="B13" s="32" t="s">
        <v>60</v>
      </c>
      <c r="C13" s="32" t="str">
        <f>_xlfn.XLOOKUP(Table6[[#This Row],[Category No]],Table8[Category No],Table8[Chapter List],FALSE)</f>
        <v>Prehistoric Phase of India</v>
      </c>
      <c r="D13" s="51" t="s">
        <v>152</v>
      </c>
    </row>
    <row r="14" spans="1:4" x14ac:dyDescent="0.25">
      <c r="A14" s="50">
        <v>13</v>
      </c>
      <c r="B14" s="32" t="s">
        <v>60</v>
      </c>
      <c r="C14" s="32" t="str">
        <f>_xlfn.XLOOKUP(Table6[[#This Row],[Category No]],Table8[Category No],Table8[Chapter List],FALSE)</f>
        <v>Prehistoric Phase of India</v>
      </c>
      <c r="D14" s="51" t="s">
        <v>153</v>
      </c>
    </row>
    <row r="15" spans="1:4" x14ac:dyDescent="0.25">
      <c r="A15" s="50">
        <v>14</v>
      </c>
      <c r="B15" s="32" t="s">
        <v>60</v>
      </c>
      <c r="C15" s="32" t="str">
        <f>_xlfn.XLOOKUP(Table6[[#This Row],[Category No]],Table8[Category No],Table8[Chapter List],FALSE)</f>
        <v>Prehistoric Phase of India</v>
      </c>
      <c r="D15" s="51" t="s">
        <v>154</v>
      </c>
    </row>
    <row r="16" spans="1:4" x14ac:dyDescent="0.25">
      <c r="A16" s="50">
        <v>15</v>
      </c>
      <c r="B16" s="32" t="s">
        <v>60</v>
      </c>
      <c r="C16" s="32" t="str">
        <f>_xlfn.XLOOKUP(Table6[[#This Row],[Category No]],Table8[Category No],Table8[Chapter List],FALSE)</f>
        <v>Prehistoric Phase of India</v>
      </c>
      <c r="D16" s="51" t="s">
        <v>155</v>
      </c>
    </row>
    <row r="17" spans="1:4" x14ac:dyDescent="0.25">
      <c r="A17" s="50">
        <v>16</v>
      </c>
      <c r="B17" s="32" t="s">
        <v>60</v>
      </c>
      <c r="C17" s="32" t="str">
        <f>_xlfn.XLOOKUP(Table6[[#This Row],[Category No]],Table8[Category No],Table8[Chapter List],FALSE)</f>
        <v>Prehistoric Phase of India</v>
      </c>
      <c r="D17" s="51" t="s">
        <v>156</v>
      </c>
    </row>
    <row r="18" spans="1:4" x14ac:dyDescent="0.25">
      <c r="A18" s="50">
        <v>17</v>
      </c>
      <c r="B18" s="32" t="s">
        <v>60</v>
      </c>
      <c r="C18" s="32" t="str">
        <f>_xlfn.XLOOKUP(Table6[[#This Row],[Category No]],Table8[Category No],Table8[Chapter List],FALSE)</f>
        <v>Prehistoric Phase of India</v>
      </c>
      <c r="D18" s="51" t="s">
        <v>157</v>
      </c>
    </row>
    <row r="19" spans="1:4" x14ac:dyDescent="0.25">
      <c r="A19" s="50">
        <v>18</v>
      </c>
      <c r="B19" s="32" t="s">
        <v>61</v>
      </c>
      <c r="C19" s="32" t="str">
        <f>_xlfn.XLOOKUP(Table6[[#This Row],[Category No]],Table8[Category No],Table8[Chapter List],FALSE)</f>
        <v>Indus Valley Civilization</v>
      </c>
      <c r="D19" s="51" t="s">
        <v>204</v>
      </c>
    </row>
    <row r="20" spans="1:4" x14ac:dyDescent="0.25">
      <c r="A20" s="50">
        <v>19</v>
      </c>
      <c r="B20" s="32" t="s">
        <v>61</v>
      </c>
      <c r="C20" s="32" t="str">
        <f>_xlfn.XLOOKUP(Table6[[#This Row],[Category No]],Table8[Category No],Table8[Chapter List],FALSE)</f>
        <v>Indus Valley Civilization</v>
      </c>
      <c r="D20" s="51" t="s">
        <v>205</v>
      </c>
    </row>
    <row r="21" spans="1:4" x14ac:dyDescent="0.25">
      <c r="A21" s="50">
        <v>20</v>
      </c>
      <c r="B21" s="32" t="s">
        <v>61</v>
      </c>
      <c r="C21" s="32" t="str">
        <f>_xlfn.XLOOKUP(Table6[[#This Row],[Category No]],Table8[Category No],Table8[Chapter List],FALSE)</f>
        <v>Indus Valley Civilization</v>
      </c>
      <c r="D21" s="51" t="s">
        <v>206</v>
      </c>
    </row>
    <row r="22" spans="1:4" ht="69" x14ac:dyDescent="0.25">
      <c r="A22" s="50">
        <v>21</v>
      </c>
      <c r="B22" s="32" t="s">
        <v>61</v>
      </c>
      <c r="C22" s="32" t="str">
        <f>_xlfn.XLOOKUP(Table6[[#This Row],[Category No]],Table8[Category No],Table8[Chapter List],FALSE)</f>
        <v>Indus Valley Civilization</v>
      </c>
      <c r="D22" s="52" t="s">
        <v>207</v>
      </c>
    </row>
    <row r="23" spans="1:4" x14ac:dyDescent="0.25">
      <c r="A23" s="50">
        <v>22</v>
      </c>
      <c r="B23" s="32" t="s">
        <v>61</v>
      </c>
      <c r="C23" s="32" t="str">
        <f>_xlfn.XLOOKUP(Table6[[#This Row],[Category No]],Table8[Category No],Table8[Chapter List],FALSE)</f>
        <v>Indus Valley Civilization</v>
      </c>
      <c r="D23" s="51" t="s">
        <v>208</v>
      </c>
    </row>
    <row r="24" spans="1:4" x14ac:dyDescent="0.25">
      <c r="A24" s="50">
        <v>23</v>
      </c>
      <c r="B24" s="32" t="s">
        <v>61</v>
      </c>
      <c r="C24" s="32" t="str">
        <f>_xlfn.XLOOKUP(Table6[[#This Row],[Category No]],Table8[Category No],Table8[Chapter List],FALSE)</f>
        <v>Indus Valley Civilization</v>
      </c>
      <c r="D24" s="51" t="s">
        <v>209</v>
      </c>
    </row>
    <row r="25" spans="1:4" ht="55.2" x14ac:dyDescent="0.25">
      <c r="A25" s="50">
        <v>24</v>
      </c>
      <c r="B25" s="32" t="s">
        <v>61</v>
      </c>
      <c r="C25" s="32" t="str">
        <f>_xlfn.XLOOKUP(Table6[[#This Row],[Category No]],Table8[Category No],Table8[Chapter List],FALSE)</f>
        <v>Indus Valley Civilization</v>
      </c>
      <c r="D25" s="52" t="s">
        <v>210</v>
      </c>
    </row>
    <row r="26" spans="1:4" x14ac:dyDescent="0.25">
      <c r="A26" s="50">
        <v>25</v>
      </c>
      <c r="B26" s="32" t="s">
        <v>61</v>
      </c>
      <c r="C26" s="32" t="str">
        <f>_xlfn.XLOOKUP(Table6[[#This Row],[Category No]],Table8[Category No],Table8[Chapter List],FALSE)</f>
        <v>Indus Valley Civilization</v>
      </c>
      <c r="D26" s="51" t="s">
        <v>211</v>
      </c>
    </row>
    <row r="27" spans="1:4" x14ac:dyDescent="0.25">
      <c r="A27" s="50">
        <v>26</v>
      </c>
      <c r="B27" s="32" t="s">
        <v>61</v>
      </c>
      <c r="C27" s="32" t="str">
        <f>_xlfn.XLOOKUP(Table6[[#This Row],[Category No]],Table8[Category No],Table8[Chapter List],FALSE)</f>
        <v>Indus Valley Civilization</v>
      </c>
      <c r="D27" s="51" t="s">
        <v>212</v>
      </c>
    </row>
    <row r="28" spans="1:4" x14ac:dyDescent="0.25">
      <c r="A28" s="50">
        <v>27</v>
      </c>
      <c r="B28" s="32" t="s">
        <v>61</v>
      </c>
      <c r="C28" s="32" t="str">
        <f>_xlfn.XLOOKUP(Table6[[#This Row],[Category No]],Table8[Category No],Table8[Chapter List],FALSE)</f>
        <v>Indus Valley Civilization</v>
      </c>
      <c r="D28" s="51" t="s">
        <v>213</v>
      </c>
    </row>
    <row r="29" spans="1:4" x14ac:dyDescent="0.25">
      <c r="A29" s="50">
        <v>28</v>
      </c>
      <c r="B29" s="32" t="s">
        <v>61</v>
      </c>
      <c r="C29" s="32" t="str">
        <f>_xlfn.XLOOKUP(Table6[[#This Row],[Category No]],Table8[Category No],Table8[Chapter List],FALSE)</f>
        <v>Indus Valley Civilization</v>
      </c>
      <c r="D29" s="51" t="s">
        <v>214</v>
      </c>
    </row>
    <row r="30" spans="1:4" x14ac:dyDescent="0.25">
      <c r="A30" s="50">
        <v>29</v>
      </c>
      <c r="B30" s="32" t="s">
        <v>61</v>
      </c>
      <c r="C30" s="32" t="str">
        <f>_xlfn.XLOOKUP(Table6[[#This Row],[Category No]],Table8[Category No],Table8[Chapter List],FALSE)</f>
        <v>Indus Valley Civilization</v>
      </c>
      <c r="D30" s="51" t="s">
        <v>215</v>
      </c>
    </row>
    <row r="31" spans="1:4" x14ac:dyDescent="0.25">
      <c r="A31" s="50">
        <v>30</v>
      </c>
      <c r="B31" s="32" t="s">
        <v>61</v>
      </c>
      <c r="C31" s="32" t="str">
        <f>_xlfn.XLOOKUP(Table6[[#This Row],[Category No]],Table8[Category No],Table8[Chapter List],FALSE)</f>
        <v>Indus Valley Civilization</v>
      </c>
      <c r="D31" s="51" t="s">
        <v>216</v>
      </c>
    </row>
    <row r="32" spans="1:4" x14ac:dyDescent="0.25">
      <c r="A32" s="50">
        <v>31</v>
      </c>
      <c r="B32" s="32" t="s">
        <v>61</v>
      </c>
      <c r="C32" s="32" t="str">
        <f>_xlfn.XLOOKUP(Table6[[#This Row],[Category No]],Table8[Category No],Table8[Chapter List],FALSE)</f>
        <v>Indus Valley Civilization</v>
      </c>
      <c r="D32" s="51" t="s">
        <v>217</v>
      </c>
    </row>
    <row r="33" spans="1:4" x14ac:dyDescent="0.25">
      <c r="A33" s="50">
        <v>32</v>
      </c>
      <c r="B33" s="32" t="s">
        <v>61</v>
      </c>
      <c r="C33" s="32" t="str">
        <f>_xlfn.XLOOKUP(Table6[[#This Row],[Category No]],Table8[Category No],Table8[Chapter List],FALSE)</f>
        <v>Indus Valley Civilization</v>
      </c>
      <c r="D33" s="51" t="s">
        <v>218</v>
      </c>
    </row>
    <row r="34" spans="1:4" x14ac:dyDescent="0.25">
      <c r="A34" s="50">
        <v>33</v>
      </c>
      <c r="B34" s="32" t="s">
        <v>61</v>
      </c>
      <c r="C34" s="32" t="str">
        <f>_xlfn.XLOOKUP(Table6[[#This Row],[Category No]],Table8[Category No],Table8[Chapter List],FALSE)</f>
        <v>Indus Valley Civilization</v>
      </c>
      <c r="D34" s="51" t="s">
        <v>157</v>
      </c>
    </row>
    <row r="35" spans="1:4" x14ac:dyDescent="0.25">
      <c r="A35" s="50">
        <v>34</v>
      </c>
      <c r="B35" s="32" t="s">
        <v>61</v>
      </c>
      <c r="C35" s="32" t="str">
        <f>_xlfn.XLOOKUP(Table6[[#This Row],[Category No]],Table8[Category No],Table8[Chapter List],FALSE)</f>
        <v>Indus Valley Civilization</v>
      </c>
      <c r="D35" s="51" t="s">
        <v>219</v>
      </c>
    </row>
    <row r="36" spans="1:4" x14ac:dyDescent="0.25">
      <c r="A36" s="50">
        <v>35</v>
      </c>
      <c r="B36" s="32" t="s">
        <v>62</v>
      </c>
      <c r="C36" s="32" t="str">
        <f>_xlfn.XLOOKUP(Table6[[#This Row],[Category No]],Table8[Category No],Table8[Chapter List],FALSE)</f>
        <v>Rig Vedic Period</v>
      </c>
      <c r="D36" s="51" t="s">
        <v>288</v>
      </c>
    </row>
    <row r="37" spans="1:4" x14ac:dyDescent="0.25">
      <c r="A37" s="50">
        <v>36</v>
      </c>
      <c r="B37" s="32" t="s">
        <v>62</v>
      </c>
      <c r="C37" s="32" t="str">
        <f>_xlfn.XLOOKUP(Table6[[#This Row],[Category No]],Table8[Category No],Table8[Chapter List],FALSE)</f>
        <v>Rig Vedic Period</v>
      </c>
      <c r="D37" s="51" t="s">
        <v>289</v>
      </c>
    </row>
    <row r="38" spans="1:4" x14ac:dyDescent="0.25">
      <c r="A38" s="50">
        <v>37</v>
      </c>
      <c r="B38" s="32" t="s">
        <v>62</v>
      </c>
      <c r="C38" s="32" t="str">
        <f>_xlfn.XLOOKUP(Table6[[#This Row],[Category No]],Table8[Category No],Table8[Chapter List],FALSE)</f>
        <v>Rig Vedic Period</v>
      </c>
      <c r="D38" s="51" t="s">
        <v>290</v>
      </c>
    </row>
    <row r="39" spans="1:4" x14ac:dyDescent="0.25">
      <c r="A39" s="50">
        <v>38</v>
      </c>
      <c r="B39" s="32" t="s">
        <v>62</v>
      </c>
      <c r="C39" s="32" t="str">
        <f>_xlfn.XLOOKUP(Table6[[#This Row],[Category No]],Table8[Category No],Table8[Chapter List],FALSE)</f>
        <v>Rig Vedic Period</v>
      </c>
      <c r="D39" s="51" t="s">
        <v>291</v>
      </c>
    </row>
    <row r="40" spans="1:4" ht="55.2" x14ac:dyDescent="0.25">
      <c r="A40" s="50">
        <v>39</v>
      </c>
      <c r="B40" s="32" t="s">
        <v>62</v>
      </c>
      <c r="C40" s="32" t="str">
        <f>_xlfn.XLOOKUP(Table6[[#This Row],[Category No]],Table8[Category No],Table8[Chapter List],FALSE)</f>
        <v>Rig Vedic Period</v>
      </c>
      <c r="D40" s="52" t="s">
        <v>292</v>
      </c>
    </row>
    <row r="41" spans="1:4" ht="55.2" x14ac:dyDescent="0.25">
      <c r="A41" s="50">
        <v>40</v>
      </c>
      <c r="B41" s="32" t="s">
        <v>62</v>
      </c>
      <c r="C41" s="32" t="str">
        <f>_xlfn.XLOOKUP(Table6[[#This Row],[Category No]],Table8[Category No],Table8[Chapter List],FALSE)</f>
        <v>Rig Vedic Period</v>
      </c>
      <c r="D41" s="52" t="s">
        <v>293</v>
      </c>
    </row>
    <row r="42" spans="1:4" ht="55.2" x14ac:dyDescent="0.25">
      <c r="A42" s="50">
        <v>41</v>
      </c>
      <c r="B42" s="32" t="s">
        <v>62</v>
      </c>
      <c r="C42" s="32" t="str">
        <f>_xlfn.XLOOKUP(Table6[[#This Row],[Category No]],Table8[Category No],Table8[Chapter List],FALSE)</f>
        <v>Rig Vedic Period</v>
      </c>
      <c r="D42" s="52" t="s">
        <v>294</v>
      </c>
    </row>
    <row r="43" spans="1:4" ht="41.4" x14ac:dyDescent="0.25">
      <c r="A43" s="50">
        <v>42</v>
      </c>
      <c r="B43" s="32" t="s">
        <v>62</v>
      </c>
      <c r="C43" s="32" t="str">
        <f>_xlfn.XLOOKUP(Table6[[#This Row],[Category No]],Table8[Category No],Table8[Chapter List],FALSE)</f>
        <v>Rig Vedic Period</v>
      </c>
      <c r="D43" s="52" t="s">
        <v>295</v>
      </c>
    </row>
    <row r="44" spans="1:4" x14ac:dyDescent="0.25">
      <c r="A44" s="50">
        <v>43</v>
      </c>
      <c r="B44" s="32" t="s">
        <v>63</v>
      </c>
      <c r="C44" s="32" t="str">
        <f>_xlfn.XLOOKUP(Table6[[#This Row],[Category No]],Table8[Category No],Table8[Chapter List],FALSE)</f>
        <v>Later Vedic Period</v>
      </c>
      <c r="D44" s="51" t="s">
        <v>484</v>
      </c>
    </row>
    <row r="45" spans="1:4" x14ac:dyDescent="0.25">
      <c r="A45" s="50">
        <v>44</v>
      </c>
      <c r="B45" s="32" t="s">
        <v>63</v>
      </c>
      <c r="C45" s="32" t="str">
        <f>_xlfn.XLOOKUP(Table6[[#This Row],[Category No]],Table8[Category No],Table8[Chapter List],FALSE)</f>
        <v>Later Vedic Period</v>
      </c>
      <c r="D45" s="51" t="s">
        <v>485</v>
      </c>
    </row>
    <row r="46" spans="1:4" x14ac:dyDescent="0.25">
      <c r="A46" s="50">
        <v>45</v>
      </c>
      <c r="B46" s="32" t="s">
        <v>63</v>
      </c>
      <c r="C46" s="32" t="str">
        <f>_xlfn.XLOOKUP(Table6[[#This Row],[Category No]],Table8[Category No],Table8[Chapter List],FALSE)</f>
        <v>Later Vedic Period</v>
      </c>
      <c r="D46" s="51" t="s">
        <v>486</v>
      </c>
    </row>
    <row r="47" spans="1:4" x14ac:dyDescent="0.25">
      <c r="A47" s="50">
        <v>46</v>
      </c>
      <c r="B47" s="32" t="s">
        <v>63</v>
      </c>
      <c r="C47" s="32" t="str">
        <f>_xlfn.XLOOKUP(Table6[[#This Row],[Category No]],Table8[Category No],Table8[Chapter List],FALSE)</f>
        <v>Later Vedic Period</v>
      </c>
      <c r="D47" s="51" t="s">
        <v>487</v>
      </c>
    </row>
    <row r="48" spans="1:4" x14ac:dyDescent="0.25">
      <c r="A48" s="50">
        <v>47</v>
      </c>
      <c r="B48" s="32" t="s">
        <v>63</v>
      </c>
      <c r="C48" s="32" t="str">
        <f>_xlfn.XLOOKUP(Table6[[#This Row],[Category No]],Table8[Category No],Table8[Chapter List],FALSE)</f>
        <v>Later Vedic Period</v>
      </c>
      <c r="D48" s="51" t="s">
        <v>197</v>
      </c>
    </row>
    <row r="49" spans="1:4" x14ac:dyDescent="0.25">
      <c r="A49" s="50">
        <v>48</v>
      </c>
      <c r="B49" s="32" t="s">
        <v>63</v>
      </c>
      <c r="C49" s="32" t="str">
        <f>_xlfn.XLOOKUP(Table6[[#This Row],[Category No]],Table8[Category No],Table8[Chapter List],FALSE)</f>
        <v>Later Vedic Period</v>
      </c>
      <c r="D49" s="51" t="s">
        <v>488</v>
      </c>
    </row>
    <row r="50" spans="1:4" ht="55.2" x14ac:dyDescent="0.25">
      <c r="A50" s="50">
        <v>49</v>
      </c>
      <c r="B50" s="32" t="s">
        <v>63</v>
      </c>
      <c r="C50" s="32" t="str">
        <f>_xlfn.XLOOKUP(Table6[[#This Row],[Category No]],Table8[Category No],Table8[Chapter List],FALSE)</f>
        <v>Later Vedic Period</v>
      </c>
      <c r="D50" s="52" t="s">
        <v>489</v>
      </c>
    </row>
    <row r="51" spans="1:4" ht="82.8" x14ac:dyDescent="0.25">
      <c r="A51" s="50">
        <v>50</v>
      </c>
      <c r="B51" s="32" t="s">
        <v>63</v>
      </c>
      <c r="C51" s="32" t="str">
        <f>_xlfn.XLOOKUP(Table6[[#This Row],[Category No]],Table8[Category No],Table8[Chapter List],FALSE)</f>
        <v>Later Vedic Period</v>
      </c>
      <c r="D51" s="52" t="s">
        <v>490</v>
      </c>
    </row>
    <row r="52" spans="1:4" ht="41.4" x14ac:dyDescent="0.25">
      <c r="A52" s="50">
        <v>51</v>
      </c>
      <c r="B52" s="32" t="s">
        <v>63</v>
      </c>
      <c r="C52" s="32" t="str">
        <f>_xlfn.XLOOKUP(Table6[[#This Row],[Category No]],Table8[Category No],Table8[Chapter List],FALSE)</f>
        <v>Later Vedic Period</v>
      </c>
      <c r="D52" s="52" t="s">
        <v>491</v>
      </c>
    </row>
    <row r="53" spans="1:4" x14ac:dyDescent="0.25">
      <c r="A53" s="50">
        <v>52</v>
      </c>
      <c r="B53" s="32" t="s">
        <v>63</v>
      </c>
      <c r="C53" s="32" t="str">
        <f>_xlfn.XLOOKUP(Table6[[#This Row],[Category No]],Table8[Category No],Table8[Chapter List],FALSE)</f>
        <v>Later Vedic Period</v>
      </c>
      <c r="D53" s="51" t="s">
        <v>492</v>
      </c>
    </row>
    <row r="54" spans="1:4" x14ac:dyDescent="0.25">
      <c r="A54" s="50">
        <v>53</v>
      </c>
      <c r="B54" s="32" t="s">
        <v>63</v>
      </c>
      <c r="C54" s="32" t="str">
        <f>_xlfn.XLOOKUP(Table6[[#This Row],[Category No]],Table8[Category No],Table8[Chapter List],FALSE)</f>
        <v>Later Vedic Period</v>
      </c>
      <c r="D54" s="51" t="s">
        <v>493</v>
      </c>
    </row>
    <row r="55" spans="1:4" ht="69" x14ac:dyDescent="0.25">
      <c r="A55" s="50">
        <v>54</v>
      </c>
      <c r="B55" s="32" t="s">
        <v>64</v>
      </c>
      <c r="C55" s="32" t="str">
        <f>_xlfn.XLOOKUP(Table6[[#This Row],[Category No]],Table8[Category No],Table8[Chapter List],FALSE)</f>
        <v>Evolution of Jainism and Buddhism</v>
      </c>
      <c r="D55" s="52" t="s">
        <v>659</v>
      </c>
    </row>
    <row r="56" spans="1:4" ht="193.2" x14ac:dyDescent="0.25">
      <c r="A56" s="50">
        <v>55</v>
      </c>
      <c r="B56" s="32" t="s">
        <v>64</v>
      </c>
      <c r="C56" s="32" t="str">
        <f>_xlfn.XLOOKUP(Table6[[#This Row],[Category No]],Table8[Category No],Table8[Chapter List],FALSE)</f>
        <v>Evolution of Jainism and Buddhism</v>
      </c>
      <c r="D56" s="52" t="s">
        <v>660</v>
      </c>
    </row>
    <row r="57" spans="1:4" ht="193.2" x14ac:dyDescent="0.25">
      <c r="A57" s="50">
        <v>56</v>
      </c>
      <c r="B57" s="32" t="s">
        <v>64</v>
      </c>
      <c r="C57" s="32" t="str">
        <f>_xlfn.XLOOKUP(Table6[[#This Row],[Category No]],Table8[Category No],Table8[Chapter List],FALSE)</f>
        <v>Evolution of Jainism and Buddhism</v>
      </c>
      <c r="D57" s="52" t="s">
        <v>661</v>
      </c>
    </row>
    <row r="58" spans="1:4" x14ac:dyDescent="0.25">
      <c r="A58" s="50">
        <v>57</v>
      </c>
      <c r="B58" s="32" t="s">
        <v>64</v>
      </c>
      <c r="C58" s="32" t="str">
        <f>_xlfn.XLOOKUP(Table6[[#This Row],[Category No]],Table8[Category No],Table8[Chapter List],FALSE)</f>
        <v>Evolution of Jainism and Buddhism</v>
      </c>
      <c r="D58" s="51" t="s">
        <v>662</v>
      </c>
    </row>
    <row r="59" spans="1:4" x14ac:dyDescent="0.25">
      <c r="A59" s="50">
        <v>58</v>
      </c>
      <c r="B59" s="32" t="s">
        <v>64</v>
      </c>
      <c r="C59" s="32" t="str">
        <f>_xlfn.XLOOKUP(Table6[[#This Row],[Category No]],Table8[Category No],Table8[Chapter List],FALSE)</f>
        <v>Evolution of Jainism and Buddhism</v>
      </c>
      <c r="D59" s="51" t="s">
        <v>663</v>
      </c>
    </row>
    <row r="60" spans="1:4" x14ac:dyDescent="0.25">
      <c r="A60" s="50">
        <v>59</v>
      </c>
      <c r="B60" s="32" t="s">
        <v>65</v>
      </c>
      <c r="C60" s="32" t="str">
        <f>_xlfn.XLOOKUP(Table6[[#This Row],[Category No]],Table8[Category No],Table8[Chapter List],FALSE)</f>
        <v>MahajanapCEa, Iranian &amp; Macedonian Invasion</v>
      </c>
      <c r="D60" s="51" t="s">
        <v>959</v>
      </c>
    </row>
    <row r="61" spans="1:4" x14ac:dyDescent="0.25">
      <c r="A61" s="50">
        <v>60</v>
      </c>
      <c r="B61" s="32" t="s">
        <v>65</v>
      </c>
      <c r="C61" s="32" t="str">
        <f>_xlfn.XLOOKUP(Table6[[#This Row],[Category No]],Table8[Category No],Table8[Chapter List],FALSE)</f>
        <v>MahajanapCEa, Iranian &amp; Macedonian Invasion</v>
      </c>
      <c r="D61" s="51" t="s">
        <v>960</v>
      </c>
    </row>
    <row r="62" spans="1:4" x14ac:dyDescent="0.25">
      <c r="A62" s="50">
        <v>61</v>
      </c>
      <c r="B62" s="32" t="s">
        <v>65</v>
      </c>
      <c r="C62" s="32" t="str">
        <f>_xlfn.XLOOKUP(Table6[[#This Row],[Category No]],Table8[Category No],Table8[Chapter List],FALSE)</f>
        <v>MahajanapCEa, Iranian &amp; Macedonian Invasion</v>
      </c>
      <c r="D62" s="51" t="s">
        <v>961</v>
      </c>
    </row>
    <row r="63" spans="1:4" ht="55.2" x14ac:dyDescent="0.25">
      <c r="A63" s="50">
        <v>62</v>
      </c>
      <c r="B63" s="32" t="s">
        <v>65</v>
      </c>
      <c r="C63" s="32" t="str">
        <f>_xlfn.XLOOKUP(Table6[[#This Row],[Category No]],Table8[Category No],Table8[Chapter List],FALSE)</f>
        <v>MahajanapCEa, Iranian &amp; Macedonian Invasion</v>
      </c>
      <c r="D63" s="52" t="s">
        <v>962</v>
      </c>
    </row>
    <row r="64" spans="1:4" x14ac:dyDescent="0.25">
      <c r="A64" s="50">
        <v>63</v>
      </c>
      <c r="B64" s="32" t="s">
        <v>65</v>
      </c>
      <c r="C64" s="32" t="str">
        <f>_xlfn.XLOOKUP(Table6[[#This Row],[Category No]],Table8[Category No],Table8[Chapter List],FALSE)</f>
        <v>MahajanapCEa, Iranian &amp; Macedonian Invasion</v>
      </c>
      <c r="D64" s="51" t="s">
        <v>963</v>
      </c>
    </row>
    <row r="65" spans="1:4" x14ac:dyDescent="0.25">
      <c r="A65" s="50">
        <v>64</v>
      </c>
      <c r="B65" s="32" t="s">
        <v>65</v>
      </c>
      <c r="C65" s="32" t="str">
        <f>_xlfn.XLOOKUP(Table6[[#This Row],[Category No]],Table8[Category No],Table8[Chapter List],FALSE)</f>
        <v>MahajanapCEa, Iranian &amp; Macedonian Invasion</v>
      </c>
      <c r="D65" s="51" t="s">
        <v>964</v>
      </c>
    </row>
    <row r="66" spans="1:4" x14ac:dyDescent="0.25">
      <c r="A66" s="50">
        <v>65</v>
      </c>
      <c r="B66" s="32" t="s">
        <v>65</v>
      </c>
      <c r="C66" s="32" t="str">
        <f>_xlfn.XLOOKUP(Table6[[#This Row],[Category No]],Table8[Category No],Table8[Chapter List],FALSE)</f>
        <v>MahajanapCEa, Iranian &amp; Macedonian Invasion</v>
      </c>
      <c r="D66" s="51" t="s">
        <v>965</v>
      </c>
    </row>
    <row r="67" spans="1:4" x14ac:dyDescent="0.25">
      <c r="A67" s="50">
        <v>66</v>
      </c>
      <c r="B67" s="32" t="s">
        <v>65</v>
      </c>
      <c r="C67" s="32" t="str">
        <f>_xlfn.XLOOKUP(Table6[[#This Row],[Category No]],Table8[Category No],Table8[Chapter List],FALSE)</f>
        <v>MahajanapCEa, Iranian &amp; Macedonian Invasion</v>
      </c>
      <c r="D67" s="51" t="s">
        <v>966</v>
      </c>
    </row>
    <row r="68" spans="1:4" x14ac:dyDescent="0.25">
      <c r="A68" s="50">
        <v>67</v>
      </c>
      <c r="B68" s="32" t="s">
        <v>65</v>
      </c>
      <c r="C68" s="32" t="str">
        <f>_xlfn.XLOOKUP(Table6[[#This Row],[Category No]],Table8[Category No],Table8[Chapter List],FALSE)</f>
        <v>MahajanapCEa, Iranian &amp; Macedonian Invasion</v>
      </c>
      <c r="D68" s="51" t="s">
        <v>1032</v>
      </c>
    </row>
    <row r="69" spans="1:4" x14ac:dyDescent="0.25">
      <c r="A69" s="50">
        <v>68</v>
      </c>
      <c r="B69" s="32" t="s">
        <v>65</v>
      </c>
      <c r="C69" s="32" t="str">
        <f>_xlfn.XLOOKUP(Table6[[#This Row],[Category No]],Table8[Category No],Table8[Chapter List],FALSE)</f>
        <v>MahajanapCEa, Iranian &amp; Macedonian Invasion</v>
      </c>
      <c r="D69" s="51" t="s">
        <v>1033</v>
      </c>
    </row>
    <row r="70" spans="1:4" x14ac:dyDescent="0.25">
      <c r="A70" s="50">
        <v>69</v>
      </c>
      <c r="B70" s="32" t="s">
        <v>65</v>
      </c>
      <c r="C70" s="32" t="str">
        <f>_xlfn.XLOOKUP(Table6[[#This Row],[Category No]],Table8[Category No],Table8[Chapter List],FALSE)</f>
        <v>MahajanapCEa, Iranian &amp; Macedonian Invasion</v>
      </c>
      <c r="D70" s="51" t="s">
        <v>1034</v>
      </c>
    </row>
    <row r="71" spans="1:4" x14ac:dyDescent="0.25">
      <c r="A71" s="50">
        <v>70</v>
      </c>
      <c r="B71" s="32" t="s">
        <v>65</v>
      </c>
      <c r="C71" s="32" t="str">
        <f>_xlfn.XLOOKUP(Table6[[#This Row],[Category No]],Table8[Category No],Table8[Chapter List],FALSE)</f>
        <v>MahajanapCEa, Iranian &amp; Macedonian Invasion</v>
      </c>
      <c r="D71" s="51" t="s">
        <v>1035</v>
      </c>
    </row>
    <row r="72" spans="1:4" ht="55.2" x14ac:dyDescent="0.25">
      <c r="A72" s="50">
        <v>71</v>
      </c>
      <c r="B72" s="32" t="s">
        <v>65</v>
      </c>
      <c r="C72" s="32" t="str">
        <f>_xlfn.XLOOKUP(Table6[[#This Row],[Category No]],Table8[Category No],Table8[Chapter List],FALSE)</f>
        <v>MahajanapCEa, Iranian &amp; Macedonian Invasion</v>
      </c>
      <c r="D72" s="52" t="s">
        <v>1036</v>
      </c>
    </row>
    <row r="73" spans="1:4" x14ac:dyDescent="0.25">
      <c r="A73" s="50">
        <v>72</v>
      </c>
      <c r="B73" s="32" t="s">
        <v>66</v>
      </c>
      <c r="C73" s="32" t="str">
        <f>_xlfn.XLOOKUP(Table6[[#This Row],[Category No]],Table8[Category No],Table8[Chapter List],FALSE)</f>
        <v>The Mauryan Empire</v>
      </c>
      <c r="D73" s="51" t="s">
        <v>1078</v>
      </c>
    </row>
    <row r="74" spans="1:4" x14ac:dyDescent="0.25">
      <c r="A74" s="50">
        <v>73</v>
      </c>
      <c r="B74" s="32" t="s">
        <v>66</v>
      </c>
      <c r="C74" s="32" t="str">
        <f>_xlfn.XLOOKUP(Table6[[#This Row],[Category No]],Table8[Category No],Table8[Chapter List],FALSE)</f>
        <v>The Mauryan Empire</v>
      </c>
      <c r="D74" s="51" t="s">
        <v>1079</v>
      </c>
    </row>
    <row r="75" spans="1:4" x14ac:dyDescent="0.25">
      <c r="A75" s="50">
        <v>74</v>
      </c>
      <c r="B75" s="32" t="s">
        <v>66</v>
      </c>
      <c r="C75" s="32" t="str">
        <f>_xlfn.XLOOKUP(Table6[[#This Row],[Category No]],Table8[Category No],Table8[Chapter List],FALSE)</f>
        <v>The Mauryan Empire</v>
      </c>
      <c r="D75" s="51" t="s">
        <v>1080</v>
      </c>
    </row>
    <row r="76" spans="1:4" ht="55.2" x14ac:dyDescent="0.25">
      <c r="A76" s="50">
        <v>75</v>
      </c>
      <c r="B76" s="32" t="s">
        <v>66</v>
      </c>
      <c r="C76" s="32" t="str">
        <f>_xlfn.XLOOKUP(Table6[[#This Row],[Category No]],Table8[Category No],Table8[Chapter List],FALSE)</f>
        <v>The Mauryan Empire</v>
      </c>
      <c r="D76" s="52" t="s">
        <v>1081</v>
      </c>
    </row>
    <row r="77" spans="1:4" x14ac:dyDescent="0.25">
      <c r="A77" s="50">
        <v>76</v>
      </c>
      <c r="B77" s="32" t="s">
        <v>66</v>
      </c>
      <c r="C77" s="32" t="str">
        <f>_xlfn.XLOOKUP(Table6[[#This Row],[Category No]],Table8[Category No],Table8[Chapter List],FALSE)</f>
        <v>The Mauryan Empire</v>
      </c>
      <c r="D77" s="51" t="s">
        <v>1082</v>
      </c>
    </row>
    <row r="78" spans="1:4" ht="110.4" x14ac:dyDescent="0.25">
      <c r="A78" s="50">
        <v>77</v>
      </c>
      <c r="B78" s="32" t="s">
        <v>66</v>
      </c>
      <c r="C78" s="32" t="str">
        <f>_xlfn.XLOOKUP(Table6[[#This Row],[Category No]],Table8[Category No],Table8[Chapter List],FALSE)</f>
        <v>The Mauryan Empire</v>
      </c>
      <c r="D78" s="52" t="s">
        <v>1083</v>
      </c>
    </row>
    <row r="79" spans="1:4" ht="110.4" x14ac:dyDescent="0.25">
      <c r="A79" s="50">
        <v>78</v>
      </c>
      <c r="B79" s="32" t="s">
        <v>66</v>
      </c>
      <c r="C79" s="32" t="str">
        <f>_xlfn.XLOOKUP(Table6[[#This Row],[Category No]],Table8[Category No],Table8[Chapter List],FALSE)</f>
        <v>The Mauryan Empire</v>
      </c>
      <c r="D79" s="52" t="s">
        <v>1084</v>
      </c>
    </row>
    <row r="80" spans="1:4" ht="55.2" x14ac:dyDescent="0.25">
      <c r="A80" s="50">
        <v>79</v>
      </c>
      <c r="B80" s="32" t="s">
        <v>66</v>
      </c>
      <c r="C80" s="32" t="str">
        <f>_xlfn.XLOOKUP(Table6[[#This Row],[Category No]],Table8[Category No],Table8[Chapter List],FALSE)</f>
        <v>The Mauryan Empire</v>
      </c>
      <c r="D80" s="52" t="s">
        <v>1085</v>
      </c>
    </row>
    <row r="81" spans="1:4" ht="55.2" x14ac:dyDescent="0.25">
      <c r="A81" s="50">
        <v>80</v>
      </c>
      <c r="B81" s="32" t="s">
        <v>66</v>
      </c>
      <c r="C81" s="32" t="str">
        <f>_xlfn.XLOOKUP(Table6[[#This Row],[Category No]],Table8[Category No],Table8[Chapter List],FALSE)</f>
        <v>The Mauryan Empire</v>
      </c>
      <c r="D81" s="52" t="s">
        <v>1086</v>
      </c>
    </row>
    <row r="82" spans="1:4" x14ac:dyDescent="0.25">
      <c r="A82" s="50">
        <v>81</v>
      </c>
      <c r="B82" s="32" t="s">
        <v>66</v>
      </c>
      <c r="C82" s="32" t="str">
        <f>_xlfn.XLOOKUP(Table6[[#This Row],[Category No]],Table8[Category No],Table8[Chapter List],FALSE)</f>
        <v>The Mauryan Empire</v>
      </c>
      <c r="D82" s="51" t="s">
        <v>1087</v>
      </c>
    </row>
    <row r="83" spans="1:4" x14ac:dyDescent="0.25">
      <c r="A83" s="50">
        <v>82</v>
      </c>
      <c r="B83" s="32" t="s">
        <v>66</v>
      </c>
      <c r="C83" s="32" t="str">
        <f>_xlfn.XLOOKUP(Table6[[#This Row],[Category No]],Table8[Category No],Table8[Chapter List],FALSE)</f>
        <v>The Mauryan Empire</v>
      </c>
      <c r="D83" s="51" t="s">
        <v>1088</v>
      </c>
    </row>
    <row r="84" spans="1:4" x14ac:dyDescent="0.25">
      <c r="A84" s="50">
        <v>83</v>
      </c>
      <c r="B84" s="32" t="s">
        <v>67</v>
      </c>
      <c r="C84" s="32" t="str">
        <f>_xlfn.XLOOKUP(Table6[[#This Row],[Category No]],Table8[Category No],Table8[Chapter List],FALSE)</f>
        <v>Post-Mauryan India (200 BC - 300 CE)</v>
      </c>
      <c r="D84" s="51" t="s">
        <v>1215</v>
      </c>
    </row>
    <row r="85" spans="1:4" x14ac:dyDescent="0.25">
      <c r="A85" s="50">
        <v>84</v>
      </c>
      <c r="B85" s="32" t="s">
        <v>67</v>
      </c>
      <c r="C85" s="32" t="str">
        <f>_xlfn.XLOOKUP(Table6[[#This Row],[Category No]],Table8[Category No],Table8[Chapter List],FALSE)</f>
        <v>Post-Mauryan India (200 BC - 300 CE)</v>
      </c>
      <c r="D85" s="51" t="s">
        <v>1216</v>
      </c>
    </row>
    <row r="86" spans="1:4" x14ac:dyDescent="0.25">
      <c r="A86" s="50">
        <v>85</v>
      </c>
      <c r="B86" s="32" t="s">
        <v>67</v>
      </c>
      <c r="C86" s="32" t="str">
        <f>_xlfn.XLOOKUP(Table6[[#This Row],[Category No]],Table8[Category No],Table8[Chapter List],FALSE)</f>
        <v>Post-Mauryan India (200 BC - 300 CE)</v>
      </c>
      <c r="D86" s="51" t="s">
        <v>1217</v>
      </c>
    </row>
    <row r="87" spans="1:4" x14ac:dyDescent="0.25">
      <c r="A87" s="50">
        <v>86</v>
      </c>
      <c r="B87" s="32" t="s">
        <v>67</v>
      </c>
      <c r="C87" s="32" t="str">
        <f>_xlfn.XLOOKUP(Table6[[#This Row],[Category No]],Table8[Category No],Table8[Chapter List],FALSE)</f>
        <v>Post-Mauryan India (200 BC - 300 CE)</v>
      </c>
      <c r="D87" s="51" t="s">
        <v>1218</v>
      </c>
    </row>
    <row r="88" spans="1:4" ht="165.6" x14ac:dyDescent="0.25">
      <c r="A88" s="50">
        <v>87</v>
      </c>
      <c r="B88" s="32" t="s">
        <v>67</v>
      </c>
      <c r="C88" s="32" t="str">
        <f>_xlfn.XLOOKUP(Table6[[#This Row],[Category No]],Table8[Category No],Table8[Chapter List],FALSE)</f>
        <v>Post-Mauryan India (200 BC - 300 CE)</v>
      </c>
      <c r="D88" s="52" t="s">
        <v>1398</v>
      </c>
    </row>
    <row r="89" spans="1:4" x14ac:dyDescent="0.25">
      <c r="A89" s="50">
        <v>88</v>
      </c>
      <c r="B89" s="32" t="s">
        <v>67</v>
      </c>
      <c r="C89" s="32" t="str">
        <f>_xlfn.XLOOKUP(Table6[[#This Row],[Category No]],Table8[Category No],Table8[Chapter List],FALSE)</f>
        <v>Post-Mauryan India (200 BC - 300 CE)</v>
      </c>
      <c r="D89" s="51" t="s">
        <v>1220</v>
      </c>
    </row>
    <row r="90" spans="1:4" x14ac:dyDescent="0.25">
      <c r="A90" s="50">
        <v>89</v>
      </c>
      <c r="B90" s="32" t="s">
        <v>67</v>
      </c>
      <c r="C90" s="32" t="str">
        <f>_xlfn.XLOOKUP(Table6[[#This Row],[Category No]],Table8[Category No],Table8[Chapter List],FALSE)</f>
        <v>Post-Mauryan India (200 BC - 300 CE)</v>
      </c>
      <c r="D90" s="51" t="s">
        <v>1221</v>
      </c>
    </row>
    <row r="91" spans="1:4" x14ac:dyDescent="0.25">
      <c r="A91" s="50">
        <v>90</v>
      </c>
      <c r="B91" s="32" t="s">
        <v>67</v>
      </c>
      <c r="C91" s="32" t="str">
        <f>_xlfn.XLOOKUP(Table6[[#This Row],[Category No]],Table8[Category No],Table8[Chapter List],FALSE)</f>
        <v>Post-Mauryan India (200 BC - 300 CE)</v>
      </c>
      <c r="D91" s="51" t="s">
        <v>1222</v>
      </c>
    </row>
    <row r="92" spans="1:4" x14ac:dyDescent="0.25">
      <c r="A92" s="50">
        <v>91</v>
      </c>
      <c r="B92" s="32" t="s">
        <v>67</v>
      </c>
      <c r="C92" s="32" t="str">
        <f>_xlfn.XLOOKUP(Table6[[#This Row],[Category No]],Table8[Category No],Table8[Chapter List],FALSE)</f>
        <v>Post-Mauryan India (200 BC - 300 CE)</v>
      </c>
      <c r="D92" s="51" t="s">
        <v>1223</v>
      </c>
    </row>
    <row r="93" spans="1:4" x14ac:dyDescent="0.25">
      <c r="A93" s="50">
        <v>92</v>
      </c>
      <c r="B93" s="32" t="s">
        <v>67</v>
      </c>
      <c r="C93" s="32" t="str">
        <f>_xlfn.XLOOKUP(Table6[[#This Row],[Category No]],Table8[Category No],Table8[Chapter List],FALSE)</f>
        <v>Post-Mauryan India (200 BC - 300 CE)</v>
      </c>
      <c r="D93" s="51" t="s">
        <v>1224</v>
      </c>
    </row>
    <row r="94" spans="1:4" x14ac:dyDescent="0.25">
      <c r="A94" s="50">
        <v>93</v>
      </c>
      <c r="B94" s="32" t="s">
        <v>67</v>
      </c>
      <c r="C94" s="32" t="str">
        <f>_xlfn.XLOOKUP(Table6[[#This Row],[Category No]],Table8[Category No],Table8[Chapter List],FALSE)</f>
        <v>Post-Mauryan India (200 BC - 300 CE)</v>
      </c>
      <c r="D94" s="51" t="s">
        <v>1225</v>
      </c>
    </row>
    <row r="95" spans="1:4" x14ac:dyDescent="0.25">
      <c r="A95" s="50">
        <v>94</v>
      </c>
      <c r="B95" s="32" t="s">
        <v>67</v>
      </c>
      <c r="C95" s="32" t="str">
        <f>_xlfn.XLOOKUP(Table6[[#This Row],[Category No]],Table8[Category No],Table8[Chapter List],FALSE)</f>
        <v>Post-Mauryan India (200 BC - 300 CE)</v>
      </c>
      <c r="D95" s="51" t="s">
        <v>1226</v>
      </c>
    </row>
    <row r="96" spans="1:4" ht="27.6" x14ac:dyDescent="0.25">
      <c r="A96" s="50">
        <v>95</v>
      </c>
      <c r="B96" s="32" t="s">
        <v>67</v>
      </c>
      <c r="C96" s="32" t="str">
        <f>_xlfn.XLOOKUP(Table6[[#This Row],[Category No]],Table8[Category No],Table8[Chapter List],FALSE)</f>
        <v>Post-Mauryan India (200 BC - 300 CE)</v>
      </c>
      <c r="D96" s="52" t="s">
        <v>1227</v>
      </c>
    </row>
    <row r="97" spans="1:4" x14ac:dyDescent="0.25">
      <c r="A97" s="50">
        <v>96</v>
      </c>
      <c r="B97" s="32" t="s">
        <v>68</v>
      </c>
      <c r="C97" s="32" t="str">
        <f>_xlfn.XLOOKUP(Table6[[#This Row],[Category No]],Table8[Category No],Table8[Chapter List],FALSE)</f>
        <v>Sangam Period (South Indian Dynasties)</v>
      </c>
      <c r="D97" s="51" t="s">
        <v>1456</v>
      </c>
    </row>
    <row r="98" spans="1:4" ht="55.2" x14ac:dyDescent="0.25">
      <c r="A98" s="50">
        <v>97</v>
      </c>
      <c r="B98" s="32" t="s">
        <v>68</v>
      </c>
      <c r="C98" s="32" t="str">
        <f>_xlfn.XLOOKUP(Table6[[#This Row],[Category No]],Table8[Category No],Table8[Chapter List],FALSE)</f>
        <v>Sangam Period (South Indian Dynasties)</v>
      </c>
      <c r="D98" s="52" t="s">
        <v>1457</v>
      </c>
    </row>
    <row r="99" spans="1:4" ht="55.2" x14ac:dyDescent="0.25">
      <c r="A99" s="50">
        <v>98</v>
      </c>
      <c r="B99" s="32" t="s">
        <v>68</v>
      </c>
      <c r="C99" s="32" t="str">
        <f>_xlfn.XLOOKUP(Table6[[#This Row],[Category No]],Table8[Category No],Table8[Chapter List],FALSE)</f>
        <v>Sangam Period (South Indian Dynasties)</v>
      </c>
      <c r="D99" s="52" t="s">
        <v>1458</v>
      </c>
    </row>
    <row r="100" spans="1:4" ht="69" x14ac:dyDescent="0.25">
      <c r="A100" s="50">
        <v>99</v>
      </c>
      <c r="B100" s="32" t="s">
        <v>68</v>
      </c>
      <c r="C100" s="32" t="str">
        <f>_xlfn.XLOOKUP(Table6[[#This Row],[Category No]],Table8[Category No],Table8[Chapter List],FALSE)</f>
        <v>Sangam Period (South Indian Dynasties)</v>
      </c>
      <c r="D100" s="52" t="s">
        <v>1459</v>
      </c>
    </row>
    <row r="101" spans="1:4" ht="124.2" x14ac:dyDescent="0.25">
      <c r="A101" s="50">
        <v>100</v>
      </c>
      <c r="B101" s="32" t="s">
        <v>68</v>
      </c>
      <c r="C101" s="32" t="str">
        <f>_xlfn.XLOOKUP(Table6[[#This Row],[Category No]],Table8[Category No],Table8[Chapter List],FALSE)</f>
        <v>Sangam Period (South Indian Dynasties)</v>
      </c>
      <c r="D101" s="52" t="s">
        <v>1460</v>
      </c>
    </row>
    <row r="102" spans="1:4" ht="41.4" x14ac:dyDescent="0.25">
      <c r="A102" s="50">
        <v>101</v>
      </c>
      <c r="B102" s="32" t="s">
        <v>68</v>
      </c>
      <c r="C102" s="32" t="str">
        <f>_xlfn.XLOOKUP(Table6[[#This Row],[Category No]],Table8[Category No],Table8[Chapter List],FALSE)</f>
        <v>Sangam Period (South Indian Dynasties)</v>
      </c>
      <c r="D102" s="52" t="s">
        <v>1461</v>
      </c>
    </row>
    <row r="103" spans="1:4" ht="41.4" x14ac:dyDescent="0.25">
      <c r="A103" s="50">
        <v>102</v>
      </c>
      <c r="B103" s="32" t="s">
        <v>69</v>
      </c>
      <c r="C103" s="32" t="str">
        <f>_xlfn.XLOOKUP(Table6[[#This Row],[Category No]],Table8[Category No],Table8[Chapter List],FALSE)</f>
        <v>Imperial Guptas &amp; Vakataks, Post Gupta Empire</v>
      </c>
      <c r="D103" s="52" t="s">
        <v>1612</v>
      </c>
    </row>
    <row r="104" spans="1:4" ht="82.8" x14ac:dyDescent="0.25">
      <c r="A104" s="50">
        <v>103</v>
      </c>
      <c r="B104" s="32" t="s">
        <v>69</v>
      </c>
      <c r="C104" s="32" t="str">
        <f>_xlfn.XLOOKUP(Table6[[#This Row],[Category No]],Table8[Category No],Table8[Chapter List],FALSE)</f>
        <v>Imperial Guptas &amp; Vakataks, Post Gupta Empire</v>
      </c>
      <c r="D104" s="52" t="s">
        <v>1613</v>
      </c>
    </row>
    <row r="105" spans="1:4" x14ac:dyDescent="0.25">
      <c r="A105" s="50">
        <v>104</v>
      </c>
      <c r="B105" s="32" t="s">
        <v>69</v>
      </c>
      <c r="C105" s="32" t="str">
        <f>_xlfn.XLOOKUP(Table6[[#This Row],[Category No]],Table8[Category No],Table8[Chapter List],FALSE)</f>
        <v>Imperial Guptas &amp; Vakataks, Post Gupta Empire</v>
      </c>
      <c r="D105" s="51" t="s">
        <v>1614</v>
      </c>
    </row>
    <row r="106" spans="1:4" x14ac:dyDescent="0.25">
      <c r="A106" s="50">
        <v>105</v>
      </c>
      <c r="B106" s="32" t="s">
        <v>69</v>
      </c>
      <c r="C106" s="32" t="str">
        <f>_xlfn.XLOOKUP(Table6[[#This Row],[Category No]],Table8[Category No],Table8[Chapter List],FALSE)</f>
        <v>Imperial Guptas &amp; Vakataks, Post Gupta Empire</v>
      </c>
      <c r="D106" s="51" t="s">
        <v>1615</v>
      </c>
    </row>
    <row r="107" spans="1:4" x14ac:dyDescent="0.25">
      <c r="A107" s="50">
        <v>106</v>
      </c>
      <c r="B107" s="32" t="s">
        <v>69</v>
      </c>
      <c r="C107" s="32" t="str">
        <f>_xlfn.XLOOKUP(Table6[[#This Row],[Category No]],Table8[Category No],Table8[Chapter List],FALSE)</f>
        <v>Imperial Guptas &amp; Vakataks, Post Gupta Empire</v>
      </c>
      <c r="D107" s="51" t="s">
        <v>1616</v>
      </c>
    </row>
    <row r="108" spans="1:4" ht="82.8" x14ac:dyDescent="0.25">
      <c r="A108" s="50">
        <v>107</v>
      </c>
      <c r="B108" s="32" t="s">
        <v>69</v>
      </c>
      <c r="C108" s="32" t="str">
        <f>_xlfn.XLOOKUP(Table6[[#This Row],[Category No]],Table8[Category No],Table8[Chapter List],FALSE)</f>
        <v>Imperial Guptas &amp; Vakataks, Post Gupta Empire</v>
      </c>
      <c r="D108" s="52" t="s">
        <v>1617</v>
      </c>
    </row>
    <row r="109" spans="1:4" ht="55.2" x14ac:dyDescent="0.25">
      <c r="A109" s="50">
        <v>108</v>
      </c>
      <c r="B109" s="32" t="s">
        <v>69</v>
      </c>
      <c r="C109" s="32" t="str">
        <f>_xlfn.XLOOKUP(Table6[[#This Row],[Category No]],Table8[Category No],Table8[Chapter List],FALSE)</f>
        <v>Imperial Guptas &amp; Vakataks, Post Gupta Empire</v>
      </c>
      <c r="D109" s="52" t="s">
        <v>1618</v>
      </c>
    </row>
    <row r="110" spans="1:4" x14ac:dyDescent="0.25">
      <c r="A110" s="50">
        <v>109</v>
      </c>
      <c r="B110" s="32" t="s">
        <v>69</v>
      </c>
      <c r="C110" s="32" t="str">
        <f>_xlfn.XLOOKUP(Table6[[#This Row],[Category No]],Table8[Category No],Table8[Chapter List],FALSE)</f>
        <v>Imperial Guptas &amp; Vakataks, Post Gupta Empire</v>
      </c>
      <c r="D110" s="51" t="s">
        <v>1619</v>
      </c>
    </row>
    <row r="111" spans="1:4" x14ac:dyDescent="0.25">
      <c r="A111" s="50">
        <v>110</v>
      </c>
      <c r="B111" s="32" t="s">
        <v>69</v>
      </c>
      <c r="C111" s="32" t="str">
        <f>_xlfn.XLOOKUP(Table6[[#This Row],[Category No]],Table8[Category No],Table8[Chapter List],FALSE)</f>
        <v>Imperial Guptas &amp; Vakataks, Post Gupta Empire</v>
      </c>
      <c r="D111" s="51" t="s">
        <v>1620</v>
      </c>
    </row>
    <row r="112" spans="1:4" ht="41.4" x14ac:dyDescent="0.25">
      <c r="A112" s="50">
        <v>111</v>
      </c>
      <c r="B112" s="32" t="s">
        <v>69</v>
      </c>
      <c r="C112" s="32" t="str">
        <f>_xlfn.XLOOKUP(Table6[[#This Row],[Category No]],Table8[Category No],Table8[Chapter List],FALSE)</f>
        <v>Imperial Guptas &amp; Vakataks, Post Gupta Empire</v>
      </c>
      <c r="D112" s="52" t="s">
        <v>1621</v>
      </c>
    </row>
    <row r="113" spans="1:4" x14ac:dyDescent="0.25">
      <c r="A113" s="50">
        <v>112</v>
      </c>
      <c r="B113" s="32" t="s">
        <v>69</v>
      </c>
      <c r="C113" s="32" t="str">
        <f>_xlfn.XLOOKUP(Table6[[#This Row],[Category No]],Table8[Category No],Table8[Chapter List],FALSE)</f>
        <v>Imperial Guptas &amp; Vakataks, Post Gupta Empire</v>
      </c>
      <c r="D113" s="51" t="s">
        <v>1622</v>
      </c>
    </row>
    <row r="114" spans="1:4" x14ac:dyDescent="0.25">
      <c r="A114" s="50">
        <v>113</v>
      </c>
      <c r="B114" s="32" t="s">
        <v>69</v>
      </c>
      <c r="C114" s="32" t="str">
        <f>_xlfn.XLOOKUP(Table6[[#This Row],[Category No]],Table8[Category No],Table8[Chapter List],FALSE)</f>
        <v>Imperial Guptas &amp; Vakataks, Post Gupta Empire</v>
      </c>
      <c r="D114" s="51" t="s">
        <v>1623</v>
      </c>
    </row>
    <row r="115" spans="1:4" x14ac:dyDescent="0.25">
      <c r="A115" s="50">
        <v>114</v>
      </c>
      <c r="B115" s="32" t="s">
        <v>69</v>
      </c>
      <c r="C115" s="32" t="str">
        <f>_xlfn.XLOOKUP(Table6[[#This Row],[Category No]],Table8[Category No],Table8[Chapter List],FALSE)</f>
        <v>Imperial Guptas &amp; Vakataks, Post Gupta Empire</v>
      </c>
      <c r="D115" s="51" t="s">
        <v>1624</v>
      </c>
    </row>
    <row r="116" spans="1:4" x14ac:dyDescent="0.25">
      <c r="A116" s="50">
        <v>115</v>
      </c>
      <c r="B116" s="32" t="s">
        <v>69</v>
      </c>
      <c r="C116" s="32" t="str">
        <f>_xlfn.XLOOKUP(Table6[[#This Row],[Category No]],Table8[Category No],Table8[Chapter List],FALSE)</f>
        <v>Imperial Guptas &amp; Vakataks, Post Gupta Empire</v>
      </c>
      <c r="D116" s="51" t="s">
        <v>1625</v>
      </c>
    </row>
    <row r="117" spans="1:4" ht="110.4" x14ac:dyDescent="0.25">
      <c r="A117" s="50">
        <v>116</v>
      </c>
      <c r="B117" s="32" t="s">
        <v>69</v>
      </c>
      <c r="C117" s="32" t="str">
        <f>_xlfn.XLOOKUP(Table6[[#This Row],[Category No]],Table8[Category No],Table8[Chapter List],FALSE)</f>
        <v>Imperial Guptas &amp; Vakataks, Post Gupta Empire</v>
      </c>
      <c r="D117" s="52" t="s">
        <v>1840</v>
      </c>
    </row>
    <row r="118" spans="1:4" x14ac:dyDescent="0.25">
      <c r="A118" s="50">
        <v>117</v>
      </c>
      <c r="B118" s="32" t="s">
        <v>69</v>
      </c>
      <c r="C118" s="32" t="str">
        <f>_xlfn.XLOOKUP(Table6[[#This Row],[Category No]],Table8[Category No],Table8[Chapter List],FALSE)</f>
        <v>Imperial Guptas &amp; Vakataks, Post Gupta Empire</v>
      </c>
      <c r="D118" s="51" t="s">
        <v>1854</v>
      </c>
    </row>
    <row r="119" spans="1:4" x14ac:dyDescent="0.25">
      <c r="A119" s="50">
        <v>118</v>
      </c>
      <c r="B119" s="32" t="s">
        <v>70</v>
      </c>
      <c r="C119" s="32" t="str">
        <f>_xlfn.XLOOKUP(Table6[[#This Row],[Category No]],Table8[Category No],Table8[Chapter List],FALSE)</f>
        <v>Harshavardhana/ Vardhan Dynasty/ Pushyabhuti Dynasty</v>
      </c>
      <c r="D119" s="51" t="s">
        <v>1871</v>
      </c>
    </row>
    <row r="120" spans="1:4" x14ac:dyDescent="0.25">
      <c r="A120" s="50">
        <v>119</v>
      </c>
      <c r="B120" s="32" t="s">
        <v>70</v>
      </c>
      <c r="C120" s="32" t="str">
        <f>_xlfn.XLOOKUP(Table6[[#This Row],[Category No]],Table8[Category No],Table8[Chapter List],FALSE)</f>
        <v>Harshavardhana/ Vardhan Dynasty/ Pushyabhuti Dynasty</v>
      </c>
      <c r="D120" s="51" t="s">
        <v>1872</v>
      </c>
    </row>
    <row r="121" spans="1:4" x14ac:dyDescent="0.25">
      <c r="A121" s="50">
        <v>120</v>
      </c>
      <c r="B121" s="32" t="s">
        <v>70</v>
      </c>
      <c r="C121" s="32" t="str">
        <f>_xlfn.XLOOKUP(Table6[[#This Row],[Category No]],Table8[Category No],Table8[Chapter List],FALSE)</f>
        <v>Harshavardhana/ Vardhan Dynasty/ Pushyabhuti Dynasty</v>
      </c>
      <c r="D121" s="51" t="s">
        <v>1879</v>
      </c>
    </row>
    <row r="122" spans="1:4" x14ac:dyDescent="0.25">
      <c r="A122" s="50">
        <v>121</v>
      </c>
      <c r="B122" s="32" t="s">
        <v>70</v>
      </c>
      <c r="C122" s="32" t="str">
        <f>_xlfn.XLOOKUP(Table6[[#This Row],[Category No]],Table8[Category No],Table8[Chapter List],FALSE)</f>
        <v>Harshavardhana/ Vardhan Dynasty/ Pushyabhuti Dynasty</v>
      </c>
      <c r="D122" s="51" t="s">
        <v>1880</v>
      </c>
    </row>
    <row r="123" spans="1:4" x14ac:dyDescent="0.25">
      <c r="A123" s="50">
        <v>122</v>
      </c>
      <c r="B123" s="32" t="s">
        <v>70</v>
      </c>
      <c r="C123" s="32" t="str">
        <f>_xlfn.XLOOKUP(Table6[[#This Row],[Category No]],Table8[Category No],Table8[Chapter List],FALSE)</f>
        <v>Harshavardhana/ Vardhan Dynasty/ Pushyabhuti Dynasty</v>
      </c>
      <c r="D123" s="51" t="s">
        <v>1881</v>
      </c>
    </row>
    <row r="124" spans="1:4" x14ac:dyDescent="0.25">
      <c r="A124" s="50">
        <v>123</v>
      </c>
      <c r="B124" s="32" t="s">
        <v>70</v>
      </c>
      <c r="C124" s="32" t="str">
        <f>_xlfn.XLOOKUP(Table6[[#This Row],[Category No]],Table8[Category No],Table8[Chapter List],FALSE)</f>
        <v>Harshavardhana/ Vardhan Dynasty/ Pushyabhuti Dynasty</v>
      </c>
      <c r="D124" s="51" t="s">
        <v>1882</v>
      </c>
    </row>
    <row r="125" spans="1:4" x14ac:dyDescent="0.25">
      <c r="A125" s="50">
        <v>124</v>
      </c>
      <c r="B125" s="32" t="s">
        <v>70</v>
      </c>
      <c r="C125" s="32" t="str">
        <f>_xlfn.XLOOKUP(Table6[[#This Row],[Category No]],Table8[Category No],Table8[Chapter List],FALSE)</f>
        <v>Harshavardhana/ Vardhan Dynasty/ Pushyabhuti Dynasty</v>
      </c>
      <c r="D125" s="51" t="s">
        <v>1883</v>
      </c>
    </row>
    <row r="126" spans="1:4" x14ac:dyDescent="0.25">
      <c r="A126" s="50">
        <v>125</v>
      </c>
      <c r="B126" s="32" t="s">
        <v>70</v>
      </c>
      <c r="C126" s="32" t="str">
        <f>_xlfn.XLOOKUP(Table6[[#This Row],[Category No]],Table8[Category No],Table8[Chapter List],FALSE)</f>
        <v>Harshavardhana/ Vardhan Dynasty/ Pushyabhuti Dynasty</v>
      </c>
      <c r="D126" s="51" t="s">
        <v>1901</v>
      </c>
    </row>
    <row r="127" spans="1:4" x14ac:dyDescent="0.25">
      <c r="A127" s="50">
        <v>126</v>
      </c>
      <c r="B127" s="32" t="s">
        <v>70</v>
      </c>
      <c r="C127" s="32" t="str">
        <f>_xlfn.XLOOKUP(Table6[[#This Row],[Category No]],Table8[Category No],Table8[Chapter List],FALSE)</f>
        <v>Harshavardhana/ Vardhan Dynasty/ Pushyabhuti Dynasty</v>
      </c>
      <c r="D127" s="51" t="s">
        <v>1902</v>
      </c>
    </row>
    <row r="128" spans="1:4" x14ac:dyDescent="0.25">
      <c r="A128" s="50">
        <v>127</v>
      </c>
      <c r="B128" s="32" t="s">
        <v>70</v>
      </c>
      <c r="C128" s="32" t="str">
        <f>_xlfn.XLOOKUP(Table6[[#This Row],[Category No]],Table8[Category No],Table8[Chapter List],FALSE)</f>
        <v>Harshavardhana/ Vardhan Dynasty/ Pushyabhuti Dynasty</v>
      </c>
      <c r="D128" s="51" t="s">
        <v>1903</v>
      </c>
    </row>
    <row r="129" spans="1:4" x14ac:dyDescent="0.25">
      <c r="A129" s="50">
        <v>128</v>
      </c>
      <c r="B129" s="32" t="s">
        <v>70</v>
      </c>
      <c r="C129" s="32" t="str">
        <f>_xlfn.XLOOKUP(Table6[[#This Row],[Category No]],Table8[Category No],Table8[Chapter List],FALSE)</f>
        <v>Harshavardhana/ Vardhan Dynasty/ Pushyabhuti Dynasty</v>
      </c>
      <c r="D129" s="51" t="s">
        <v>208</v>
      </c>
    </row>
    <row r="130" spans="1:4" x14ac:dyDescent="0.25">
      <c r="A130" s="50">
        <v>129</v>
      </c>
      <c r="B130" s="32" t="s">
        <v>70</v>
      </c>
      <c r="C130" s="32" t="str">
        <f>_xlfn.XLOOKUP(Table6[[#This Row],[Category No]],Table8[Category No],Table8[Chapter List],FALSE)</f>
        <v>Harshavardhana/ Vardhan Dynasty/ Pushyabhuti Dynasty</v>
      </c>
      <c r="D130" s="51" t="s">
        <v>1904</v>
      </c>
    </row>
    <row r="131" spans="1:4" ht="55.2" x14ac:dyDescent="0.25">
      <c r="A131" s="50">
        <v>130</v>
      </c>
      <c r="B131" s="32" t="s">
        <v>74</v>
      </c>
      <c r="C131" s="32" t="str">
        <f>_xlfn.XLOOKUP(Table6[[#This Row],[Category No]],Table8[Category No],Table8[Chapter List],FALSE)</f>
        <v>Early Medieval India's Major Dynasties Part 1 - (550 - 750)CE</v>
      </c>
      <c r="D131" s="52" t="s">
        <v>1940</v>
      </c>
    </row>
    <row r="132" spans="1:4" ht="55.2" x14ac:dyDescent="0.25">
      <c r="A132" s="50">
        <v>131</v>
      </c>
      <c r="B132" s="32" t="s">
        <v>74</v>
      </c>
      <c r="C132" s="32" t="str">
        <f>_xlfn.XLOOKUP(Table6[[#This Row],[Category No]],Table8[Category No],Table8[Chapter List],FALSE)</f>
        <v>Early Medieval India's Major Dynasties Part 1 - (550 - 750)CE</v>
      </c>
      <c r="D132" s="52" t="s">
        <v>1940</v>
      </c>
    </row>
    <row r="133" spans="1:4" ht="110.4" x14ac:dyDescent="0.25">
      <c r="A133" s="50">
        <v>132</v>
      </c>
      <c r="B133" s="32" t="s">
        <v>74</v>
      </c>
      <c r="C133" s="32" t="str">
        <f>_xlfn.XLOOKUP(Table6[[#This Row],[Category No]],Table8[Category No],Table8[Chapter List],FALSE)</f>
        <v>Early Medieval India's Major Dynasties Part 1 - (550 - 750)CE</v>
      </c>
      <c r="D133" s="52" t="s">
        <v>2008</v>
      </c>
    </row>
    <row r="134" spans="1:4" ht="82.8" x14ac:dyDescent="0.25">
      <c r="A134" s="50">
        <v>133</v>
      </c>
      <c r="B134" s="32" t="s">
        <v>74</v>
      </c>
      <c r="C134" s="32" t="str">
        <f>_xlfn.XLOOKUP(Table6[[#This Row],[Category No]],Table8[Category No],Table8[Chapter List],FALSE)</f>
        <v>Early Medieval India's Major Dynasties Part 1 - (550 - 750)CE</v>
      </c>
      <c r="D134" s="52" t="s">
        <v>1941</v>
      </c>
    </row>
    <row r="135" spans="1:4" ht="96.6" x14ac:dyDescent="0.25">
      <c r="A135" s="50">
        <v>134</v>
      </c>
      <c r="B135" s="32" t="s">
        <v>75</v>
      </c>
      <c r="C135" s="32" t="str">
        <f>_xlfn.XLOOKUP(Table6[[#This Row],[Category No]],Table8[Category No],Table8[Chapter List],FALSE)</f>
        <v>Early Medieval India's Major Dynasties Part 2 - (750 - 1000)CE</v>
      </c>
      <c r="D135" s="52" t="s">
        <v>2100</v>
      </c>
    </row>
    <row r="136" spans="1:4" ht="55.2" x14ac:dyDescent="0.25">
      <c r="A136" s="50">
        <v>135</v>
      </c>
      <c r="B136" s="32" t="s">
        <v>75</v>
      </c>
      <c r="C136" s="32" t="str">
        <f>_xlfn.XLOOKUP(Table6[[#This Row],[Category No]],Table8[Category No],Table8[Chapter List],FALSE)</f>
        <v>Early Medieval India's Major Dynasties Part 2 - (750 - 1000)CE</v>
      </c>
      <c r="D136" s="52" t="s">
        <v>2191</v>
      </c>
    </row>
    <row r="137" spans="1:4" ht="82.8" x14ac:dyDescent="0.25">
      <c r="A137" s="50">
        <v>136</v>
      </c>
      <c r="B137" s="32" t="s">
        <v>75</v>
      </c>
      <c r="C137" s="32" t="str">
        <f>_xlfn.XLOOKUP(Table6[[#This Row],[Category No]],Table8[Category No],Table8[Chapter List],FALSE)</f>
        <v>Early Medieval India's Major Dynasties Part 2 - (750 - 1000)CE</v>
      </c>
      <c r="D137" s="52" t="s">
        <v>2235</v>
      </c>
    </row>
    <row r="138" spans="1:4" ht="317.39999999999998" x14ac:dyDescent="0.25">
      <c r="A138" s="50">
        <v>137</v>
      </c>
      <c r="B138" s="32" t="s">
        <v>76</v>
      </c>
      <c r="C138" s="32" t="str">
        <f>_xlfn.XLOOKUP(Table6[[#This Row],[Category No]],Table8[Category No],Table8[Chapter List],FALSE)</f>
        <v>Early Medieval India's Major Dynasties Part 3 - (1000 - 1200) CE</v>
      </c>
      <c r="D138" s="52" t="s">
        <v>2294</v>
      </c>
    </row>
    <row r="139" spans="1:4" ht="55.2" x14ac:dyDescent="0.25">
      <c r="A139" s="50">
        <v>138</v>
      </c>
      <c r="B139" s="32" t="s">
        <v>76</v>
      </c>
      <c r="C139" s="32" t="str">
        <f>_xlfn.XLOOKUP(Table6[[#This Row],[Category No]],Table8[Category No],Table8[Chapter List],FALSE)</f>
        <v>Early Medieval India's Major Dynasties Part 3 - (1000 - 1200) CE</v>
      </c>
      <c r="D139" s="52" t="s">
        <v>2295</v>
      </c>
    </row>
    <row r="140" spans="1:4" ht="41.4" x14ac:dyDescent="0.25">
      <c r="A140" s="50">
        <v>139</v>
      </c>
      <c r="B140" s="32" t="s">
        <v>76</v>
      </c>
      <c r="C140" s="32" t="str">
        <f>_xlfn.XLOOKUP(Table6[[#This Row],[Category No]],Table8[Category No],Table8[Chapter List],FALSE)</f>
        <v>Early Medieval India's Major Dynasties Part 3 - (1000 - 1200) CE</v>
      </c>
      <c r="D140" s="52" t="s">
        <v>2296</v>
      </c>
    </row>
    <row r="141" spans="1:4" x14ac:dyDescent="0.25">
      <c r="A141" s="50">
        <v>140</v>
      </c>
      <c r="B141" s="32" t="s">
        <v>76</v>
      </c>
      <c r="C141" s="32" t="str">
        <f>_xlfn.XLOOKUP(Table6[[#This Row],[Category No]],Table8[Category No],Table8[Chapter List],FALSE)</f>
        <v>Early Medieval India's Major Dynasties Part 3 - (1000 - 1200) CE</v>
      </c>
      <c r="D141" s="51"/>
    </row>
    <row r="142" spans="1:4" x14ac:dyDescent="0.25">
      <c r="A142" s="50">
        <v>141</v>
      </c>
      <c r="B142" s="32" t="s">
        <v>76</v>
      </c>
      <c r="C142" s="32" t="str">
        <f>_xlfn.XLOOKUP(Table6[[#This Row],[Category No]],Table8[Category No],Table8[Chapter List],FALSE)</f>
        <v>Early Medieval India's Major Dynasties Part 3 - (1000 - 1200) CE</v>
      </c>
      <c r="D142" s="51"/>
    </row>
    <row r="143" spans="1:4" x14ac:dyDescent="0.25">
      <c r="A143" s="50">
        <v>142</v>
      </c>
      <c r="B143" s="32" t="s">
        <v>76</v>
      </c>
      <c r="C143" s="32" t="str">
        <f>_xlfn.XLOOKUP(Table6[[#This Row],[Category No]],Table8[Category No],Table8[Chapter List],FALSE)</f>
        <v>Early Medieval India's Major Dynasties Part 3 - (1000 - 1200) CE</v>
      </c>
      <c r="D143" s="51"/>
    </row>
    <row r="144" spans="1:4" x14ac:dyDescent="0.25">
      <c r="A144" s="50">
        <v>143</v>
      </c>
      <c r="B144" s="32" t="s">
        <v>76</v>
      </c>
      <c r="C144" s="32" t="str">
        <f>_xlfn.XLOOKUP(Table6[[#This Row],[Category No]],Table8[Category No],Table8[Chapter List],FALSE)</f>
        <v>Early Medieval India's Major Dynasties Part 3 - (1000 - 1200) CE</v>
      </c>
      <c r="D144" s="51"/>
    </row>
    <row r="145" spans="1:4" x14ac:dyDescent="0.25">
      <c r="A145" s="50">
        <v>144</v>
      </c>
      <c r="B145" s="32" t="s">
        <v>76</v>
      </c>
      <c r="C145" s="32" t="str">
        <f>_xlfn.XLOOKUP(Table6[[#This Row],[Category No]],Table8[Category No],Table8[Chapter List],FALSE)</f>
        <v>Early Medieval India's Major Dynasties Part 3 - (1000 - 1200) CE</v>
      </c>
      <c r="D145" s="51"/>
    </row>
    <row r="146" spans="1:4" x14ac:dyDescent="0.25">
      <c r="A146" s="50">
        <v>145</v>
      </c>
      <c r="B146" s="32" t="s">
        <v>76</v>
      </c>
      <c r="C146" s="32" t="str">
        <f>_xlfn.XLOOKUP(Table6[[#This Row],[Category No]],Table8[Category No],Table8[Chapter List],FALSE)</f>
        <v>Early Medieval India's Major Dynasties Part 3 - (1000 - 1200) CE</v>
      </c>
      <c r="D146" s="51"/>
    </row>
    <row r="147" spans="1:4" x14ac:dyDescent="0.25">
      <c r="A147" s="50">
        <v>146</v>
      </c>
      <c r="B147" s="32" t="s">
        <v>76</v>
      </c>
      <c r="C147" s="32" t="str">
        <f>_xlfn.XLOOKUP(Table6[[#This Row],[Category No]],Table8[Category No],Table8[Chapter List],FALSE)</f>
        <v>Early Medieval India's Major Dynasties Part 3 - (1000 - 1200) CE</v>
      </c>
      <c r="D147" s="51"/>
    </row>
    <row r="148" spans="1:4" x14ac:dyDescent="0.25">
      <c r="A148" s="50">
        <v>147</v>
      </c>
      <c r="B148" s="32" t="s">
        <v>76</v>
      </c>
      <c r="C148" s="32" t="str">
        <f>_xlfn.XLOOKUP(Table6[[#This Row],[Category No]],Table8[Category No],Table8[Chapter List],FALSE)</f>
        <v>Early Medieval India's Major Dynasties Part 3 - (1000 - 1200) CE</v>
      </c>
      <c r="D148" s="51"/>
    </row>
    <row r="149" spans="1:4" x14ac:dyDescent="0.25">
      <c r="A149" s="50">
        <v>148</v>
      </c>
      <c r="B149" s="32" t="s">
        <v>76</v>
      </c>
      <c r="C149" s="32" t="str">
        <f>_xlfn.XLOOKUP(Table6[[#This Row],[Category No]],Table8[Category No],Table8[Chapter List],FALSE)</f>
        <v>Early Medieval India's Major Dynasties Part 3 - (1000 - 1200) CE</v>
      </c>
      <c r="D149" s="51"/>
    </row>
    <row r="150" spans="1:4" x14ac:dyDescent="0.25">
      <c r="A150" s="50">
        <v>149</v>
      </c>
      <c r="B150" s="32" t="s">
        <v>76</v>
      </c>
      <c r="C150" s="32" t="str">
        <f>_xlfn.XLOOKUP(Table6[[#This Row],[Category No]],Table8[Category No],Table8[Chapter List],FALSE)</f>
        <v>Early Medieval India's Major Dynasties Part 3 - (1000 - 1200) CE</v>
      </c>
      <c r="D150" s="51"/>
    </row>
    <row r="151" spans="1:4" x14ac:dyDescent="0.25">
      <c r="A151" s="50">
        <v>150</v>
      </c>
      <c r="B151" s="32" t="s">
        <v>76</v>
      </c>
      <c r="C151" s="32" t="str">
        <f>_xlfn.XLOOKUP(Table6[[#This Row],[Category No]],Table8[Category No],Table8[Chapter List],FALSE)</f>
        <v>Early Medieval India's Major Dynasties Part 3 - (1000 - 1200) CE</v>
      </c>
      <c r="D151" s="51"/>
    </row>
    <row r="152" spans="1:4" x14ac:dyDescent="0.25">
      <c r="A152" s="50">
        <v>151</v>
      </c>
      <c r="B152" s="32" t="s">
        <v>76</v>
      </c>
      <c r="C152" s="32" t="str">
        <f>_xlfn.XLOOKUP(Table6[[#This Row],[Category No]],Table8[Category No],Table8[Chapter List],FALSE)</f>
        <v>Early Medieval India's Major Dynasties Part 3 - (1000 - 1200) CE</v>
      </c>
      <c r="D152" s="51"/>
    </row>
    <row r="153" spans="1:4" x14ac:dyDescent="0.25">
      <c r="A153" s="50">
        <v>152</v>
      </c>
      <c r="B153" s="32" t="s">
        <v>76</v>
      </c>
      <c r="C153" s="32" t="str">
        <f>_xlfn.XLOOKUP(Table6[[#This Row],[Category No]],Table8[Category No],Table8[Chapter List],FALSE)</f>
        <v>Early Medieval India's Major Dynasties Part 3 - (1000 - 1200) CE</v>
      </c>
      <c r="D153" s="51"/>
    </row>
    <row r="154" spans="1:4" x14ac:dyDescent="0.25">
      <c r="A154" s="50">
        <v>153</v>
      </c>
      <c r="B154" s="32" t="s">
        <v>76</v>
      </c>
      <c r="C154" s="32" t="str">
        <f>_xlfn.XLOOKUP(Table6[[#This Row],[Category No]],Table8[Category No],Table8[Chapter List],FALSE)</f>
        <v>Early Medieval India's Major Dynasties Part 3 - (1000 - 1200) CE</v>
      </c>
      <c r="D154" s="51"/>
    </row>
    <row r="155" spans="1:4" x14ac:dyDescent="0.25">
      <c r="A155" s="50">
        <v>154</v>
      </c>
      <c r="B155" s="32" t="s">
        <v>76</v>
      </c>
      <c r="C155" s="32" t="str">
        <f>_xlfn.XLOOKUP(Table6[[#This Row],[Category No]],Table8[Category No],Table8[Chapter List],FALSE)</f>
        <v>Early Medieval India's Major Dynasties Part 3 - (1000 - 1200) CE</v>
      </c>
      <c r="D155" s="51"/>
    </row>
    <row r="156" spans="1:4" x14ac:dyDescent="0.25">
      <c r="A156" s="50">
        <v>155</v>
      </c>
      <c r="B156" s="32" t="s">
        <v>76</v>
      </c>
      <c r="C156" s="32" t="str">
        <f>_xlfn.XLOOKUP(Table6[[#This Row],[Category No]],Table8[Category No],Table8[Chapter List],FALSE)</f>
        <v>Early Medieval India's Major Dynasties Part 3 - (1000 - 1200) CE</v>
      </c>
      <c r="D156" s="51"/>
    </row>
    <row r="157" spans="1:4" x14ac:dyDescent="0.25">
      <c r="A157" s="50">
        <v>156</v>
      </c>
      <c r="B157" s="32"/>
      <c r="C157" s="32" t="b">
        <f>_xlfn.XLOOKUP(Table6[[#This Row],[Category No]],Table8[Category No],Table8[Chapter List],FALSE)</f>
        <v>0</v>
      </c>
      <c r="D157" s="51"/>
    </row>
    <row r="158" spans="1:4" x14ac:dyDescent="0.25">
      <c r="A158" s="50">
        <v>157</v>
      </c>
      <c r="B158" s="32"/>
      <c r="C158" s="32" t="b">
        <f>_xlfn.XLOOKUP(Table6[[#This Row],[Category No]],Table8[Category No],Table8[Chapter List],FALSE)</f>
        <v>0</v>
      </c>
      <c r="D158" s="51"/>
    </row>
    <row r="159" spans="1:4" x14ac:dyDescent="0.25">
      <c r="A159" s="50">
        <v>158</v>
      </c>
      <c r="B159" s="32"/>
      <c r="C159" s="32" t="b">
        <f>_xlfn.XLOOKUP(Table6[[#This Row],[Category No]],Table8[Category No],Table8[Chapter List],FALSE)</f>
        <v>0</v>
      </c>
      <c r="D159" s="51"/>
    </row>
    <row r="160" spans="1:4" x14ac:dyDescent="0.25">
      <c r="A160" s="50">
        <v>159</v>
      </c>
      <c r="B160" s="32"/>
      <c r="C160" s="32" t="b">
        <f>_xlfn.XLOOKUP(Table6[[#This Row],[Category No]],Table8[Category No],Table8[Chapter List],FALSE)</f>
        <v>0</v>
      </c>
      <c r="D160" s="51"/>
    </row>
    <row r="161" spans="1:4" x14ac:dyDescent="0.25">
      <c r="A161" s="50">
        <v>160</v>
      </c>
      <c r="B161" s="32"/>
      <c r="C161" s="32" t="b">
        <f>_xlfn.XLOOKUP(Table6[[#This Row],[Category No]],Table8[Category No],Table8[Chapter List],FALSE)</f>
        <v>0</v>
      </c>
      <c r="D161" s="51"/>
    </row>
    <row r="162" spans="1:4" x14ac:dyDescent="0.25">
      <c r="A162" s="50">
        <v>161</v>
      </c>
      <c r="B162" s="32"/>
      <c r="C162" s="32" t="b">
        <f>_xlfn.XLOOKUP(Table6[[#This Row],[Category No]],Table8[Category No],Table8[Chapter List],FALSE)</f>
        <v>0</v>
      </c>
      <c r="D162" s="51"/>
    </row>
    <row r="163" spans="1:4" x14ac:dyDescent="0.25">
      <c r="A163" s="50">
        <v>162</v>
      </c>
      <c r="B163" s="32"/>
      <c r="C163" s="32" t="b">
        <f>_xlfn.XLOOKUP(Table6[[#This Row],[Category No]],Table8[Category No],Table8[Chapter List],FALSE)</f>
        <v>0</v>
      </c>
      <c r="D163" s="51"/>
    </row>
    <row r="164" spans="1:4" x14ac:dyDescent="0.25">
      <c r="A164" s="50">
        <v>163</v>
      </c>
      <c r="B164" s="32"/>
      <c r="C164" s="32" t="b">
        <f>_xlfn.XLOOKUP(Table6[[#This Row],[Category No]],Table8[Category No],Table8[Chapter List],FALSE)</f>
        <v>0</v>
      </c>
      <c r="D164" s="51"/>
    </row>
    <row r="165" spans="1:4" x14ac:dyDescent="0.25">
      <c r="A165" s="50">
        <v>164</v>
      </c>
      <c r="B165" s="32"/>
      <c r="C165" s="32" t="b">
        <f>_xlfn.XLOOKUP(Table6[[#This Row],[Category No]],Table8[Category No],Table8[Chapter List],FALSE)</f>
        <v>0</v>
      </c>
      <c r="D165" s="51"/>
    </row>
    <row r="166" spans="1:4" x14ac:dyDescent="0.25">
      <c r="A166" s="50">
        <v>165</v>
      </c>
      <c r="B166" s="32"/>
      <c r="C166" s="32" t="b">
        <f>_xlfn.XLOOKUP(Table6[[#This Row],[Category No]],Table8[Category No],Table8[Chapter List],FALSE)</f>
        <v>0</v>
      </c>
      <c r="D166" s="51"/>
    </row>
    <row r="167" spans="1:4" x14ac:dyDescent="0.25">
      <c r="A167" s="50">
        <v>166</v>
      </c>
      <c r="B167" s="32"/>
      <c r="C167" s="32" t="b">
        <f>_xlfn.XLOOKUP(Table6[[#This Row],[Category No]],Table8[Category No],Table8[Chapter List],FALSE)</f>
        <v>0</v>
      </c>
      <c r="D167" s="51"/>
    </row>
    <row r="168" spans="1:4" x14ac:dyDescent="0.25">
      <c r="A168" s="50">
        <v>167</v>
      </c>
      <c r="B168" s="32"/>
      <c r="C168" s="32" t="b">
        <f>_xlfn.XLOOKUP(Table6[[#This Row],[Category No]],Table8[Category No],Table8[Chapter List],FALSE)</f>
        <v>0</v>
      </c>
      <c r="D168" s="51"/>
    </row>
    <row r="169" spans="1:4" x14ac:dyDescent="0.25">
      <c r="A169" s="50">
        <v>168</v>
      </c>
      <c r="B169" s="32"/>
      <c r="C169" s="32" t="b">
        <f>_xlfn.XLOOKUP(Table6[[#This Row],[Category No]],Table8[Category No],Table8[Chapter List],FALSE)</f>
        <v>0</v>
      </c>
      <c r="D169" s="51"/>
    </row>
    <row r="170" spans="1:4" x14ac:dyDescent="0.25">
      <c r="A170" s="50">
        <v>169</v>
      </c>
      <c r="B170" s="32"/>
      <c r="C170" s="32" t="b">
        <f>_xlfn.XLOOKUP(Table6[[#This Row],[Category No]],Table8[Category No],Table8[Chapter List],FALSE)</f>
        <v>0</v>
      </c>
      <c r="D170" s="51"/>
    </row>
    <row r="171" spans="1:4" x14ac:dyDescent="0.25">
      <c r="A171" s="50">
        <v>170</v>
      </c>
      <c r="B171" s="32"/>
      <c r="C171" s="32" t="b">
        <f>_xlfn.XLOOKUP(Table6[[#This Row],[Category No]],Table8[Category No],Table8[Chapter List],FALSE)</f>
        <v>0</v>
      </c>
      <c r="D171" s="51"/>
    </row>
    <row r="172" spans="1:4" x14ac:dyDescent="0.25">
      <c r="A172" s="50">
        <v>171</v>
      </c>
      <c r="B172" s="32"/>
      <c r="C172" s="32" t="b">
        <f>_xlfn.XLOOKUP(Table6[[#This Row],[Category No]],Table8[Category No],Table8[Chapter List],FALSE)</f>
        <v>0</v>
      </c>
      <c r="D172" s="51"/>
    </row>
    <row r="173" spans="1:4" x14ac:dyDescent="0.25">
      <c r="A173" s="50">
        <v>172</v>
      </c>
      <c r="B173" s="32"/>
      <c r="C173" s="32" t="b">
        <f>_xlfn.XLOOKUP(Table6[[#This Row],[Category No]],Table8[Category No],Table8[Chapter List],FALSE)</f>
        <v>0</v>
      </c>
      <c r="D173" s="51"/>
    </row>
    <row r="174" spans="1:4" x14ac:dyDescent="0.25">
      <c r="A174" s="50">
        <v>173</v>
      </c>
      <c r="B174" s="32"/>
      <c r="C174" s="32" t="b">
        <f>_xlfn.XLOOKUP(Table6[[#This Row],[Category No]],Table8[Category No],Table8[Chapter List],FALSE)</f>
        <v>0</v>
      </c>
      <c r="D174" s="51"/>
    </row>
    <row r="175" spans="1:4" x14ac:dyDescent="0.25">
      <c r="A175" s="50">
        <v>174</v>
      </c>
      <c r="B175" s="32"/>
      <c r="C175" s="32" t="b">
        <f>_xlfn.XLOOKUP(Table6[[#This Row],[Category No]],Table8[Category No],Table8[Chapter List],FALSE)</f>
        <v>0</v>
      </c>
      <c r="D175" s="51"/>
    </row>
    <row r="176" spans="1:4" x14ac:dyDescent="0.25">
      <c r="A176" s="50">
        <v>175</v>
      </c>
      <c r="B176" s="32"/>
      <c r="C176" s="32" t="b">
        <f>_xlfn.XLOOKUP(Table6[[#This Row],[Category No]],Table8[Category No],Table8[Chapter List],FALSE)</f>
        <v>0</v>
      </c>
      <c r="D176" s="51"/>
    </row>
    <row r="177" spans="1:4" x14ac:dyDescent="0.25">
      <c r="A177" s="50">
        <v>176</v>
      </c>
      <c r="B177" s="32"/>
      <c r="C177" s="32" t="b">
        <f>_xlfn.XLOOKUP(Table6[[#This Row],[Category No]],Table8[Category No],Table8[Chapter List],FALSE)</f>
        <v>0</v>
      </c>
      <c r="D177" s="51"/>
    </row>
    <row r="178" spans="1:4" x14ac:dyDescent="0.25">
      <c r="A178" s="50">
        <v>177</v>
      </c>
      <c r="B178" s="32"/>
      <c r="C178" s="32" t="b">
        <f>_xlfn.XLOOKUP(Table6[[#This Row],[Category No]],Table8[Category No],Table8[Chapter List],FALSE)</f>
        <v>0</v>
      </c>
      <c r="D178" s="51"/>
    </row>
    <row r="179" spans="1:4" x14ac:dyDescent="0.25">
      <c r="A179" s="50">
        <v>178</v>
      </c>
      <c r="B179" s="32"/>
      <c r="C179" s="32" t="b">
        <f>_xlfn.XLOOKUP(Table6[[#This Row],[Category No]],Table8[Category No],Table8[Chapter List],FALSE)</f>
        <v>0</v>
      </c>
      <c r="D179" s="51"/>
    </row>
    <row r="180" spans="1:4" x14ac:dyDescent="0.25">
      <c r="A180" s="50">
        <v>179</v>
      </c>
      <c r="B180" s="32"/>
      <c r="C180" s="32" t="b">
        <f>_xlfn.XLOOKUP(Table6[[#This Row],[Category No]],Table8[Category No],Table8[Chapter List],FALSE)</f>
        <v>0</v>
      </c>
      <c r="D180" s="51"/>
    </row>
    <row r="181" spans="1:4" x14ac:dyDescent="0.25">
      <c r="A181" s="50">
        <v>180</v>
      </c>
      <c r="B181" s="32"/>
      <c r="C181" s="32" t="b">
        <f>_xlfn.XLOOKUP(Table6[[#This Row],[Category No]],Table8[Category No],Table8[Chapter List],FALSE)</f>
        <v>0</v>
      </c>
      <c r="D181" s="51"/>
    </row>
    <row r="182" spans="1:4" x14ac:dyDescent="0.25">
      <c r="A182" s="50">
        <v>181</v>
      </c>
      <c r="B182" s="32"/>
      <c r="C182" s="32" t="b">
        <f>_xlfn.XLOOKUP(Table6[[#This Row],[Category No]],Table8[Category No],Table8[Chapter List],FALSE)</f>
        <v>0</v>
      </c>
      <c r="D182" s="51"/>
    </row>
    <row r="183" spans="1:4" x14ac:dyDescent="0.25">
      <c r="A183" s="50">
        <v>182</v>
      </c>
      <c r="B183" s="32"/>
      <c r="C183" s="32" t="b">
        <f>_xlfn.XLOOKUP(Table6[[#This Row],[Category No]],Table8[Category No],Table8[Chapter List],FALSE)</f>
        <v>0</v>
      </c>
      <c r="D183" s="51"/>
    </row>
    <row r="184" spans="1:4" x14ac:dyDescent="0.25">
      <c r="A184" s="50">
        <v>183</v>
      </c>
      <c r="B184" s="32"/>
      <c r="C184" s="32" t="b">
        <f>_xlfn.XLOOKUP(Table6[[#This Row],[Category No]],Table8[Category No],Table8[Chapter List],FALSE)</f>
        <v>0</v>
      </c>
      <c r="D184" s="51"/>
    </row>
    <row r="185" spans="1:4" x14ac:dyDescent="0.25">
      <c r="A185" s="50">
        <v>184</v>
      </c>
      <c r="B185" s="32"/>
      <c r="C185" s="32" t="b">
        <f>_xlfn.XLOOKUP(Table6[[#This Row],[Category No]],Table8[Category No],Table8[Chapter List],FALSE)</f>
        <v>0</v>
      </c>
      <c r="D185" s="51"/>
    </row>
    <row r="186" spans="1:4" x14ac:dyDescent="0.25">
      <c r="A186" s="50">
        <v>185</v>
      </c>
      <c r="B186" s="32"/>
      <c r="C186" s="32" t="b">
        <f>_xlfn.XLOOKUP(Table6[[#This Row],[Category No]],Table8[Category No],Table8[Chapter List],FALSE)</f>
        <v>0</v>
      </c>
      <c r="D186" s="51"/>
    </row>
    <row r="187" spans="1:4" x14ac:dyDescent="0.25">
      <c r="A187" s="50">
        <v>186</v>
      </c>
      <c r="B187" s="32"/>
      <c r="C187" s="32" t="b">
        <f>_xlfn.XLOOKUP(Table6[[#This Row],[Category No]],Table8[Category No],Table8[Chapter List],FALSE)</f>
        <v>0</v>
      </c>
      <c r="D187" s="51"/>
    </row>
    <row r="188" spans="1:4" x14ac:dyDescent="0.25">
      <c r="A188" s="50">
        <v>187</v>
      </c>
      <c r="B188" s="32"/>
      <c r="C188" s="32" t="b">
        <f>_xlfn.XLOOKUP(Table6[[#This Row],[Category No]],Table8[Category No],Table8[Chapter List],FALSE)</f>
        <v>0</v>
      </c>
      <c r="D188" s="51"/>
    </row>
    <row r="189" spans="1:4" x14ac:dyDescent="0.25">
      <c r="A189" s="50">
        <v>188</v>
      </c>
      <c r="B189" s="32"/>
      <c r="C189" s="32" t="b">
        <f>_xlfn.XLOOKUP(Table6[[#This Row],[Category No]],Table8[Category No],Table8[Chapter List],FALSE)</f>
        <v>0</v>
      </c>
      <c r="D189" s="51"/>
    </row>
    <row r="190" spans="1:4" x14ac:dyDescent="0.25">
      <c r="A190" s="50">
        <v>189</v>
      </c>
      <c r="B190" s="32"/>
      <c r="C190" s="32" t="b">
        <f>_xlfn.XLOOKUP(Table6[[#This Row],[Category No]],Table8[Category No],Table8[Chapter List],FALSE)</f>
        <v>0</v>
      </c>
      <c r="D190" s="51"/>
    </row>
    <row r="191" spans="1:4" x14ac:dyDescent="0.25">
      <c r="A191" s="50">
        <v>190</v>
      </c>
      <c r="B191" s="32"/>
      <c r="C191" s="32" t="b">
        <f>_xlfn.XLOOKUP(Table6[[#This Row],[Category No]],Table8[Category No],Table8[Chapter List],FALSE)</f>
        <v>0</v>
      </c>
      <c r="D191" s="51"/>
    </row>
    <row r="192" spans="1:4" x14ac:dyDescent="0.25">
      <c r="A192" s="50">
        <v>191</v>
      </c>
      <c r="B192" s="32"/>
      <c r="C192" s="32" t="b">
        <f>_xlfn.XLOOKUP(Table6[[#This Row],[Category No]],Table8[Category No],Table8[Chapter List],FALSE)</f>
        <v>0</v>
      </c>
      <c r="D192" s="51"/>
    </row>
    <row r="193" spans="1:4" x14ac:dyDescent="0.25">
      <c r="A193" s="50">
        <v>192</v>
      </c>
      <c r="B193" s="32"/>
      <c r="C193" s="32" t="b">
        <f>_xlfn.XLOOKUP(Table6[[#This Row],[Category No]],Table8[Category No],Table8[Chapter List],FALSE)</f>
        <v>0</v>
      </c>
      <c r="D193" s="51"/>
    </row>
    <row r="194" spans="1:4" x14ac:dyDescent="0.25">
      <c r="A194" s="50">
        <v>193</v>
      </c>
      <c r="B194" s="32"/>
      <c r="C194" s="32" t="b">
        <f>_xlfn.XLOOKUP(Table6[[#This Row],[Category No]],Table8[Category No],Table8[Chapter List],FALSE)</f>
        <v>0</v>
      </c>
      <c r="D194" s="51"/>
    </row>
    <row r="195" spans="1:4" x14ac:dyDescent="0.25">
      <c r="A195" s="50">
        <v>194</v>
      </c>
      <c r="B195" s="32"/>
      <c r="C195" s="32" t="b">
        <f>_xlfn.XLOOKUP(Table6[[#This Row],[Category No]],Table8[Category No],Table8[Chapter List],FALSE)</f>
        <v>0</v>
      </c>
      <c r="D195" s="51"/>
    </row>
    <row r="196" spans="1:4" x14ac:dyDescent="0.25">
      <c r="A196" s="50">
        <v>195</v>
      </c>
      <c r="B196" s="32"/>
      <c r="C196" s="32" t="b">
        <f>_xlfn.XLOOKUP(Table6[[#This Row],[Category No]],Table8[Category No],Table8[Chapter List],FALSE)</f>
        <v>0</v>
      </c>
      <c r="D196" s="51"/>
    </row>
    <row r="197" spans="1:4" x14ac:dyDescent="0.25">
      <c r="A197" s="50">
        <v>196</v>
      </c>
      <c r="B197" s="32"/>
      <c r="C197" s="32" t="b">
        <f>_xlfn.XLOOKUP(Table6[[#This Row],[Category No]],Table8[Category No],Table8[Chapter List],FALSE)</f>
        <v>0</v>
      </c>
      <c r="D197" s="51"/>
    </row>
    <row r="198" spans="1:4" x14ac:dyDescent="0.25">
      <c r="A198" s="50">
        <v>197</v>
      </c>
      <c r="B198" s="32"/>
      <c r="C198" s="32" t="b">
        <f>_xlfn.XLOOKUP(Table6[[#This Row],[Category No]],Table8[Category No],Table8[Chapter List],FALSE)</f>
        <v>0</v>
      </c>
      <c r="D198" s="51"/>
    </row>
    <row r="199" spans="1:4" x14ac:dyDescent="0.25">
      <c r="A199" s="50">
        <v>198</v>
      </c>
      <c r="B199" s="32"/>
      <c r="C199" s="32" t="b">
        <f>_xlfn.XLOOKUP(Table6[[#This Row],[Category No]],Table8[Category No],Table8[Chapter List],FALSE)</f>
        <v>0</v>
      </c>
      <c r="D199" s="51"/>
    </row>
    <row r="200" spans="1:4" x14ac:dyDescent="0.25">
      <c r="A200" s="50">
        <v>199</v>
      </c>
      <c r="B200" s="32"/>
      <c r="C200" s="32" t="b">
        <f>_xlfn.XLOOKUP(Table6[[#This Row],[Category No]],Table8[Category No],Table8[Chapter List],FALSE)</f>
        <v>0</v>
      </c>
      <c r="D200" s="51"/>
    </row>
    <row r="201" spans="1:4" x14ac:dyDescent="0.25">
      <c r="A201" s="50">
        <v>200</v>
      </c>
      <c r="B201" s="32"/>
      <c r="C201" s="32" t="b">
        <f>_xlfn.XLOOKUP(Table6[[#This Row],[Category No]],Table8[Category No],Table8[Chapter List],FALSE)</f>
        <v>0</v>
      </c>
      <c r="D201" s="51"/>
    </row>
    <row r="202" spans="1:4" x14ac:dyDescent="0.25">
      <c r="A202" s="50">
        <v>201</v>
      </c>
      <c r="B202" s="32"/>
      <c r="C202" s="32" t="b">
        <f>_xlfn.XLOOKUP(Table6[[#This Row],[Category No]],Table8[Category No],Table8[Chapter List],FALSE)</f>
        <v>0</v>
      </c>
      <c r="D202" s="51"/>
    </row>
    <row r="203" spans="1:4" x14ac:dyDescent="0.25">
      <c r="A203" s="50">
        <v>202</v>
      </c>
      <c r="B203" s="32"/>
      <c r="C203" s="32" t="b">
        <f>_xlfn.XLOOKUP(Table6[[#This Row],[Category No]],Table8[Category No],Table8[Chapter List],FALSE)</f>
        <v>0</v>
      </c>
      <c r="D203" s="51"/>
    </row>
    <row r="204" spans="1:4" x14ac:dyDescent="0.25">
      <c r="A204" s="50">
        <v>203</v>
      </c>
      <c r="B204" s="32"/>
      <c r="C204" s="32" t="b">
        <f>_xlfn.XLOOKUP(Table6[[#This Row],[Category No]],Table8[Category No],Table8[Chapter List],FALSE)</f>
        <v>0</v>
      </c>
      <c r="D204" s="51"/>
    </row>
    <row r="205" spans="1:4" x14ac:dyDescent="0.25">
      <c r="A205" s="50">
        <v>204</v>
      </c>
      <c r="B205" s="32"/>
      <c r="C205" s="32" t="b">
        <f>_xlfn.XLOOKUP(Table6[[#This Row],[Category No]],Table8[Category No],Table8[Chapter List],FALSE)</f>
        <v>0</v>
      </c>
      <c r="D205" s="51"/>
    </row>
    <row r="206" spans="1:4" x14ac:dyDescent="0.25">
      <c r="A206" s="50">
        <v>205</v>
      </c>
      <c r="B206" s="32"/>
      <c r="C206" s="32" t="b">
        <f>_xlfn.XLOOKUP(Table6[[#This Row],[Category No]],Table8[Category No],Table8[Chapter List],FALSE)</f>
        <v>0</v>
      </c>
      <c r="D206" s="51"/>
    </row>
    <row r="207" spans="1:4" x14ac:dyDescent="0.25">
      <c r="A207" s="50">
        <v>206</v>
      </c>
      <c r="B207" s="32"/>
      <c r="C207" s="32" t="b">
        <f>_xlfn.XLOOKUP(Table6[[#This Row],[Category No]],Table8[Category No],Table8[Chapter List],FALSE)</f>
        <v>0</v>
      </c>
      <c r="D207" s="51"/>
    </row>
    <row r="208" spans="1:4" x14ac:dyDescent="0.25">
      <c r="A208" s="50">
        <v>207</v>
      </c>
      <c r="B208" s="32"/>
      <c r="C208" s="32" t="b">
        <f>_xlfn.XLOOKUP(Table6[[#This Row],[Category No]],Table8[Category No],Table8[Chapter List],FALSE)</f>
        <v>0</v>
      </c>
      <c r="D208" s="51"/>
    </row>
    <row r="209" spans="1:4" x14ac:dyDescent="0.25">
      <c r="A209" s="50">
        <v>208</v>
      </c>
      <c r="B209" s="32"/>
      <c r="C209" s="32" t="b">
        <f>_xlfn.XLOOKUP(Table6[[#This Row],[Category No]],Table8[Category No],Table8[Chapter List],FALSE)</f>
        <v>0</v>
      </c>
      <c r="D209" s="51"/>
    </row>
    <row r="210" spans="1:4" x14ac:dyDescent="0.25">
      <c r="A210" s="50">
        <v>209</v>
      </c>
      <c r="B210" s="32"/>
      <c r="C210" s="32" t="b">
        <f>_xlfn.XLOOKUP(Table6[[#This Row],[Category No]],Table8[Category No],Table8[Chapter List],FALSE)</f>
        <v>0</v>
      </c>
      <c r="D210" s="51"/>
    </row>
    <row r="211" spans="1:4" x14ac:dyDescent="0.25">
      <c r="A211" s="50">
        <v>210</v>
      </c>
      <c r="B211" s="32"/>
      <c r="C211" s="32" t="b">
        <f>_xlfn.XLOOKUP(Table6[[#This Row],[Category No]],Table8[Category No],Table8[Chapter List],FALSE)</f>
        <v>0</v>
      </c>
      <c r="D211" s="51"/>
    </row>
    <row r="212" spans="1:4" x14ac:dyDescent="0.25">
      <c r="A212" s="50">
        <v>211</v>
      </c>
      <c r="B212" s="32"/>
      <c r="C212" s="32" t="b">
        <f>_xlfn.XLOOKUP(Table6[[#This Row],[Category No]],Table8[Category No],Table8[Chapter List],FALSE)</f>
        <v>0</v>
      </c>
      <c r="D212" s="51"/>
    </row>
    <row r="213" spans="1:4" x14ac:dyDescent="0.25">
      <c r="A213" s="50">
        <v>212</v>
      </c>
      <c r="B213" s="32"/>
      <c r="C213" s="32" t="b">
        <f>_xlfn.XLOOKUP(Table6[[#This Row],[Category No]],Table8[Category No],Table8[Chapter List],FALSE)</f>
        <v>0</v>
      </c>
      <c r="D213" s="51"/>
    </row>
    <row r="214" spans="1:4" x14ac:dyDescent="0.25">
      <c r="A214" s="50">
        <v>213</v>
      </c>
      <c r="B214" s="32"/>
      <c r="C214" s="32" t="b">
        <f>_xlfn.XLOOKUP(Table6[[#This Row],[Category No]],Table8[Category No],Table8[Chapter List],FALSE)</f>
        <v>0</v>
      </c>
      <c r="D214" s="51"/>
    </row>
    <row r="215" spans="1:4" x14ac:dyDescent="0.25">
      <c r="A215" s="50">
        <v>214</v>
      </c>
      <c r="B215" s="32"/>
      <c r="C215" s="32" t="b">
        <f>_xlfn.XLOOKUP(Table6[[#This Row],[Category No]],Table8[Category No],Table8[Chapter List],FALSE)</f>
        <v>0</v>
      </c>
      <c r="D215" s="51"/>
    </row>
    <row r="216" spans="1:4" x14ac:dyDescent="0.25">
      <c r="A216" s="50">
        <v>215</v>
      </c>
      <c r="B216" s="32"/>
      <c r="C216" s="32" t="b">
        <f>_xlfn.XLOOKUP(Table6[[#This Row],[Category No]],Table8[Category No],Table8[Chapter List],FALSE)</f>
        <v>0</v>
      </c>
      <c r="D216" s="51"/>
    </row>
    <row r="217" spans="1:4" x14ac:dyDescent="0.25">
      <c r="A217" s="50">
        <v>216</v>
      </c>
      <c r="B217" s="32"/>
      <c r="C217" s="32" t="b">
        <f>_xlfn.XLOOKUP(Table6[[#This Row],[Category No]],Table8[Category No],Table8[Chapter List],FALSE)</f>
        <v>0</v>
      </c>
      <c r="D217" s="51"/>
    </row>
    <row r="218" spans="1:4" x14ac:dyDescent="0.25">
      <c r="A218" s="50">
        <v>217</v>
      </c>
      <c r="B218" s="32"/>
      <c r="C218" s="32" t="b">
        <f>_xlfn.XLOOKUP(Table6[[#This Row],[Category No]],Table8[Category No],Table8[Chapter List],FALSE)</f>
        <v>0</v>
      </c>
      <c r="D218" s="51"/>
    </row>
    <row r="219" spans="1:4" x14ac:dyDescent="0.25">
      <c r="A219" s="50">
        <v>218</v>
      </c>
      <c r="B219" s="32"/>
      <c r="C219" s="32" t="b">
        <f>_xlfn.XLOOKUP(Table6[[#This Row],[Category No]],Table8[Category No],Table8[Chapter List],FALSE)</f>
        <v>0</v>
      </c>
      <c r="D219" s="51"/>
    </row>
    <row r="220" spans="1:4" x14ac:dyDescent="0.25">
      <c r="A220" s="50">
        <v>219</v>
      </c>
      <c r="B220" s="32"/>
      <c r="C220" s="32" t="b">
        <f>_xlfn.XLOOKUP(Table6[[#This Row],[Category No]],Table8[Category No],Table8[Chapter List],FALSE)</f>
        <v>0</v>
      </c>
      <c r="D220" s="51"/>
    </row>
    <row r="221" spans="1:4" x14ac:dyDescent="0.25">
      <c r="A221" s="50">
        <v>220</v>
      </c>
      <c r="B221" s="32"/>
      <c r="C221" s="32" t="b">
        <f>_xlfn.XLOOKUP(Table6[[#This Row],[Category No]],Table8[Category No],Table8[Chapter List],FALSE)</f>
        <v>0</v>
      </c>
      <c r="D221" s="51"/>
    </row>
    <row r="222" spans="1:4" x14ac:dyDescent="0.25">
      <c r="A222" s="50">
        <v>221</v>
      </c>
      <c r="B222" s="32"/>
      <c r="C222" s="32" t="b">
        <f>_xlfn.XLOOKUP(Table6[[#This Row],[Category No]],Table8[Category No],Table8[Chapter List],FALSE)</f>
        <v>0</v>
      </c>
      <c r="D222" s="51"/>
    </row>
    <row r="223" spans="1:4" x14ac:dyDescent="0.25">
      <c r="A223" s="50">
        <v>222</v>
      </c>
      <c r="B223" s="32"/>
      <c r="C223" s="32" t="b">
        <f>_xlfn.XLOOKUP(Table6[[#This Row],[Category No]],Table8[Category No],Table8[Chapter List],FALSE)</f>
        <v>0</v>
      </c>
      <c r="D223" s="51"/>
    </row>
    <row r="224" spans="1:4" x14ac:dyDescent="0.25">
      <c r="A224" s="50">
        <v>223</v>
      </c>
      <c r="B224" s="32"/>
      <c r="C224" s="32" t="b">
        <f>_xlfn.XLOOKUP(Table6[[#This Row],[Category No]],Table8[Category No],Table8[Chapter List],FALSE)</f>
        <v>0</v>
      </c>
      <c r="D224" s="51"/>
    </row>
    <row r="225" spans="1:4" x14ac:dyDescent="0.25">
      <c r="A225" s="50">
        <v>224</v>
      </c>
      <c r="B225" s="32"/>
      <c r="C225" s="32" t="b">
        <f>_xlfn.XLOOKUP(Table6[[#This Row],[Category No]],Table8[Category No],Table8[Chapter List],FALSE)</f>
        <v>0</v>
      </c>
      <c r="D225" s="51"/>
    </row>
    <row r="226" spans="1:4" x14ac:dyDescent="0.25">
      <c r="A226" s="50">
        <v>225</v>
      </c>
      <c r="B226" s="32"/>
      <c r="C226" s="32" t="b">
        <f>_xlfn.XLOOKUP(Table6[[#This Row],[Category No]],Table8[Category No],Table8[Chapter List],FALSE)</f>
        <v>0</v>
      </c>
      <c r="D226" s="51"/>
    </row>
    <row r="227" spans="1:4" x14ac:dyDescent="0.25">
      <c r="A227" s="50">
        <v>226</v>
      </c>
      <c r="B227" s="32"/>
      <c r="C227" s="32" t="b">
        <f>_xlfn.XLOOKUP(Table6[[#This Row],[Category No]],Table8[Category No],Table8[Chapter List],FALSE)</f>
        <v>0</v>
      </c>
      <c r="D227" s="51"/>
    </row>
    <row r="228" spans="1:4" x14ac:dyDescent="0.25">
      <c r="A228" s="50">
        <v>227</v>
      </c>
      <c r="B228" s="32"/>
      <c r="C228" s="32" t="b">
        <f>_xlfn.XLOOKUP(Table6[[#This Row],[Category No]],Table8[Category No],Table8[Chapter List],FALSE)</f>
        <v>0</v>
      </c>
      <c r="D228" s="51"/>
    </row>
    <row r="229" spans="1:4" x14ac:dyDescent="0.25">
      <c r="A229" s="50">
        <v>228</v>
      </c>
      <c r="B229" s="32"/>
      <c r="C229" s="32" t="b">
        <f>_xlfn.XLOOKUP(Table6[[#This Row],[Category No]],Table8[Category No],Table8[Chapter List],FALSE)</f>
        <v>0</v>
      </c>
      <c r="D229" s="51"/>
    </row>
    <row r="230" spans="1:4" x14ac:dyDescent="0.25">
      <c r="A230" s="50">
        <v>229</v>
      </c>
      <c r="B230" s="32"/>
      <c r="C230" s="32" t="b">
        <f>_xlfn.XLOOKUP(Table6[[#This Row],[Category No]],Table8[Category No],Table8[Chapter List],FALSE)</f>
        <v>0</v>
      </c>
      <c r="D230" s="51"/>
    </row>
    <row r="231" spans="1:4" x14ac:dyDescent="0.25">
      <c r="A231" s="50">
        <v>230</v>
      </c>
      <c r="B231" s="32"/>
      <c r="C231" s="32" t="b">
        <f>_xlfn.XLOOKUP(Table6[[#This Row],[Category No]],Table8[Category No],Table8[Chapter List],FALSE)</f>
        <v>0</v>
      </c>
      <c r="D231" s="51"/>
    </row>
    <row r="232" spans="1:4" x14ac:dyDescent="0.25">
      <c r="A232" s="50">
        <v>231</v>
      </c>
      <c r="B232" s="32"/>
      <c r="C232" s="32" t="b">
        <f>_xlfn.XLOOKUP(Table6[[#This Row],[Category No]],Table8[Category No],Table8[Chapter List],FALSE)</f>
        <v>0</v>
      </c>
      <c r="D232" s="51"/>
    </row>
    <row r="233" spans="1:4" x14ac:dyDescent="0.25">
      <c r="A233" s="50">
        <v>232</v>
      </c>
      <c r="B233" s="32"/>
      <c r="C233" s="32" t="b">
        <f>_xlfn.XLOOKUP(Table6[[#This Row],[Category No]],Table8[Category No],Table8[Chapter List],FALSE)</f>
        <v>0</v>
      </c>
      <c r="D233" s="51"/>
    </row>
    <row r="234" spans="1:4" x14ac:dyDescent="0.25">
      <c r="A234" s="50">
        <v>233</v>
      </c>
      <c r="B234" s="32"/>
      <c r="C234" s="32" t="b">
        <f>_xlfn.XLOOKUP(Table6[[#This Row],[Category No]],Table8[Category No],Table8[Chapter List],FALSE)</f>
        <v>0</v>
      </c>
      <c r="D234" s="51"/>
    </row>
    <row r="235" spans="1:4" x14ac:dyDescent="0.25">
      <c r="A235" s="50">
        <v>234</v>
      </c>
      <c r="B235" s="32"/>
      <c r="C235" s="32" t="b">
        <f>_xlfn.XLOOKUP(Table6[[#This Row],[Category No]],Table8[Category No],Table8[Chapter List],FALSE)</f>
        <v>0</v>
      </c>
      <c r="D235" s="51"/>
    </row>
    <row r="236" spans="1:4" x14ac:dyDescent="0.25">
      <c r="A236" s="50">
        <v>235</v>
      </c>
      <c r="B236" s="32"/>
      <c r="C236" s="32" t="b">
        <f>_xlfn.XLOOKUP(Table6[[#This Row],[Category No]],Table8[Category No],Table8[Chapter List],FALSE)</f>
        <v>0</v>
      </c>
      <c r="D236" s="51"/>
    </row>
    <row r="237" spans="1:4" x14ac:dyDescent="0.25">
      <c r="A237" s="50">
        <v>236</v>
      </c>
      <c r="B237" s="32"/>
      <c r="C237" s="32" t="b">
        <f>_xlfn.XLOOKUP(Table6[[#This Row],[Category No]],Table8[Category No],Table8[Chapter List],FALSE)</f>
        <v>0</v>
      </c>
      <c r="D237" s="51"/>
    </row>
    <row r="238" spans="1:4" x14ac:dyDescent="0.25">
      <c r="A238" s="50">
        <v>237</v>
      </c>
      <c r="B238" s="32"/>
      <c r="C238" s="32" t="b">
        <f>_xlfn.XLOOKUP(Table6[[#This Row],[Category No]],Table8[Category No],Table8[Chapter List],FALSE)</f>
        <v>0</v>
      </c>
      <c r="D238" s="51"/>
    </row>
    <row r="239" spans="1:4" x14ac:dyDescent="0.25">
      <c r="A239" s="50">
        <v>238</v>
      </c>
      <c r="B239" s="32"/>
      <c r="C239" s="32" t="b">
        <f>_xlfn.XLOOKUP(Table6[[#This Row],[Category No]],Table8[Category No],Table8[Chapter List],FALSE)</f>
        <v>0</v>
      </c>
      <c r="D239" s="51"/>
    </row>
    <row r="240" spans="1:4" x14ac:dyDescent="0.25">
      <c r="A240" s="50">
        <v>239</v>
      </c>
      <c r="B240" s="32"/>
      <c r="C240" s="32" t="b">
        <f>_xlfn.XLOOKUP(Table6[[#This Row],[Category No]],Table8[Category No],Table8[Chapter List],FALSE)</f>
        <v>0</v>
      </c>
      <c r="D240" s="51"/>
    </row>
    <row r="241" spans="1:4" x14ac:dyDescent="0.25">
      <c r="A241" s="50">
        <v>240</v>
      </c>
      <c r="B241" s="32"/>
      <c r="C241" s="32" t="b">
        <f>_xlfn.XLOOKUP(Table6[[#This Row],[Category No]],Table8[Category No],Table8[Chapter List],FALSE)</f>
        <v>0</v>
      </c>
      <c r="D241" s="51"/>
    </row>
    <row r="242" spans="1:4" x14ac:dyDescent="0.25">
      <c r="A242" s="50">
        <v>241</v>
      </c>
      <c r="B242" s="32"/>
      <c r="C242" s="32" t="b">
        <f>_xlfn.XLOOKUP(Table6[[#This Row],[Category No]],Table8[Category No],Table8[Chapter List],FALSE)</f>
        <v>0</v>
      </c>
      <c r="D242" s="51"/>
    </row>
    <row r="243" spans="1:4" x14ac:dyDescent="0.25">
      <c r="A243" s="50">
        <v>242</v>
      </c>
      <c r="B243" s="32"/>
      <c r="C243" s="32" t="b">
        <f>_xlfn.XLOOKUP(Table6[[#This Row],[Category No]],Table8[Category No],Table8[Chapter List],FALSE)</f>
        <v>0</v>
      </c>
      <c r="D243" s="51"/>
    </row>
    <row r="244" spans="1:4" x14ac:dyDescent="0.25">
      <c r="A244" s="50">
        <v>243</v>
      </c>
      <c r="B244" s="32"/>
      <c r="C244" s="32" t="b">
        <f>_xlfn.XLOOKUP(Table6[[#This Row],[Category No]],Table8[Category No],Table8[Chapter List],FALSE)</f>
        <v>0</v>
      </c>
      <c r="D244" s="51"/>
    </row>
    <row r="245" spans="1:4" x14ac:dyDescent="0.25">
      <c r="A245" s="50">
        <v>244</v>
      </c>
      <c r="B245" s="32"/>
      <c r="C245" s="32" t="b">
        <f>_xlfn.XLOOKUP(Table6[[#This Row],[Category No]],Table8[Category No],Table8[Chapter List],FALSE)</f>
        <v>0</v>
      </c>
      <c r="D245" s="51"/>
    </row>
    <row r="246" spans="1:4" x14ac:dyDescent="0.25">
      <c r="A246" s="50">
        <v>245</v>
      </c>
      <c r="B246" s="32"/>
      <c r="C246" s="32" t="b">
        <f>_xlfn.XLOOKUP(Table6[[#This Row],[Category No]],Table8[Category No],Table8[Chapter List],FALSE)</f>
        <v>0</v>
      </c>
      <c r="D246" s="51"/>
    </row>
    <row r="247" spans="1:4" x14ac:dyDescent="0.25">
      <c r="A247" s="50">
        <v>246</v>
      </c>
      <c r="B247" s="32"/>
      <c r="C247" s="32" t="b">
        <f>_xlfn.XLOOKUP(Table6[[#This Row],[Category No]],Table8[Category No],Table8[Chapter List],FALSE)</f>
        <v>0</v>
      </c>
      <c r="D247" s="51"/>
    </row>
    <row r="248" spans="1:4" x14ac:dyDescent="0.25">
      <c r="A248" s="50">
        <v>247</v>
      </c>
      <c r="B248" s="32"/>
      <c r="C248" s="32" t="b">
        <f>_xlfn.XLOOKUP(Table6[[#This Row],[Category No]],Table8[Category No],Table8[Chapter List],FALSE)</f>
        <v>0</v>
      </c>
      <c r="D248" s="51"/>
    </row>
    <row r="249" spans="1:4" x14ac:dyDescent="0.25">
      <c r="A249" s="50">
        <v>248</v>
      </c>
      <c r="B249" s="32"/>
      <c r="C249" s="32" t="b">
        <f>_xlfn.XLOOKUP(Table6[[#This Row],[Category No]],Table8[Category No],Table8[Chapter List],FALSE)</f>
        <v>0</v>
      </c>
      <c r="D249" s="51"/>
    </row>
    <row r="250" spans="1:4" x14ac:dyDescent="0.25">
      <c r="A250" s="50">
        <v>249</v>
      </c>
      <c r="B250" s="32"/>
      <c r="C250" s="32" t="b">
        <f>_xlfn.XLOOKUP(Table6[[#This Row],[Category No]],Table8[Category No],Table8[Chapter List],FALSE)</f>
        <v>0</v>
      </c>
      <c r="D250" s="51"/>
    </row>
    <row r="251" spans="1:4" x14ac:dyDescent="0.25">
      <c r="A251" s="50">
        <v>250</v>
      </c>
      <c r="B251" s="32"/>
      <c r="C251" s="32" t="b">
        <f>_xlfn.XLOOKUP(Table6[[#This Row],[Category No]],Table8[Category No],Table8[Chapter List],FALSE)</f>
        <v>0</v>
      </c>
      <c r="D251" s="51"/>
    </row>
    <row r="252" spans="1:4" x14ac:dyDescent="0.25">
      <c r="A252" s="50">
        <v>251</v>
      </c>
      <c r="B252" s="32"/>
      <c r="C252" s="32" t="b">
        <f>_xlfn.XLOOKUP(Table6[[#This Row],[Category No]],Table8[Category No],Table8[Chapter List],FALSE)</f>
        <v>0</v>
      </c>
      <c r="D252" s="51"/>
    </row>
    <row r="253" spans="1:4" x14ac:dyDescent="0.25">
      <c r="A253" s="50">
        <v>252</v>
      </c>
      <c r="B253" s="32"/>
      <c r="C253" s="32" t="b">
        <f>_xlfn.XLOOKUP(Table6[[#This Row],[Category No]],Table8[Category No],Table8[Chapter List],FALSE)</f>
        <v>0</v>
      </c>
      <c r="D253" s="51"/>
    </row>
    <row r="254" spans="1:4" x14ac:dyDescent="0.25">
      <c r="A254" s="50">
        <v>253</v>
      </c>
      <c r="B254" s="32"/>
      <c r="C254" s="32" t="b">
        <f>_xlfn.XLOOKUP(Table6[[#This Row],[Category No]],Table8[Category No],Table8[Chapter List],FALSE)</f>
        <v>0</v>
      </c>
      <c r="D254" s="51"/>
    </row>
    <row r="255" spans="1:4" x14ac:dyDescent="0.25">
      <c r="A255" s="50">
        <v>254</v>
      </c>
      <c r="B255" s="32"/>
      <c r="C255" s="32" t="b">
        <f>_xlfn.XLOOKUP(Table6[[#This Row],[Category No]],Table8[Category No],Table8[Chapter List],FALSE)</f>
        <v>0</v>
      </c>
      <c r="D255" s="51"/>
    </row>
    <row r="256" spans="1:4" x14ac:dyDescent="0.25">
      <c r="A256" s="50">
        <v>255</v>
      </c>
      <c r="B256" s="32"/>
      <c r="C256" s="32" t="b">
        <f>_xlfn.XLOOKUP(Table6[[#This Row],[Category No]],Table8[Category No],Table8[Chapter List],FALSE)</f>
        <v>0</v>
      </c>
      <c r="D256" s="51"/>
    </row>
    <row r="257" spans="1:4" x14ac:dyDescent="0.25">
      <c r="A257" s="50">
        <v>256</v>
      </c>
      <c r="B257" s="32"/>
      <c r="C257" s="32" t="b">
        <f>_xlfn.XLOOKUP(Table6[[#This Row],[Category No]],Table8[Category No],Table8[Chapter List],FALSE)</f>
        <v>0</v>
      </c>
      <c r="D257" s="51"/>
    </row>
    <row r="258" spans="1:4" x14ac:dyDescent="0.25">
      <c r="A258" s="50">
        <v>257</v>
      </c>
      <c r="B258" s="32"/>
      <c r="C258" s="32" t="b">
        <f>_xlfn.XLOOKUP(Table6[[#This Row],[Category No]],Table8[Category No],Table8[Chapter List],FALSE)</f>
        <v>0</v>
      </c>
      <c r="D258" s="51"/>
    </row>
    <row r="259" spans="1:4" x14ac:dyDescent="0.25">
      <c r="A259" s="50">
        <v>258</v>
      </c>
      <c r="B259" s="32"/>
      <c r="C259" s="32" t="b">
        <f>_xlfn.XLOOKUP(Table6[[#This Row],[Category No]],Table8[Category No],Table8[Chapter List],FALSE)</f>
        <v>0</v>
      </c>
      <c r="D259" s="51"/>
    </row>
    <row r="260" spans="1:4" x14ac:dyDescent="0.25">
      <c r="A260" s="50">
        <v>259</v>
      </c>
      <c r="B260" s="32"/>
      <c r="C260" s="32" t="b">
        <f>_xlfn.XLOOKUP(Table6[[#This Row],[Category No]],Table8[Category No],Table8[Chapter List],FALSE)</f>
        <v>0</v>
      </c>
      <c r="D260" s="51"/>
    </row>
    <row r="261" spans="1:4" x14ac:dyDescent="0.25">
      <c r="A261" s="50">
        <v>260</v>
      </c>
      <c r="B261" s="32"/>
      <c r="C261" s="32" t="b">
        <f>_xlfn.XLOOKUP(Table6[[#This Row],[Category No]],Table8[Category No],Table8[Chapter List],FALSE)</f>
        <v>0</v>
      </c>
      <c r="D261" s="51"/>
    </row>
    <row r="262" spans="1:4" x14ac:dyDescent="0.25">
      <c r="A262" s="50">
        <v>261</v>
      </c>
      <c r="B262" s="32"/>
      <c r="C262" s="32" t="b">
        <f>_xlfn.XLOOKUP(Table6[[#This Row],[Category No]],Table8[Category No],Table8[Chapter List],FALSE)</f>
        <v>0</v>
      </c>
      <c r="D262" s="51"/>
    </row>
    <row r="263" spans="1:4" x14ac:dyDescent="0.25">
      <c r="A263" s="50">
        <v>262</v>
      </c>
      <c r="B263" s="32"/>
      <c r="C263" s="32" t="b">
        <f>_xlfn.XLOOKUP(Table6[[#This Row],[Category No]],Table8[Category No],Table8[Chapter List],FALSE)</f>
        <v>0</v>
      </c>
      <c r="D263" s="51"/>
    </row>
    <row r="264" spans="1:4" x14ac:dyDescent="0.25">
      <c r="A264" s="50">
        <v>263</v>
      </c>
      <c r="B264" s="32"/>
      <c r="C264" s="32" t="b">
        <f>_xlfn.XLOOKUP(Table6[[#This Row],[Category No]],Table8[Category No],Table8[Chapter List],FALSE)</f>
        <v>0</v>
      </c>
      <c r="D264" s="51"/>
    </row>
    <row r="265" spans="1:4" x14ac:dyDescent="0.25">
      <c r="A265" s="50">
        <v>264</v>
      </c>
      <c r="B265" s="32"/>
      <c r="C265" s="32" t="b">
        <f>_xlfn.XLOOKUP(Table6[[#This Row],[Category No]],Table8[Category No],Table8[Chapter List],FALSE)</f>
        <v>0</v>
      </c>
      <c r="D265" s="51"/>
    </row>
    <row r="266" spans="1:4" x14ac:dyDescent="0.25">
      <c r="A266" s="50">
        <v>265</v>
      </c>
      <c r="B266" s="32"/>
      <c r="C266" s="32" t="b">
        <f>_xlfn.XLOOKUP(Table6[[#This Row],[Category No]],Table8[Category No],Table8[Chapter List],FALSE)</f>
        <v>0</v>
      </c>
      <c r="D266" s="51"/>
    </row>
    <row r="267" spans="1:4" x14ac:dyDescent="0.25">
      <c r="A267" s="50">
        <v>266</v>
      </c>
      <c r="B267" s="32"/>
      <c r="C267" s="32" t="b">
        <f>_xlfn.XLOOKUP(Table6[[#This Row],[Category No]],Table8[Category No],Table8[Chapter List],FALSE)</f>
        <v>0</v>
      </c>
      <c r="D267" s="51"/>
    </row>
    <row r="268" spans="1:4" x14ac:dyDescent="0.25">
      <c r="A268" s="50">
        <v>267</v>
      </c>
      <c r="B268" s="32"/>
      <c r="C268" s="32" t="b">
        <f>_xlfn.XLOOKUP(Table6[[#This Row],[Category No]],Table8[Category No],Table8[Chapter List],FALSE)</f>
        <v>0</v>
      </c>
      <c r="D268" s="51"/>
    </row>
    <row r="269" spans="1:4" x14ac:dyDescent="0.25">
      <c r="A269" s="50">
        <v>268</v>
      </c>
      <c r="B269" s="32"/>
      <c r="C269" s="32" t="b">
        <f>_xlfn.XLOOKUP(Table6[[#This Row],[Category No]],Table8[Category No],Table8[Chapter List],FALSE)</f>
        <v>0</v>
      </c>
      <c r="D269" s="51"/>
    </row>
    <row r="270" spans="1:4" x14ac:dyDescent="0.25">
      <c r="A270" s="50">
        <v>269</v>
      </c>
      <c r="B270" s="32"/>
      <c r="C270" s="32" t="b">
        <f>_xlfn.XLOOKUP(Table6[[#This Row],[Category No]],Table8[Category No],Table8[Chapter List],FALSE)</f>
        <v>0</v>
      </c>
      <c r="D270" s="51"/>
    </row>
    <row r="271" spans="1:4" x14ac:dyDescent="0.25">
      <c r="A271" s="50">
        <v>270</v>
      </c>
      <c r="B271" s="32"/>
      <c r="C271" s="32" t="b">
        <f>_xlfn.XLOOKUP(Table6[[#This Row],[Category No]],Table8[Category No],Table8[Chapter List],FALSE)</f>
        <v>0</v>
      </c>
      <c r="D271" s="51"/>
    </row>
    <row r="272" spans="1:4" x14ac:dyDescent="0.25">
      <c r="A272" s="50">
        <v>271</v>
      </c>
      <c r="B272" s="32"/>
      <c r="C272" s="32" t="b">
        <f>_xlfn.XLOOKUP(Table6[[#This Row],[Category No]],Table8[Category No],Table8[Chapter List],FALSE)</f>
        <v>0</v>
      </c>
      <c r="D272" s="51"/>
    </row>
    <row r="273" spans="1:4" x14ac:dyDescent="0.25">
      <c r="A273" s="50">
        <v>272</v>
      </c>
      <c r="B273" s="32"/>
      <c r="C273" s="32" t="b">
        <f>_xlfn.XLOOKUP(Table6[[#This Row],[Category No]],Table8[Category No],Table8[Chapter List],FALSE)</f>
        <v>0</v>
      </c>
      <c r="D273" s="51"/>
    </row>
    <row r="274" spans="1:4" x14ac:dyDescent="0.25">
      <c r="A274" s="50">
        <v>273</v>
      </c>
      <c r="B274" s="32"/>
      <c r="C274" s="32" t="b">
        <f>_xlfn.XLOOKUP(Table6[[#This Row],[Category No]],Table8[Category No],Table8[Chapter List],FALSE)</f>
        <v>0</v>
      </c>
      <c r="D274" s="51"/>
    </row>
    <row r="275" spans="1:4" x14ac:dyDescent="0.25">
      <c r="A275" s="50">
        <v>274</v>
      </c>
      <c r="B275" s="32"/>
      <c r="C275" s="32" t="b">
        <f>_xlfn.XLOOKUP(Table6[[#This Row],[Category No]],Table8[Category No],Table8[Chapter List],FALSE)</f>
        <v>0</v>
      </c>
      <c r="D275" s="51"/>
    </row>
    <row r="276" spans="1:4" x14ac:dyDescent="0.25">
      <c r="A276" s="50">
        <v>275</v>
      </c>
      <c r="B276" s="32"/>
      <c r="C276" s="32" t="b">
        <f>_xlfn.XLOOKUP(Table6[[#This Row],[Category No]],Table8[Category No],Table8[Chapter List],FALSE)</f>
        <v>0</v>
      </c>
      <c r="D276" s="51"/>
    </row>
    <row r="277" spans="1:4" x14ac:dyDescent="0.25">
      <c r="A277" s="50">
        <v>276</v>
      </c>
      <c r="B277" s="32"/>
      <c r="C277" s="32" t="b">
        <f>_xlfn.XLOOKUP(Table6[[#This Row],[Category No]],Table8[Category No],Table8[Chapter List],FALSE)</f>
        <v>0</v>
      </c>
      <c r="D277" s="51"/>
    </row>
    <row r="278" spans="1:4" x14ac:dyDescent="0.25">
      <c r="A278" s="50">
        <v>277</v>
      </c>
      <c r="B278" s="32"/>
      <c r="C278" s="32" t="b">
        <f>_xlfn.XLOOKUP(Table6[[#This Row],[Category No]],Table8[Category No],Table8[Chapter List],FALSE)</f>
        <v>0</v>
      </c>
      <c r="D278" s="51"/>
    </row>
    <row r="279" spans="1:4" x14ac:dyDescent="0.25">
      <c r="A279" s="50">
        <v>278</v>
      </c>
      <c r="B279" s="32"/>
      <c r="C279" s="32" t="b">
        <f>_xlfn.XLOOKUP(Table6[[#This Row],[Category No]],Table8[Category No],Table8[Chapter List],FALSE)</f>
        <v>0</v>
      </c>
      <c r="D279" s="51"/>
    </row>
    <row r="280" spans="1:4" x14ac:dyDescent="0.25">
      <c r="A280" s="50">
        <v>279</v>
      </c>
      <c r="B280" s="32"/>
      <c r="C280" s="32" t="b">
        <f>_xlfn.XLOOKUP(Table6[[#This Row],[Category No]],Table8[Category No],Table8[Chapter List],FALSE)</f>
        <v>0</v>
      </c>
      <c r="D280" s="51"/>
    </row>
    <row r="281" spans="1:4" x14ac:dyDescent="0.25">
      <c r="A281" s="50">
        <v>280</v>
      </c>
      <c r="B281" s="32"/>
      <c r="C281" s="32" t="b">
        <f>_xlfn.XLOOKUP(Table6[[#This Row],[Category No]],Table8[Category No],Table8[Chapter List],FALSE)</f>
        <v>0</v>
      </c>
      <c r="D281" s="51"/>
    </row>
    <row r="282" spans="1:4" x14ac:dyDescent="0.25">
      <c r="A282" s="50">
        <v>281</v>
      </c>
      <c r="B282" s="32"/>
      <c r="C282" s="32" t="b">
        <f>_xlfn.XLOOKUP(Table6[[#This Row],[Category No]],Table8[Category No],Table8[Chapter List],FALSE)</f>
        <v>0</v>
      </c>
      <c r="D282" s="51"/>
    </row>
    <row r="283" spans="1:4" x14ac:dyDescent="0.25">
      <c r="A283" s="50">
        <v>282</v>
      </c>
      <c r="B283" s="32"/>
      <c r="C283" s="32" t="b">
        <f>_xlfn.XLOOKUP(Table6[[#This Row],[Category No]],Table8[Category No],Table8[Chapter List],FALSE)</f>
        <v>0</v>
      </c>
      <c r="D283" s="51"/>
    </row>
    <row r="284" spans="1:4" x14ac:dyDescent="0.25">
      <c r="A284" s="50">
        <v>283</v>
      </c>
      <c r="B284" s="32"/>
      <c r="C284" s="32" t="b">
        <f>_xlfn.XLOOKUP(Table6[[#This Row],[Category No]],Table8[Category No],Table8[Chapter List],FALSE)</f>
        <v>0</v>
      </c>
      <c r="D284" s="51"/>
    </row>
    <row r="285" spans="1:4" x14ac:dyDescent="0.25">
      <c r="A285" s="50">
        <v>284</v>
      </c>
      <c r="B285" s="32"/>
      <c r="C285" s="32" t="b">
        <f>_xlfn.XLOOKUP(Table6[[#This Row],[Category No]],Table8[Category No],Table8[Chapter List],FALSE)</f>
        <v>0</v>
      </c>
      <c r="D285" s="51"/>
    </row>
    <row r="286" spans="1:4" x14ac:dyDescent="0.25">
      <c r="A286" s="50">
        <v>285</v>
      </c>
      <c r="B286" s="32"/>
      <c r="C286" s="32" t="b">
        <f>_xlfn.XLOOKUP(Table6[[#This Row],[Category No]],Table8[Category No],Table8[Chapter List],FALSE)</f>
        <v>0</v>
      </c>
      <c r="D286" s="51"/>
    </row>
    <row r="287" spans="1:4" x14ac:dyDescent="0.25">
      <c r="A287" s="50">
        <v>286</v>
      </c>
      <c r="B287" s="32"/>
      <c r="C287" s="32" t="b">
        <f>_xlfn.XLOOKUP(Table6[[#This Row],[Category No]],Table8[Category No],Table8[Chapter List],FALSE)</f>
        <v>0</v>
      </c>
      <c r="D287" s="51"/>
    </row>
    <row r="288" spans="1:4" x14ac:dyDescent="0.25">
      <c r="A288" s="50">
        <v>287</v>
      </c>
      <c r="B288" s="32"/>
      <c r="C288" s="32" t="b">
        <f>_xlfn.XLOOKUP(Table6[[#This Row],[Category No]],Table8[Category No],Table8[Chapter List],FALSE)</f>
        <v>0</v>
      </c>
      <c r="D288" s="51"/>
    </row>
    <row r="289" spans="1:4" x14ac:dyDescent="0.25">
      <c r="A289" s="50">
        <v>288</v>
      </c>
      <c r="B289" s="32"/>
      <c r="C289" s="32" t="b">
        <f>_xlfn.XLOOKUP(Table6[[#This Row],[Category No]],Table8[Category No],Table8[Chapter List],FALSE)</f>
        <v>0</v>
      </c>
      <c r="D289" s="51"/>
    </row>
    <row r="290" spans="1:4" x14ac:dyDescent="0.25">
      <c r="A290" s="50">
        <v>289</v>
      </c>
      <c r="B290" s="32"/>
      <c r="C290" s="32" t="b">
        <f>_xlfn.XLOOKUP(Table6[[#This Row],[Category No]],Table8[Category No],Table8[Chapter List],FALSE)</f>
        <v>0</v>
      </c>
      <c r="D290" s="51"/>
    </row>
    <row r="291" spans="1:4" x14ac:dyDescent="0.25">
      <c r="A291" s="50">
        <v>290</v>
      </c>
      <c r="B291" s="32"/>
      <c r="C291" s="32" t="b">
        <f>_xlfn.XLOOKUP(Table6[[#This Row],[Category No]],Table8[Category No],Table8[Chapter List],FALSE)</f>
        <v>0</v>
      </c>
      <c r="D291" s="51"/>
    </row>
    <row r="292" spans="1:4" x14ac:dyDescent="0.25">
      <c r="A292" s="50">
        <v>291</v>
      </c>
      <c r="B292" s="32"/>
      <c r="C292" s="32" t="b">
        <f>_xlfn.XLOOKUP(Table6[[#This Row],[Category No]],Table8[Category No],Table8[Chapter List],FALSE)</f>
        <v>0</v>
      </c>
      <c r="D292" s="51"/>
    </row>
    <row r="293" spans="1:4" x14ac:dyDescent="0.25">
      <c r="A293" s="50">
        <v>292</v>
      </c>
      <c r="B293" s="32"/>
      <c r="C293" s="32" t="b">
        <f>_xlfn.XLOOKUP(Table6[[#This Row],[Category No]],Table8[Category No],Table8[Chapter List],FALSE)</f>
        <v>0</v>
      </c>
      <c r="D293" s="51"/>
    </row>
    <row r="294" spans="1:4" x14ac:dyDescent="0.25">
      <c r="A294" s="50">
        <v>293</v>
      </c>
      <c r="B294" s="32"/>
      <c r="C294" s="32" t="b">
        <f>_xlfn.XLOOKUP(Table6[[#This Row],[Category No]],Table8[Category No],Table8[Chapter List],FALSE)</f>
        <v>0</v>
      </c>
      <c r="D294" s="51"/>
    </row>
    <row r="295" spans="1:4" x14ac:dyDescent="0.25">
      <c r="A295" s="50">
        <v>294</v>
      </c>
      <c r="B295" s="32"/>
      <c r="C295" s="32" t="b">
        <f>_xlfn.XLOOKUP(Table6[[#This Row],[Category No]],Table8[Category No],Table8[Chapter List],FALSE)</f>
        <v>0</v>
      </c>
      <c r="D295" s="51"/>
    </row>
    <row r="296" spans="1:4" x14ac:dyDescent="0.25">
      <c r="A296" s="50">
        <v>295</v>
      </c>
      <c r="B296" s="32"/>
      <c r="C296" s="32" t="b">
        <f>_xlfn.XLOOKUP(Table6[[#This Row],[Category No]],Table8[Category No],Table8[Chapter List],FALSE)</f>
        <v>0</v>
      </c>
      <c r="D296" s="51"/>
    </row>
    <row r="297" spans="1:4" x14ac:dyDescent="0.25">
      <c r="A297" s="50">
        <v>296</v>
      </c>
      <c r="B297" s="32"/>
      <c r="C297" s="32" t="b">
        <f>_xlfn.XLOOKUP(Table6[[#This Row],[Category No]],Table8[Category No],Table8[Chapter List],FALSE)</f>
        <v>0</v>
      </c>
      <c r="D297" s="51"/>
    </row>
    <row r="298" spans="1:4" x14ac:dyDescent="0.25">
      <c r="A298" s="50">
        <v>297</v>
      </c>
      <c r="B298" s="32"/>
      <c r="C298" s="32" t="b">
        <f>_xlfn.XLOOKUP(Table6[[#This Row],[Category No]],Table8[Category No],Table8[Chapter List],FALSE)</f>
        <v>0</v>
      </c>
      <c r="D298" s="51"/>
    </row>
    <row r="299" spans="1:4" x14ac:dyDescent="0.25">
      <c r="A299" s="50">
        <v>298</v>
      </c>
      <c r="B299" s="32"/>
      <c r="C299" s="32" t="b">
        <f>_xlfn.XLOOKUP(Table6[[#This Row],[Category No]],Table8[Category No],Table8[Chapter List],FALSE)</f>
        <v>0</v>
      </c>
      <c r="D299" s="51"/>
    </row>
    <row r="300" spans="1:4" x14ac:dyDescent="0.25">
      <c r="A300" s="50">
        <v>299</v>
      </c>
      <c r="B300" s="32"/>
      <c r="C300" s="32" t="b">
        <f>_xlfn.XLOOKUP(Table6[[#This Row],[Category No]],Table8[Category No],Table8[Chapter List],FALSE)</f>
        <v>0</v>
      </c>
      <c r="D300" s="51"/>
    </row>
    <row r="301" spans="1:4" x14ac:dyDescent="0.25">
      <c r="A301" s="50">
        <v>300</v>
      </c>
      <c r="B301" s="32"/>
      <c r="C301" s="32" t="b">
        <f>_xlfn.XLOOKUP(Table6[[#This Row],[Category No]],Table8[Category No],Table8[Chapter List],FALSE)</f>
        <v>0</v>
      </c>
      <c r="D301" s="51"/>
    </row>
    <row r="302" spans="1:4" x14ac:dyDescent="0.25">
      <c r="A302" s="50">
        <v>301</v>
      </c>
      <c r="B302" s="32"/>
      <c r="C302" s="32" t="b">
        <f>_xlfn.XLOOKUP(Table6[[#This Row],[Category No]],Table8[Category No],Table8[Chapter List],FALSE)</f>
        <v>0</v>
      </c>
      <c r="D302" s="51"/>
    </row>
    <row r="303" spans="1:4" x14ac:dyDescent="0.25">
      <c r="A303" s="50">
        <v>302</v>
      </c>
      <c r="B303" s="32"/>
      <c r="C303" s="32" t="b">
        <f>_xlfn.XLOOKUP(Table6[[#This Row],[Category No]],Table8[Category No],Table8[Chapter List],FALSE)</f>
        <v>0</v>
      </c>
      <c r="D303" s="51"/>
    </row>
    <row r="304" spans="1:4" x14ac:dyDescent="0.25">
      <c r="A304" s="50">
        <v>303</v>
      </c>
      <c r="B304" s="32"/>
      <c r="C304" s="32" t="b">
        <f>_xlfn.XLOOKUP(Table6[[#This Row],[Category No]],Table8[Category No],Table8[Chapter List],FALSE)</f>
        <v>0</v>
      </c>
      <c r="D304" s="51"/>
    </row>
    <row r="305" spans="1:4" x14ac:dyDescent="0.25">
      <c r="A305" s="50">
        <v>304</v>
      </c>
      <c r="B305" s="32"/>
      <c r="C305" s="32" t="b">
        <f>_xlfn.XLOOKUP(Table6[[#This Row],[Category No]],Table8[Category No],Table8[Chapter List],FALSE)</f>
        <v>0</v>
      </c>
      <c r="D305" s="51"/>
    </row>
    <row r="306" spans="1:4" x14ac:dyDescent="0.25">
      <c r="A306" s="50">
        <v>305</v>
      </c>
      <c r="B306" s="32"/>
      <c r="C306" s="32" t="b">
        <f>_xlfn.XLOOKUP(Table6[[#This Row],[Category No]],Table8[Category No],Table8[Chapter List],FALSE)</f>
        <v>0</v>
      </c>
      <c r="D306" s="51"/>
    </row>
    <row r="307" spans="1:4" x14ac:dyDescent="0.25">
      <c r="A307" s="50">
        <v>306</v>
      </c>
      <c r="B307" s="32"/>
      <c r="C307" s="32" t="b">
        <f>_xlfn.XLOOKUP(Table6[[#This Row],[Category No]],Table8[Category No],Table8[Chapter List],FALSE)</f>
        <v>0</v>
      </c>
      <c r="D307" s="51"/>
    </row>
    <row r="308" spans="1:4" x14ac:dyDescent="0.25">
      <c r="A308" s="50">
        <v>307</v>
      </c>
      <c r="B308" s="32"/>
      <c r="C308" s="32" t="b">
        <f>_xlfn.XLOOKUP(Table6[[#This Row],[Category No]],Table8[Category No],Table8[Chapter List],FALSE)</f>
        <v>0</v>
      </c>
      <c r="D308" s="51"/>
    </row>
    <row r="309" spans="1:4" x14ac:dyDescent="0.25">
      <c r="A309" s="50">
        <v>308</v>
      </c>
      <c r="B309" s="32"/>
      <c r="C309" s="32" t="b">
        <f>_xlfn.XLOOKUP(Table6[[#This Row],[Category No]],Table8[Category No],Table8[Chapter List],FALSE)</f>
        <v>0</v>
      </c>
      <c r="D309" s="51"/>
    </row>
    <row r="310" spans="1:4" x14ac:dyDescent="0.25">
      <c r="A310" s="50">
        <v>309</v>
      </c>
      <c r="B310" s="32"/>
      <c r="C310" s="32" t="b">
        <f>_xlfn.XLOOKUP(Table6[[#This Row],[Category No]],Table8[Category No],Table8[Chapter List],FALSE)</f>
        <v>0</v>
      </c>
      <c r="D310" s="51"/>
    </row>
    <row r="311" spans="1:4" x14ac:dyDescent="0.25">
      <c r="A311" s="50">
        <v>310</v>
      </c>
      <c r="B311" s="32"/>
      <c r="C311" s="32" t="b">
        <f>_xlfn.XLOOKUP(Table6[[#This Row],[Category No]],Table8[Category No],Table8[Chapter List],FALSE)</f>
        <v>0</v>
      </c>
      <c r="D311" s="51"/>
    </row>
    <row r="312" spans="1:4" x14ac:dyDescent="0.25">
      <c r="A312" s="50">
        <v>311</v>
      </c>
      <c r="B312" s="32"/>
      <c r="C312" s="32" t="b">
        <f>_xlfn.XLOOKUP(Table6[[#This Row],[Category No]],Table8[Category No],Table8[Chapter List],FALSE)</f>
        <v>0</v>
      </c>
      <c r="D312" s="51"/>
    </row>
    <row r="313" spans="1:4" x14ac:dyDescent="0.25">
      <c r="A313" s="50">
        <v>312</v>
      </c>
      <c r="B313" s="32"/>
      <c r="C313" s="32" t="b">
        <f>_xlfn.XLOOKUP(Table6[[#This Row],[Category No]],Table8[Category No],Table8[Chapter List],FALSE)</f>
        <v>0</v>
      </c>
      <c r="D313" s="51"/>
    </row>
    <row r="314" spans="1:4" x14ac:dyDescent="0.25">
      <c r="A314" s="50">
        <v>313</v>
      </c>
      <c r="B314" s="32"/>
      <c r="C314" s="32" t="b">
        <f>_xlfn.XLOOKUP(Table6[[#This Row],[Category No]],Table8[Category No],Table8[Chapter List],FALSE)</f>
        <v>0</v>
      </c>
      <c r="D314" s="51"/>
    </row>
    <row r="315" spans="1:4" x14ac:dyDescent="0.25">
      <c r="A315" s="50">
        <v>314</v>
      </c>
      <c r="B315" s="32"/>
      <c r="C315" s="32" t="b">
        <f>_xlfn.XLOOKUP(Table6[[#This Row],[Category No]],Table8[Category No],Table8[Chapter List],FALSE)</f>
        <v>0</v>
      </c>
      <c r="D315" s="51"/>
    </row>
    <row r="316" spans="1:4" x14ac:dyDescent="0.25">
      <c r="A316" s="50">
        <v>315</v>
      </c>
      <c r="B316" s="32"/>
      <c r="C316" s="32" t="b">
        <f>_xlfn.XLOOKUP(Table6[[#This Row],[Category No]],Table8[Category No],Table8[Chapter List],FALSE)</f>
        <v>0</v>
      </c>
      <c r="D316" s="51"/>
    </row>
    <row r="317" spans="1:4" x14ac:dyDescent="0.25">
      <c r="A317" s="50">
        <v>316</v>
      </c>
      <c r="B317" s="32"/>
      <c r="C317" s="32" t="b">
        <f>_xlfn.XLOOKUP(Table6[[#This Row],[Category No]],Table8[Category No],Table8[Chapter List],FALSE)</f>
        <v>0</v>
      </c>
      <c r="D317" s="51"/>
    </row>
    <row r="318" spans="1:4" x14ac:dyDescent="0.25">
      <c r="A318" s="50">
        <v>317</v>
      </c>
      <c r="B318" s="32"/>
      <c r="C318" s="32" t="b">
        <f>_xlfn.XLOOKUP(Table6[[#This Row],[Category No]],Table8[Category No],Table8[Chapter List],FALSE)</f>
        <v>0</v>
      </c>
      <c r="D318" s="51"/>
    </row>
    <row r="319" spans="1:4" x14ac:dyDescent="0.25">
      <c r="A319" s="50">
        <v>318</v>
      </c>
      <c r="B319" s="32"/>
      <c r="C319" s="32" t="b">
        <f>_xlfn.XLOOKUP(Table6[[#This Row],[Category No]],Table8[Category No],Table8[Chapter List],FALSE)</f>
        <v>0</v>
      </c>
      <c r="D319" s="51"/>
    </row>
    <row r="320" spans="1:4" x14ac:dyDescent="0.25">
      <c r="A320" s="50">
        <v>319</v>
      </c>
      <c r="B320" s="32"/>
      <c r="C320" s="32" t="b">
        <f>_xlfn.XLOOKUP(Table6[[#This Row],[Category No]],Table8[Category No],Table8[Chapter List],FALSE)</f>
        <v>0</v>
      </c>
      <c r="D320" s="51"/>
    </row>
    <row r="321" spans="1:4" x14ac:dyDescent="0.25">
      <c r="A321" s="50">
        <v>320</v>
      </c>
      <c r="B321" s="32"/>
      <c r="C321" s="32" t="b">
        <f>_xlfn.XLOOKUP(Table6[[#This Row],[Category No]],Table8[Category No],Table8[Chapter List],FALSE)</f>
        <v>0</v>
      </c>
      <c r="D321" s="51"/>
    </row>
    <row r="322" spans="1:4" x14ac:dyDescent="0.25">
      <c r="A322" s="50">
        <v>321</v>
      </c>
      <c r="B322" s="32"/>
      <c r="C322" s="32" t="b">
        <f>_xlfn.XLOOKUP(Table6[[#This Row],[Category No]],Table8[Category No],Table8[Chapter List],FALSE)</f>
        <v>0</v>
      </c>
      <c r="D322" s="51"/>
    </row>
    <row r="323" spans="1:4" x14ac:dyDescent="0.25">
      <c r="A323" s="50">
        <v>322</v>
      </c>
      <c r="B323" s="32"/>
      <c r="C323" s="32" t="b">
        <f>_xlfn.XLOOKUP(Table6[[#This Row],[Category No]],Table8[Category No],Table8[Chapter List],FALSE)</f>
        <v>0</v>
      </c>
      <c r="D323" s="51"/>
    </row>
    <row r="324" spans="1:4" x14ac:dyDescent="0.25">
      <c r="A324" s="50">
        <v>323</v>
      </c>
      <c r="B324" s="32"/>
      <c r="C324" s="32" t="b">
        <f>_xlfn.XLOOKUP(Table6[[#This Row],[Category No]],Table8[Category No],Table8[Chapter List],FALSE)</f>
        <v>0</v>
      </c>
      <c r="D324" s="51"/>
    </row>
    <row r="325" spans="1:4" x14ac:dyDescent="0.25">
      <c r="A325" s="50">
        <v>324</v>
      </c>
      <c r="B325" s="32"/>
      <c r="C325" s="32" t="b">
        <f>_xlfn.XLOOKUP(Table6[[#This Row],[Category No]],Table8[Category No],Table8[Chapter List],FALSE)</f>
        <v>0</v>
      </c>
      <c r="D325" s="51"/>
    </row>
    <row r="326" spans="1:4" x14ac:dyDescent="0.25">
      <c r="A326" s="50">
        <v>325</v>
      </c>
      <c r="B326" s="32"/>
      <c r="C326" s="32" t="b">
        <f>_xlfn.XLOOKUP(Table6[[#This Row],[Category No]],Table8[Category No],Table8[Chapter List],FALSE)</f>
        <v>0</v>
      </c>
      <c r="D326" s="51"/>
    </row>
    <row r="327" spans="1:4" x14ac:dyDescent="0.25">
      <c r="A327" s="50">
        <v>326</v>
      </c>
      <c r="B327" s="32"/>
      <c r="C327" s="32" t="b">
        <f>_xlfn.XLOOKUP(Table6[[#This Row],[Category No]],Table8[Category No],Table8[Chapter List],FALSE)</f>
        <v>0</v>
      </c>
      <c r="D327" s="51"/>
    </row>
    <row r="328" spans="1:4" x14ac:dyDescent="0.25">
      <c r="A328" s="50">
        <v>327</v>
      </c>
      <c r="B328" s="32"/>
      <c r="C328" s="32" t="b">
        <f>_xlfn.XLOOKUP(Table6[[#This Row],[Category No]],Table8[Category No],Table8[Chapter List],FALSE)</f>
        <v>0</v>
      </c>
      <c r="D328" s="51"/>
    </row>
    <row r="329" spans="1:4" x14ac:dyDescent="0.25">
      <c r="A329" s="50">
        <v>328</v>
      </c>
      <c r="B329" s="32"/>
      <c r="C329" s="32" t="b">
        <f>_xlfn.XLOOKUP(Table6[[#This Row],[Category No]],Table8[Category No],Table8[Chapter List],FALSE)</f>
        <v>0</v>
      </c>
      <c r="D329" s="51"/>
    </row>
    <row r="330" spans="1:4" x14ac:dyDescent="0.25">
      <c r="A330" s="50">
        <v>329</v>
      </c>
      <c r="B330" s="32"/>
      <c r="C330" s="32" t="b">
        <f>_xlfn.XLOOKUP(Table6[[#This Row],[Category No]],Table8[Category No],Table8[Chapter List],FALSE)</f>
        <v>0</v>
      </c>
      <c r="D330" s="51"/>
    </row>
    <row r="331" spans="1:4" x14ac:dyDescent="0.25">
      <c r="A331" s="50">
        <v>330</v>
      </c>
      <c r="B331" s="32"/>
      <c r="C331" s="32" t="b">
        <f>_xlfn.XLOOKUP(Table6[[#This Row],[Category No]],Table8[Category No],Table8[Chapter List],FALSE)</f>
        <v>0</v>
      </c>
      <c r="D331" s="51"/>
    </row>
    <row r="332" spans="1:4" x14ac:dyDescent="0.25">
      <c r="A332" s="50">
        <v>331</v>
      </c>
      <c r="B332" s="32"/>
      <c r="C332" s="32" t="b">
        <f>_xlfn.XLOOKUP(Table6[[#This Row],[Category No]],Table8[Category No],Table8[Chapter List],FALSE)</f>
        <v>0</v>
      </c>
      <c r="D332" s="51"/>
    </row>
    <row r="333" spans="1:4" x14ac:dyDescent="0.25">
      <c r="A333" s="50">
        <v>332</v>
      </c>
      <c r="B333" s="32"/>
      <c r="C333" s="32" t="b">
        <f>_xlfn.XLOOKUP(Table6[[#This Row],[Category No]],Table8[Category No],Table8[Chapter List],FALSE)</f>
        <v>0</v>
      </c>
      <c r="D333" s="51"/>
    </row>
    <row r="334" spans="1:4" x14ac:dyDescent="0.25">
      <c r="A334" s="50">
        <v>333</v>
      </c>
      <c r="B334" s="32"/>
      <c r="C334" s="32" t="b">
        <f>_xlfn.XLOOKUP(Table6[[#This Row],[Category No]],Table8[Category No],Table8[Chapter List],FALSE)</f>
        <v>0</v>
      </c>
      <c r="D334" s="51"/>
    </row>
    <row r="335" spans="1:4" x14ac:dyDescent="0.25">
      <c r="A335" s="50">
        <v>334</v>
      </c>
      <c r="B335" s="32"/>
      <c r="C335" s="32" t="b">
        <f>_xlfn.XLOOKUP(Table6[[#This Row],[Category No]],Table8[Category No],Table8[Chapter List],FALSE)</f>
        <v>0</v>
      </c>
      <c r="D335" s="51"/>
    </row>
    <row r="336" spans="1:4" x14ac:dyDescent="0.25">
      <c r="A336" s="50">
        <v>335</v>
      </c>
      <c r="B336" s="32"/>
      <c r="C336" s="32" t="b">
        <f>_xlfn.XLOOKUP(Table6[[#This Row],[Category No]],Table8[Category No],Table8[Chapter List],FALSE)</f>
        <v>0</v>
      </c>
      <c r="D336" s="51"/>
    </row>
    <row r="337" spans="1:4" x14ac:dyDescent="0.25">
      <c r="A337" s="50">
        <v>336</v>
      </c>
      <c r="B337" s="32"/>
      <c r="C337" s="32" t="b">
        <f>_xlfn.XLOOKUP(Table6[[#This Row],[Category No]],Table8[Category No],Table8[Chapter List],FALSE)</f>
        <v>0</v>
      </c>
      <c r="D337" s="51"/>
    </row>
    <row r="338" spans="1:4" x14ac:dyDescent="0.25">
      <c r="A338" s="50">
        <v>337</v>
      </c>
      <c r="B338" s="32"/>
      <c r="C338" s="32" t="b">
        <f>_xlfn.XLOOKUP(Table6[[#This Row],[Category No]],Table8[Category No],Table8[Chapter List],FALSE)</f>
        <v>0</v>
      </c>
      <c r="D338" s="51"/>
    </row>
    <row r="339" spans="1:4" x14ac:dyDescent="0.25">
      <c r="A339" s="50">
        <v>338</v>
      </c>
      <c r="B339" s="32"/>
      <c r="C339" s="32" t="b">
        <f>_xlfn.XLOOKUP(Table6[[#This Row],[Category No]],Table8[Category No],Table8[Chapter List],FALSE)</f>
        <v>0</v>
      </c>
      <c r="D339" s="51"/>
    </row>
    <row r="340" spans="1:4" x14ac:dyDescent="0.25">
      <c r="A340" s="50">
        <v>339</v>
      </c>
      <c r="B340" s="32"/>
      <c r="C340" s="32" t="b">
        <f>_xlfn.XLOOKUP(Table6[[#This Row],[Category No]],Table8[Category No],Table8[Chapter List],FALSE)</f>
        <v>0</v>
      </c>
      <c r="D340" s="51"/>
    </row>
    <row r="341" spans="1:4" x14ac:dyDescent="0.25">
      <c r="A341" s="50">
        <v>340</v>
      </c>
      <c r="B341" s="32"/>
      <c r="C341" s="32" t="b">
        <f>_xlfn.XLOOKUP(Table6[[#This Row],[Category No]],Table8[Category No],Table8[Chapter List],FALSE)</f>
        <v>0</v>
      </c>
      <c r="D341" s="51"/>
    </row>
    <row r="342" spans="1:4" x14ac:dyDescent="0.25">
      <c r="A342" s="50">
        <v>341</v>
      </c>
      <c r="B342" s="32"/>
      <c r="C342" s="32" t="b">
        <f>_xlfn.XLOOKUP(Table6[[#This Row],[Category No]],Table8[Category No],Table8[Chapter List],FALSE)</f>
        <v>0</v>
      </c>
      <c r="D342" s="51"/>
    </row>
    <row r="343" spans="1:4" x14ac:dyDescent="0.25">
      <c r="A343" s="50">
        <v>342</v>
      </c>
      <c r="B343" s="32"/>
      <c r="C343" s="32" t="b">
        <f>_xlfn.XLOOKUP(Table6[[#This Row],[Category No]],Table8[Category No],Table8[Chapter List],FALSE)</f>
        <v>0</v>
      </c>
      <c r="D343" s="51"/>
    </row>
    <row r="344" spans="1:4" x14ac:dyDescent="0.25">
      <c r="A344" s="50">
        <v>343</v>
      </c>
      <c r="B344" s="32"/>
      <c r="C344" s="32" t="b">
        <f>_xlfn.XLOOKUP(Table6[[#This Row],[Category No]],Table8[Category No],Table8[Chapter List],FALSE)</f>
        <v>0</v>
      </c>
      <c r="D344" s="51"/>
    </row>
    <row r="345" spans="1:4" x14ac:dyDescent="0.25">
      <c r="A345" s="50">
        <v>344</v>
      </c>
      <c r="B345" s="32"/>
      <c r="C345" s="32" t="b">
        <f>_xlfn.XLOOKUP(Table6[[#This Row],[Category No]],Table8[Category No],Table8[Chapter List],FALSE)</f>
        <v>0</v>
      </c>
      <c r="D345" s="51"/>
    </row>
    <row r="346" spans="1:4" x14ac:dyDescent="0.25">
      <c r="A346" s="50">
        <v>345</v>
      </c>
      <c r="B346" s="32"/>
      <c r="C346" s="32" t="b">
        <f>_xlfn.XLOOKUP(Table6[[#This Row],[Category No]],Table8[Category No],Table8[Chapter List],FALSE)</f>
        <v>0</v>
      </c>
      <c r="D346" s="51"/>
    </row>
    <row r="347" spans="1:4" x14ac:dyDescent="0.25">
      <c r="A347" s="50">
        <v>346</v>
      </c>
      <c r="B347" s="32"/>
      <c r="C347" s="32" t="b">
        <f>_xlfn.XLOOKUP(Table6[[#This Row],[Category No]],Table8[Category No],Table8[Chapter List],FALSE)</f>
        <v>0</v>
      </c>
      <c r="D347" s="51"/>
    </row>
    <row r="348" spans="1:4" x14ac:dyDescent="0.25">
      <c r="A348" s="50">
        <v>347</v>
      </c>
      <c r="B348" s="32"/>
      <c r="C348" s="32" t="b">
        <f>_xlfn.XLOOKUP(Table6[[#This Row],[Category No]],Table8[Category No],Table8[Chapter List],FALSE)</f>
        <v>0</v>
      </c>
      <c r="D348" s="51"/>
    </row>
    <row r="349" spans="1:4" x14ac:dyDescent="0.25">
      <c r="A349" s="50">
        <v>348</v>
      </c>
      <c r="B349" s="32"/>
      <c r="C349" s="32" t="b">
        <f>_xlfn.XLOOKUP(Table6[[#This Row],[Category No]],Table8[Category No],Table8[Chapter List],FALSE)</f>
        <v>0</v>
      </c>
      <c r="D349" s="51"/>
    </row>
    <row r="350" spans="1:4" x14ac:dyDescent="0.25">
      <c r="A350" s="50">
        <v>349</v>
      </c>
      <c r="B350" s="32"/>
      <c r="C350" s="32" t="b">
        <f>_xlfn.XLOOKUP(Table6[[#This Row],[Category No]],Table8[Category No],Table8[Chapter List],FALSE)</f>
        <v>0</v>
      </c>
      <c r="D350" s="51"/>
    </row>
    <row r="351" spans="1:4" x14ac:dyDescent="0.25">
      <c r="A351" s="50">
        <v>350</v>
      </c>
      <c r="B351" s="32"/>
      <c r="C351" s="32" t="b">
        <f>_xlfn.XLOOKUP(Table6[[#This Row],[Category No]],Table8[Category No],Table8[Chapter List],FALSE)</f>
        <v>0</v>
      </c>
      <c r="D351" s="51"/>
    </row>
    <row r="352" spans="1:4" x14ac:dyDescent="0.25">
      <c r="A352" s="50">
        <v>351</v>
      </c>
      <c r="B352" s="32"/>
      <c r="C352" s="32" t="b">
        <f>_xlfn.XLOOKUP(Table6[[#This Row],[Category No]],Table8[Category No],Table8[Chapter List],FALSE)</f>
        <v>0</v>
      </c>
      <c r="D352" s="51"/>
    </row>
    <row r="353" spans="1:4" x14ac:dyDescent="0.25">
      <c r="A353" s="50">
        <v>352</v>
      </c>
      <c r="B353" s="32"/>
      <c r="C353" s="32" t="b">
        <f>_xlfn.XLOOKUP(Table6[[#This Row],[Category No]],Table8[Category No],Table8[Chapter List],FALSE)</f>
        <v>0</v>
      </c>
      <c r="D353" s="51"/>
    </row>
    <row r="354" spans="1:4" x14ac:dyDescent="0.25">
      <c r="A354" s="50">
        <v>353</v>
      </c>
      <c r="B354" s="32"/>
      <c r="C354" s="32" t="b">
        <f>_xlfn.XLOOKUP(Table6[[#This Row],[Category No]],Table8[Category No],Table8[Chapter List],FALSE)</f>
        <v>0</v>
      </c>
      <c r="D354" s="51"/>
    </row>
    <row r="355" spans="1:4" x14ac:dyDescent="0.25">
      <c r="A355" s="50">
        <v>354</v>
      </c>
      <c r="B355" s="32"/>
      <c r="C355" s="32" t="b">
        <f>_xlfn.XLOOKUP(Table6[[#This Row],[Category No]],Table8[Category No],Table8[Chapter List],FALSE)</f>
        <v>0</v>
      </c>
      <c r="D355" s="51"/>
    </row>
    <row r="356" spans="1:4" x14ac:dyDescent="0.25">
      <c r="A356" s="50">
        <v>355</v>
      </c>
      <c r="B356" s="32"/>
      <c r="C356" s="32" t="b">
        <f>_xlfn.XLOOKUP(Table6[[#This Row],[Category No]],Table8[Category No],Table8[Chapter List],FALSE)</f>
        <v>0</v>
      </c>
      <c r="D356" s="51"/>
    </row>
    <row r="357" spans="1:4" x14ac:dyDescent="0.25">
      <c r="A357" s="50">
        <v>356</v>
      </c>
      <c r="B357" s="32"/>
      <c r="C357" s="32" t="b">
        <f>_xlfn.XLOOKUP(Table6[[#This Row],[Category No]],Table8[Category No],Table8[Chapter List],FALSE)</f>
        <v>0</v>
      </c>
      <c r="D357" s="51"/>
    </row>
    <row r="358" spans="1:4" x14ac:dyDescent="0.25">
      <c r="A358" s="50">
        <v>357</v>
      </c>
      <c r="B358" s="32"/>
      <c r="C358" s="32" t="b">
        <f>_xlfn.XLOOKUP(Table6[[#This Row],[Category No]],Table8[Category No],Table8[Chapter List],FALSE)</f>
        <v>0</v>
      </c>
      <c r="D358" s="51"/>
    </row>
    <row r="359" spans="1:4" x14ac:dyDescent="0.25">
      <c r="A359" s="50">
        <v>358</v>
      </c>
      <c r="B359" s="32"/>
      <c r="C359" s="32" t="b">
        <f>_xlfn.XLOOKUP(Table6[[#This Row],[Category No]],Table8[Category No],Table8[Chapter List],FALSE)</f>
        <v>0</v>
      </c>
      <c r="D359" s="51"/>
    </row>
    <row r="360" spans="1:4" x14ac:dyDescent="0.25">
      <c r="A360" s="50">
        <v>359</v>
      </c>
      <c r="B360" s="32"/>
      <c r="C360" s="32" t="b">
        <f>_xlfn.XLOOKUP(Table6[[#This Row],[Category No]],Table8[Category No],Table8[Chapter List],FALSE)</f>
        <v>0</v>
      </c>
      <c r="D360" s="51"/>
    </row>
    <row r="361" spans="1:4" x14ac:dyDescent="0.25">
      <c r="A361" s="50">
        <v>360</v>
      </c>
      <c r="B361" s="32"/>
      <c r="C361" s="32" t="b">
        <f>_xlfn.XLOOKUP(Table6[[#This Row],[Category No]],Table8[Category No],Table8[Chapter List],FALSE)</f>
        <v>0</v>
      </c>
      <c r="D361" s="51"/>
    </row>
    <row r="362" spans="1:4" x14ac:dyDescent="0.25">
      <c r="A362" s="50">
        <v>361</v>
      </c>
      <c r="B362" s="32"/>
      <c r="C362" s="32" t="b">
        <f>_xlfn.XLOOKUP(Table6[[#This Row],[Category No]],Table8[Category No],Table8[Chapter List],FALSE)</f>
        <v>0</v>
      </c>
      <c r="D362" s="51"/>
    </row>
    <row r="363" spans="1:4" x14ac:dyDescent="0.25">
      <c r="A363" s="50">
        <v>362</v>
      </c>
      <c r="B363" s="32"/>
      <c r="C363" s="32" t="b">
        <f>_xlfn.XLOOKUP(Table6[[#This Row],[Category No]],Table8[Category No],Table8[Chapter List],FALSE)</f>
        <v>0</v>
      </c>
      <c r="D363" s="51"/>
    </row>
    <row r="364" spans="1:4" x14ac:dyDescent="0.25">
      <c r="A364" s="50">
        <v>363</v>
      </c>
      <c r="B364" s="32"/>
      <c r="C364" s="32" t="b">
        <f>_xlfn.XLOOKUP(Table6[[#This Row],[Category No]],Table8[Category No],Table8[Chapter List],FALSE)</f>
        <v>0</v>
      </c>
      <c r="D364" s="51"/>
    </row>
    <row r="365" spans="1:4" x14ac:dyDescent="0.25">
      <c r="A365" s="50">
        <v>364</v>
      </c>
      <c r="B365" s="32"/>
      <c r="C365" s="32" t="b">
        <f>_xlfn.XLOOKUP(Table6[[#This Row],[Category No]],Table8[Category No],Table8[Chapter List],FALSE)</f>
        <v>0</v>
      </c>
      <c r="D365" s="51"/>
    </row>
    <row r="366" spans="1:4" x14ac:dyDescent="0.25">
      <c r="A366" s="50">
        <v>365</v>
      </c>
      <c r="B366" s="32"/>
      <c r="C366" s="32" t="b">
        <f>_xlfn.XLOOKUP(Table6[[#This Row],[Category No]],Table8[Category No],Table8[Chapter List],FALSE)</f>
        <v>0</v>
      </c>
      <c r="D366" s="51"/>
    </row>
    <row r="367" spans="1:4" x14ac:dyDescent="0.25">
      <c r="A367" s="50">
        <v>366</v>
      </c>
      <c r="B367" s="32"/>
      <c r="C367" s="32" t="b">
        <f>_xlfn.XLOOKUP(Table6[[#This Row],[Category No]],Table8[Category No],Table8[Chapter List],FALSE)</f>
        <v>0</v>
      </c>
      <c r="D367" s="51"/>
    </row>
    <row r="368" spans="1:4" x14ac:dyDescent="0.25">
      <c r="A368" s="50">
        <v>367</v>
      </c>
      <c r="B368" s="32"/>
      <c r="C368" s="32" t="b">
        <f>_xlfn.XLOOKUP(Table6[[#This Row],[Category No]],Table8[Category No],Table8[Chapter List],FALSE)</f>
        <v>0</v>
      </c>
      <c r="D368" s="51"/>
    </row>
    <row r="369" spans="1:4" x14ac:dyDescent="0.25">
      <c r="A369" s="50">
        <v>368</v>
      </c>
      <c r="B369" s="32"/>
      <c r="C369" s="32" t="b">
        <f>_xlfn.XLOOKUP(Table6[[#This Row],[Category No]],Table8[Category No],Table8[Chapter List],FALSE)</f>
        <v>0</v>
      </c>
      <c r="D369" s="51"/>
    </row>
    <row r="370" spans="1:4" x14ac:dyDescent="0.25">
      <c r="A370" s="50">
        <v>369</v>
      </c>
      <c r="B370" s="32"/>
      <c r="C370" s="32" t="b">
        <f>_xlfn.XLOOKUP(Table6[[#This Row],[Category No]],Table8[Category No],Table8[Chapter List],FALSE)</f>
        <v>0</v>
      </c>
      <c r="D370" s="51"/>
    </row>
    <row r="371" spans="1:4" x14ac:dyDescent="0.25">
      <c r="A371" s="50">
        <v>370</v>
      </c>
      <c r="B371" s="32"/>
      <c r="C371" s="32" t="b">
        <f>_xlfn.XLOOKUP(Table6[[#This Row],[Category No]],Table8[Category No],Table8[Chapter List],FALSE)</f>
        <v>0</v>
      </c>
      <c r="D371" s="51"/>
    </row>
    <row r="372" spans="1:4" x14ac:dyDescent="0.25">
      <c r="A372" s="50">
        <v>371</v>
      </c>
      <c r="B372" s="32"/>
      <c r="C372" s="32" t="b">
        <f>_xlfn.XLOOKUP(Table6[[#This Row],[Category No]],Table8[Category No],Table8[Chapter List],FALSE)</f>
        <v>0</v>
      </c>
      <c r="D372" s="51"/>
    </row>
    <row r="373" spans="1:4" x14ac:dyDescent="0.25">
      <c r="A373" s="50">
        <v>372</v>
      </c>
      <c r="B373" s="32"/>
      <c r="C373" s="32" t="b">
        <f>_xlfn.XLOOKUP(Table6[[#This Row],[Category No]],Table8[Category No],Table8[Chapter List],FALSE)</f>
        <v>0</v>
      </c>
      <c r="D373" s="51"/>
    </row>
    <row r="374" spans="1:4" x14ac:dyDescent="0.25">
      <c r="A374" s="50">
        <v>373</v>
      </c>
      <c r="B374" s="32"/>
      <c r="C374" s="32" t="b">
        <f>_xlfn.XLOOKUP(Table6[[#This Row],[Category No]],Table8[Category No],Table8[Chapter List],FALSE)</f>
        <v>0</v>
      </c>
      <c r="D374" s="51"/>
    </row>
    <row r="375" spans="1:4" x14ac:dyDescent="0.25">
      <c r="A375" s="50">
        <v>374</v>
      </c>
      <c r="B375" s="32"/>
      <c r="C375" s="32" t="b">
        <f>_xlfn.XLOOKUP(Table6[[#This Row],[Category No]],Table8[Category No],Table8[Chapter List],FALSE)</f>
        <v>0</v>
      </c>
      <c r="D375" s="51"/>
    </row>
    <row r="376" spans="1:4" x14ac:dyDescent="0.25">
      <c r="A376" s="50">
        <v>375</v>
      </c>
      <c r="B376" s="32"/>
      <c r="C376" s="32" t="b">
        <f>_xlfn.XLOOKUP(Table6[[#This Row],[Category No]],Table8[Category No],Table8[Chapter List],FALSE)</f>
        <v>0</v>
      </c>
      <c r="D376" s="51"/>
    </row>
    <row r="377" spans="1:4" x14ac:dyDescent="0.25">
      <c r="A377" s="50">
        <v>376</v>
      </c>
      <c r="B377" s="32"/>
      <c r="C377" s="32" t="b">
        <f>_xlfn.XLOOKUP(Table6[[#This Row],[Category No]],Table8[Category No],Table8[Chapter List],FALSE)</f>
        <v>0</v>
      </c>
      <c r="D377" s="51"/>
    </row>
    <row r="378" spans="1:4" x14ac:dyDescent="0.25">
      <c r="A378" s="50">
        <v>377</v>
      </c>
      <c r="B378" s="32"/>
      <c r="C378" s="32" t="b">
        <f>_xlfn.XLOOKUP(Table6[[#This Row],[Category No]],Table8[Category No],Table8[Chapter List],FALSE)</f>
        <v>0</v>
      </c>
      <c r="D378" s="51"/>
    </row>
    <row r="379" spans="1:4" x14ac:dyDescent="0.25">
      <c r="A379" s="50">
        <v>378</v>
      </c>
      <c r="B379" s="32"/>
      <c r="C379" s="32" t="b">
        <f>_xlfn.XLOOKUP(Table6[[#This Row],[Category No]],Table8[Category No],Table8[Chapter List],FALSE)</f>
        <v>0</v>
      </c>
      <c r="D379" s="51"/>
    </row>
    <row r="380" spans="1:4" x14ac:dyDescent="0.25">
      <c r="A380" s="50">
        <v>379</v>
      </c>
      <c r="B380" s="32"/>
      <c r="C380" s="32" t="b">
        <f>_xlfn.XLOOKUP(Table6[[#This Row],[Category No]],Table8[Category No],Table8[Chapter List],FALSE)</f>
        <v>0</v>
      </c>
      <c r="D380" s="51"/>
    </row>
    <row r="381" spans="1:4" x14ac:dyDescent="0.25">
      <c r="A381" s="50">
        <v>380</v>
      </c>
      <c r="B381" s="32"/>
      <c r="C381" s="32" t="b">
        <f>_xlfn.XLOOKUP(Table6[[#This Row],[Category No]],Table8[Category No],Table8[Chapter List],FALSE)</f>
        <v>0</v>
      </c>
      <c r="D381" s="51"/>
    </row>
    <row r="382" spans="1:4" x14ac:dyDescent="0.25">
      <c r="A382" s="50">
        <v>381</v>
      </c>
      <c r="B382" s="32"/>
      <c r="C382" s="32" t="b">
        <f>_xlfn.XLOOKUP(Table6[[#This Row],[Category No]],Table8[Category No],Table8[Chapter List],FALSE)</f>
        <v>0</v>
      </c>
      <c r="D382" s="51"/>
    </row>
    <row r="383" spans="1:4" x14ac:dyDescent="0.25">
      <c r="A383" s="50">
        <v>382</v>
      </c>
      <c r="B383" s="32"/>
      <c r="C383" s="32" t="b">
        <f>_xlfn.XLOOKUP(Table6[[#This Row],[Category No]],Table8[Category No],Table8[Chapter List],FALSE)</f>
        <v>0</v>
      </c>
      <c r="D383" s="51"/>
    </row>
    <row r="384" spans="1:4" x14ac:dyDescent="0.25">
      <c r="A384" s="50">
        <v>383</v>
      </c>
      <c r="B384" s="32"/>
      <c r="C384" s="32" t="b">
        <f>_xlfn.XLOOKUP(Table6[[#This Row],[Category No]],Table8[Category No],Table8[Chapter List],FALSE)</f>
        <v>0</v>
      </c>
      <c r="D384" s="51"/>
    </row>
    <row r="385" spans="1:4" x14ac:dyDescent="0.25">
      <c r="A385" s="50">
        <v>384</v>
      </c>
      <c r="B385" s="32"/>
      <c r="C385" s="32" t="b">
        <f>_xlfn.XLOOKUP(Table6[[#This Row],[Category No]],Table8[Category No],Table8[Chapter List],FALSE)</f>
        <v>0</v>
      </c>
      <c r="D385" s="51"/>
    </row>
    <row r="386" spans="1:4" x14ac:dyDescent="0.25">
      <c r="A386" s="50">
        <v>385</v>
      </c>
      <c r="B386" s="32"/>
      <c r="C386" s="32" t="b">
        <f>_xlfn.XLOOKUP(Table6[[#This Row],[Category No]],Table8[Category No],Table8[Chapter List],FALSE)</f>
        <v>0</v>
      </c>
      <c r="D386" s="51"/>
    </row>
    <row r="387" spans="1:4" x14ac:dyDescent="0.25">
      <c r="A387" s="50">
        <v>386</v>
      </c>
      <c r="B387" s="32"/>
      <c r="C387" s="32" t="b">
        <f>_xlfn.XLOOKUP(Table6[[#This Row],[Category No]],Table8[Category No],Table8[Chapter List],FALSE)</f>
        <v>0</v>
      </c>
      <c r="D387" s="51"/>
    </row>
    <row r="388" spans="1:4" x14ac:dyDescent="0.25">
      <c r="A388" s="50">
        <v>387</v>
      </c>
      <c r="B388" s="32"/>
      <c r="C388" s="32" t="b">
        <f>_xlfn.XLOOKUP(Table6[[#This Row],[Category No]],Table8[Category No],Table8[Chapter List],FALSE)</f>
        <v>0</v>
      </c>
      <c r="D388" s="51"/>
    </row>
    <row r="389" spans="1:4" x14ac:dyDescent="0.25">
      <c r="A389" s="50">
        <v>388</v>
      </c>
      <c r="B389" s="32"/>
      <c r="C389" s="32" t="b">
        <f>_xlfn.XLOOKUP(Table6[[#This Row],[Category No]],Table8[Category No],Table8[Chapter List],FALSE)</f>
        <v>0</v>
      </c>
      <c r="D389" s="51"/>
    </row>
    <row r="390" spans="1:4" x14ac:dyDescent="0.25">
      <c r="A390" s="50">
        <v>389</v>
      </c>
      <c r="B390" s="32"/>
      <c r="C390" s="32" t="b">
        <f>_xlfn.XLOOKUP(Table6[[#This Row],[Category No]],Table8[Category No],Table8[Chapter List],FALSE)</f>
        <v>0</v>
      </c>
      <c r="D390" s="51"/>
    </row>
    <row r="391" spans="1:4" x14ac:dyDescent="0.25">
      <c r="A391" s="50">
        <v>390</v>
      </c>
      <c r="B391" s="32"/>
      <c r="C391" s="32" t="b">
        <f>_xlfn.XLOOKUP(Table6[[#This Row],[Category No]],Table8[Category No],Table8[Chapter List],FALSE)</f>
        <v>0</v>
      </c>
      <c r="D391" s="51"/>
    </row>
    <row r="392" spans="1:4" x14ac:dyDescent="0.25">
      <c r="A392" s="50">
        <v>391</v>
      </c>
      <c r="B392" s="32"/>
      <c r="C392" s="32" t="b">
        <f>_xlfn.XLOOKUP(Table6[[#This Row],[Category No]],Table8[Category No],Table8[Chapter List],FALSE)</f>
        <v>0</v>
      </c>
      <c r="D392" s="51"/>
    </row>
    <row r="393" spans="1:4" x14ac:dyDescent="0.25">
      <c r="A393" s="50">
        <v>392</v>
      </c>
      <c r="B393" s="32"/>
      <c r="C393" s="32" t="b">
        <f>_xlfn.XLOOKUP(Table6[[#This Row],[Category No]],Table8[Category No],Table8[Chapter List],FALSE)</f>
        <v>0</v>
      </c>
      <c r="D393" s="51"/>
    </row>
    <row r="394" spans="1:4" x14ac:dyDescent="0.25">
      <c r="A394" s="50">
        <v>393</v>
      </c>
      <c r="B394" s="32"/>
      <c r="C394" s="32" t="b">
        <f>_xlfn.XLOOKUP(Table6[[#This Row],[Category No]],Table8[Category No],Table8[Chapter List],FALSE)</f>
        <v>0</v>
      </c>
      <c r="D394" s="51"/>
    </row>
    <row r="395" spans="1:4" x14ac:dyDescent="0.25">
      <c r="A395" s="50">
        <v>394</v>
      </c>
      <c r="B395" s="32"/>
      <c r="C395" s="32" t="b">
        <f>_xlfn.XLOOKUP(Table6[[#This Row],[Category No]],Table8[Category No],Table8[Chapter List],FALSE)</f>
        <v>0</v>
      </c>
      <c r="D395" s="51"/>
    </row>
    <row r="396" spans="1:4" x14ac:dyDescent="0.25">
      <c r="A396" s="50">
        <v>395</v>
      </c>
      <c r="B396" s="32"/>
      <c r="C396" s="32" t="b">
        <f>_xlfn.XLOOKUP(Table6[[#This Row],[Category No]],Table8[Category No],Table8[Chapter List],FALSE)</f>
        <v>0</v>
      </c>
      <c r="D396" s="51"/>
    </row>
    <row r="397" spans="1:4" x14ac:dyDescent="0.25">
      <c r="A397" s="50">
        <v>396</v>
      </c>
      <c r="B397" s="32"/>
      <c r="C397" s="32" t="b">
        <f>_xlfn.XLOOKUP(Table6[[#This Row],[Category No]],Table8[Category No],Table8[Chapter List],FALSE)</f>
        <v>0</v>
      </c>
      <c r="D397" s="51"/>
    </row>
    <row r="398" spans="1:4" x14ac:dyDescent="0.25">
      <c r="A398" s="50">
        <v>397</v>
      </c>
      <c r="B398" s="32"/>
      <c r="C398" s="32" t="b">
        <f>_xlfn.XLOOKUP(Table6[[#This Row],[Category No]],Table8[Category No],Table8[Chapter List],FALSE)</f>
        <v>0</v>
      </c>
      <c r="D398" s="51"/>
    </row>
    <row r="399" spans="1:4" x14ac:dyDescent="0.25">
      <c r="A399" s="50">
        <v>398</v>
      </c>
      <c r="B399" s="32"/>
      <c r="C399" s="32" t="b">
        <f>_xlfn.XLOOKUP(Table6[[#This Row],[Category No]],Table8[Category No],Table8[Chapter List],FALSE)</f>
        <v>0</v>
      </c>
      <c r="D399" s="51"/>
    </row>
    <row r="400" spans="1:4" x14ac:dyDescent="0.25">
      <c r="A400" s="50">
        <v>399</v>
      </c>
      <c r="B400" s="32"/>
      <c r="C400" s="32" t="b">
        <f>_xlfn.XLOOKUP(Table6[[#This Row],[Category No]],Table8[Category No],Table8[Chapter List],FALSE)</f>
        <v>0</v>
      </c>
      <c r="D400" s="51"/>
    </row>
    <row r="401" spans="1:4" x14ac:dyDescent="0.25">
      <c r="A401" s="50">
        <v>400</v>
      </c>
      <c r="B401" s="32"/>
      <c r="C401" s="32" t="b">
        <f>_xlfn.XLOOKUP(Table6[[#This Row],[Category No]],Table8[Category No],Table8[Chapter List],FALSE)</f>
        <v>0</v>
      </c>
      <c r="D401" s="51"/>
    </row>
    <row r="402" spans="1:4" x14ac:dyDescent="0.25">
      <c r="A402" s="50">
        <v>401</v>
      </c>
      <c r="B402" s="32"/>
      <c r="C402" s="32" t="b">
        <f>_xlfn.XLOOKUP(Table6[[#This Row],[Category No]],Table8[Category No],Table8[Chapter List],FALSE)</f>
        <v>0</v>
      </c>
      <c r="D402" s="51"/>
    </row>
    <row r="403" spans="1:4" x14ac:dyDescent="0.25">
      <c r="A403" s="50">
        <v>402</v>
      </c>
      <c r="B403" s="32"/>
      <c r="C403" s="32" t="b">
        <f>_xlfn.XLOOKUP(Table6[[#This Row],[Category No]],Table8[Category No],Table8[Chapter List],FALSE)</f>
        <v>0</v>
      </c>
      <c r="D403" s="51"/>
    </row>
    <row r="404" spans="1:4" x14ac:dyDescent="0.25">
      <c r="A404" s="50">
        <v>403</v>
      </c>
      <c r="B404" s="32"/>
      <c r="C404" s="32" t="b">
        <f>_xlfn.XLOOKUP(Table6[[#This Row],[Category No]],Table8[Category No],Table8[Chapter List],FALSE)</f>
        <v>0</v>
      </c>
      <c r="D404" s="51"/>
    </row>
    <row r="405" spans="1:4" x14ac:dyDescent="0.25">
      <c r="A405" s="50">
        <v>404</v>
      </c>
      <c r="B405" s="32"/>
      <c r="C405" s="32" t="b">
        <f>_xlfn.XLOOKUP(Table6[[#This Row],[Category No]],Table8[Category No],Table8[Chapter List],FALSE)</f>
        <v>0</v>
      </c>
      <c r="D405" s="51"/>
    </row>
    <row r="406" spans="1:4" x14ac:dyDescent="0.25">
      <c r="A406" s="50">
        <v>405</v>
      </c>
      <c r="B406" s="32"/>
      <c r="C406" s="32" t="b">
        <f>_xlfn.XLOOKUP(Table6[[#This Row],[Category No]],Table8[Category No],Table8[Chapter List],FALSE)</f>
        <v>0</v>
      </c>
      <c r="D406" s="51"/>
    </row>
    <row r="407" spans="1:4" x14ac:dyDescent="0.25">
      <c r="A407" s="50">
        <v>406</v>
      </c>
      <c r="B407" s="32"/>
      <c r="C407" s="32" t="b">
        <f>_xlfn.XLOOKUP(Table6[[#This Row],[Category No]],Table8[Category No],Table8[Chapter List],FALSE)</f>
        <v>0</v>
      </c>
      <c r="D407" s="51"/>
    </row>
    <row r="408" spans="1:4" x14ac:dyDescent="0.25">
      <c r="A408" s="50">
        <v>407</v>
      </c>
      <c r="B408" s="32"/>
      <c r="C408" s="32" t="b">
        <f>_xlfn.XLOOKUP(Table6[[#This Row],[Category No]],Table8[Category No],Table8[Chapter List],FALSE)</f>
        <v>0</v>
      </c>
      <c r="D408" s="51"/>
    </row>
    <row r="409" spans="1:4" x14ac:dyDescent="0.25">
      <c r="A409" s="50">
        <v>408</v>
      </c>
      <c r="B409" s="32"/>
      <c r="C409" s="32" t="b">
        <f>_xlfn.XLOOKUP(Table6[[#This Row],[Category No]],Table8[Category No],Table8[Chapter List],FALSE)</f>
        <v>0</v>
      </c>
      <c r="D409" s="51"/>
    </row>
    <row r="410" spans="1:4" x14ac:dyDescent="0.25">
      <c r="A410" s="50">
        <v>409</v>
      </c>
      <c r="B410" s="32"/>
      <c r="C410" s="32" t="b">
        <f>_xlfn.XLOOKUP(Table6[[#This Row],[Category No]],Table8[Category No],Table8[Chapter List],FALSE)</f>
        <v>0</v>
      </c>
      <c r="D410" s="51"/>
    </row>
    <row r="411" spans="1:4" x14ac:dyDescent="0.25">
      <c r="A411" s="50">
        <v>410</v>
      </c>
      <c r="B411" s="32"/>
      <c r="C411" s="32" t="b">
        <f>_xlfn.XLOOKUP(Table6[[#This Row],[Category No]],Table8[Category No],Table8[Chapter List],FALSE)</f>
        <v>0</v>
      </c>
      <c r="D411" s="51"/>
    </row>
    <row r="412" spans="1:4" x14ac:dyDescent="0.25">
      <c r="A412" s="50">
        <v>411</v>
      </c>
      <c r="B412" s="32"/>
      <c r="C412" s="32" t="b">
        <f>_xlfn.XLOOKUP(Table6[[#This Row],[Category No]],Table8[Category No],Table8[Chapter List],FALSE)</f>
        <v>0</v>
      </c>
      <c r="D412" s="51"/>
    </row>
    <row r="413" spans="1:4" x14ac:dyDescent="0.25">
      <c r="A413" s="50">
        <v>412</v>
      </c>
      <c r="B413" s="32"/>
      <c r="C413" s="32" t="b">
        <f>_xlfn.XLOOKUP(Table6[[#This Row],[Category No]],Table8[Category No],Table8[Chapter List],FALSE)</f>
        <v>0</v>
      </c>
      <c r="D413" s="51"/>
    </row>
    <row r="414" spans="1:4" x14ac:dyDescent="0.25">
      <c r="A414" s="50">
        <v>413</v>
      </c>
      <c r="B414" s="32"/>
      <c r="C414" s="32" t="b">
        <f>_xlfn.XLOOKUP(Table6[[#This Row],[Category No]],Table8[Category No],Table8[Chapter List],FALSE)</f>
        <v>0</v>
      </c>
      <c r="D414" s="51"/>
    </row>
    <row r="415" spans="1:4" x14ac:dyDescent="0.25">
      <c r="A415" s="50">
        <v>414</v>
      </c>
      <c r="B415" s="32"/>
      <c r="C415" s="32" t="b">
        <f>_xlfn.XLOOKUP(Table6[[#This Row],[Category No]],Table8[Category No],Table8[Chapter List],FALSE)</f>
        <v>0</v>
      </c>
      <c r="D415" s="51"/>
    </row>
    <row r="416" spans="1:4" x14ac:dyDescent="0.25">
      <c r="A416" s="50">
        <v>415</v>
      </c>
      <c r="B416" s="32"/>
      <c r="C416" s="32" t="b">
        <f>_xlfn.XLOOKUP(Table6[[#This Row],[Category No]],Table8[Category No],Table8[Chapter List],FALSE)</f>
        <v>0</v>
      </c>
      <c r="D416" s="51"/>
    </row>
    <row r="417" spans="1:4" x14ac:dyDescent="0.25">
      <c r="A417" s="50">
        <v>416</v>
      </c>
      <c r="B417" s="32"/>
      <c r="C417" s="32" t="b">
        <f>_xlfn.XLOOKUP(Table6[[#This Row],[Category No]],Table8[Category No],Table8[Chapter List],FALSE)</f>
        <v>0</v>
      </c>
      <c r="D417" s="51"/>
    </row>
    <row r="418" spans="1:4" x14ac:dyDescent="0.25">
      <c r="A418" s="50">
        <v>417</v>
      </c>
      <c r="B418" s="32"/>
      <c r="C418" s="32" t="b">
        <f>_xlfn.XLOOKUP(Table6[[#This Row],[Category No]],Table8[Category No],Table8[Chapter List],FALSE)</f>
        <v>0</v>
      </c>
      <c r="D418" s="51"/>
    </row>
    <row r="419" spans="1:4" x14ac:dyDescent="0.25">
      <c r="A419" s="50">
        <v>418</v>
      </c>
      <c r="B419" s="32"/>
      <c r="C419" s="32" t="b">
        <f>_xlfn.XLOOKUP(Table6[[#This Row],[Category No]],Table8[Category No],Table8[Chapter List],FALSE)</f>
        <v>0</v>
      </c>
      <c r="D419" s="51"/>
    </row>
    <row r="420" spans="1:4" x14ac:dyDescent="0.25">
      <c r="A420" s="50">
        <v>419</v>
      </c>
      <c r="B420" s="32"/>
      <c r="C420" s="32" t="b">
        <f>_xlfn.XLOOKUP(Table6[[#This Row],[Category No]],Table8[Category No],Table8[Chapter List],FALSE)</f>
        <v>0</v>
      </c>
      <c r="D420" s="51"/>
    </row>
    <row r="421" spans="1:4" x14ac:dyDescent="0.25">
      <c r="A421" s="50">
        <v>420</v>
      </c>
      <c r="B421" s="32"/>
      <c r="C421" s="32" t="b">
        <f>_xlfn.XLOOKUP(Table6[[#This Row],[Category No]],Table8[Category No],Table8[Chapter List],FALSE)</f>
        <v>0</v>
      </c>
      <c r="D421" s="51"/>
    </row>
    <row r="422" spans="1:4" x14ac:dyDescent="0.25">
      <c r="A422" s="50">
        <v>421</v>
      </c>
      <c r="B422" s="32"/>
      <c r="C422" s="32" t="b">
        <f>_xlfn.XLOOKUP(Table6[[#This Row],[Category No]],Table8[Category No],Table8[Chapter List],FALSE)</f>
        <v>0</v>
      </c>
      <c r="D422" s="51"/>
    </row>
    <row r="423" spans="1:4" x14ac:dyDescent="0.25">
      <c r="A423" s="50">
        <v>422</v>
      </c>
      <c r="B423" s="32"/>
      <c r="C423" s="32" t="b">
        <f>_xlfn.XLOOKUP(Table6[[#This Row],[Category No]],Table8[Category No],Table8[Chapter List],FALSE)</f>
        <v>0</v>
      </c>
      <c r="D423" s="51"/>
    </row>
    <row r="424" spans="1:4" x14ac:dyDescent="0.25">
      <c r="A424" s="50">
        <v>423</v>
      </c>
      <c r="B424" s="32"/>
      <c r="C424" s="32" t="b">
        <f>_xlfn.XLOOKUP(Table6[[#This Row],[Category No]],Table8[Category No],Table8[Chapter List],FALSE)</f>
        <v>0</v>
      </c>
      <c r="D424" s="51"/>
    </row>
    <row r="425" spans="1:4" x14ac:dyDescent="0.25">
      <c r="A425" s="50">
        <v>424</v>
      </c>
      <c r="B425" s="32"/>
      <c r="C425" s="32" t="b">
        <f>_xlfn.XLOOKUP(Table6[[#This Row],[Category No]],Table8[Category No],Table8[Chapter List],FALSE)</f>
        <v>0</v>
      </c>
      <c r="D425" s="51"/>
    </row>
    <row r="426" spans="1:4" x14ac:dyDescent="0.25">
      <c r="A426" s="50">
        <v>425</v>
      </c>
      <c r="B426" s="32"/>
      <c r="C426" s="32" t="b">
        <f>_xlfn.XLOOKUP(Table6[[#This Row],[Category No]],Table8[Category No],Table8[Chapter List],FALSE)</f>
        <v>0</v>
      </c>
      <c r="D426" s="51"/>
    </row>
    <row r="427" spans="1:4" x14ac:dyDescent="0.25">
      <c r="A427" s="50">
        <v>426</v>
      </c>
      <c r="B427" s="32"/>
      <c r="C427" s="32" t="b">
        <f>_xlfn.XLOOKUP(Table6[[#This Row],[Category No]],Table8[Category No],Table8[Chapter List],FALSE)</f>
        <v>0</v>
      </c>
      <c r="D427" s="51"/>
    </row>
    <row r="428" spans="1:4" x14ac:dyDescent="0.25">
      <c r="A428" s="50">
        <v>427</v>
      </c>
      <c r="B428" s="32"/>
      <c r="C428" s="32" t="b">
        <f>_xlfn.XLOOKUP(Table6[[#This Row],[Category No]],Table8[Category No],Table8[Chapter List],FALSE)</f>
        <v>0</v>
      </c>
      <c r="D428" s="51"/>
    </row>
    <row r="429" spans="1:4" x14ac:dyDescent="0.25">
      <c r="A429" s="50">
        <v>428</v>
      </c>
      <c r="B429" s="32"/>
      <c r="C429" s="32" t="b">
        <f>_xlfn.XLOOKUP(Table6[[#This Row],[Category No]],Table8[Category No],Table8[Chapter List],FALSE)</f>
        <v>0</v>
      </c>
      <c r="D429" s="51"/>
    </row>
    <row r="430" spans="1:4" x14ac:dyDescent="0.25">
      <c r="A430" s="50">
        <v>429</v>
      </c>
      <c r="B430" s="32"/>
      <c r="C430" s="32" t="b">
        <f>_xlfn.XLOOKUP(Table6[[#This Row],[Category No]],Table8[Category No],Table8[Chapter List],FALSE)</f>
        <v>0</v>
      </c>
      <c r="D430" s="51"/>
    </row>
    <row r="431" spans="1:4" x14ac:dyDescent="0.25">
      <c r="A431" s="50">
        <v>430</v>
      </c>
      <c r="B431" s="32"/>
      <c r="C431" s="32" t="b">
        <f>_xlfn.XLOOKUP(Table6[[#This Row],[Category No]],Table8[Category No],Table8[Chapter List],FALSE)</f>
        <v>0</v>
      </c>
      <c r="D431" s="51"/>
    </row>
    <row r="432" spans="1:4" x14ac:dyDescent="0.25">
      <c r="A432" s="50">
        <v>431</v>
      </c>
      <c r="B432" s="32"/>
      <c r="C432" s="32" t="b">
        <f>_xlfn.XLOOKUP(Table6[[#This Row],[Category No]],Table8[Category No],Table8[Chapter List],FALSE)</f>
        <v>0</v>
      </c>
      <c r="D432" s="51"/>
    </row>
    <row r="433" spans="1:4" x14ac:dyDescent="0.25">
      <c r="A433" s="50">
        <v>432</v>
      </c>
      <c r="B433" s="32"/>
      <c r="C433" s="32" t="b">
        <f>_xlfn.XLOOKUP(Table6[[#This Row],[Category No]],Table8[Category No],Table8[Chapter List],FALSE)</f>
        <v>0</v>
      </c>
      <c r="D433" s="51"/>
    </row>
    <row r="434" spans="1:4" x14ac:dyDescent="0.25">
      <c r="A434" s="50">
        <v>433</v>
      </c>
      <c r="B434" s="32"/>
      <c r="C434" s="32" t="b">
        <f>_xlfn.XLOOKUP(Table6[[#This Row],[Category No]],Table8[Category No],Table8[Chapter List],FALSE)</f>
        <v>0</v>
      </c>
      <c r="D434" s="51"/>
    </row>
    <row r="435" spans="1:4" x14ac:dyDescent="0.25">
      <c r="A435" s="50">
        <v>434</v>
      </c>
      <c r="B435" s="32"/>
      <c r="C435" s="32" t="b">
        <f>_xlfn.XLOOKUP(Table6[[#This Row],[Category No]],Table8[Category No],Table8[Chapter List],FALSE)</f>
        <v>0</v>
      </c>
      <c r="D435" s="51"/>
    </row>
    <row r="436" spans="1:4" x14ac:dyDescent="0.25">
      <c r="A436" s="50">
        <v>435</v>
      </c>
      <c r="B436" s="32"/>
      <c r="C436" s="32" t="b">
        <f>_xlfn.XLOOKUP(Table6[[#This Row],[Category No]],Table8[Category No],Table8[Chapter List],FALSE)</f>
        <v>0</v>
      </c>
      <c r="D436" s="51"/>
    </row>
    <row r="437" spans="1:4" x14ac:dyDescent="0.25">
      <c r="A437" s="50">
        <v>436</v>
      </c>
      <c r="B437" s="32"/>
      <c r="C437" s="32" t="b">
        <f>_xlfn.XLOOKUP(Table6[[#This Row],[Category No]],Table8[Category No],Table8[Chapter List],FALSE)</f>
        <v>0</v>
      </c>
      <c r="D437" s="51"/>
    </row>
    <row r="438" spans="1:4" x14ac:dyDescent="0.25">
      <c r="A438" s="50">
        <v>437</v>
      </c>
      <c r="B438" s="32"/>
      <c r="C438" s="32" t="b">
        <f>_xlfn.XLOOKUP(Table6[[#This Row],[Category No]],Table8[Category No],Table8[Chapter List],FALSE)</f>
        <v>0</v>
      </c>
      <c r="D438" s="51"/>
    </row>
    <row r="439" spans="1:4" x14ac:dyDescent="0.25">
      <c r="A439" s="50">
        <v>438</v>
      </c>
      <c r="B439" s="32"/>
      <c r="C439" s="32" t="b">
        <f>_xlfn.XLOOKUP(Table6[[#This Row],[Category No]],Table8[Category No],Table8[Chapter List],FALSE)</f>
        <v>0</v>
      </c>
      <c r="D439" s="51"/>
    </row>
    <row r="440" spans="1:4" x14ac:dyDescent="0.25">
      <c r="A440" s="50">
        <v>439</v>
      </c>
      <c r="B440" s="32"/>
      <c r="C440" s="32" t="b">
        <f>_xlfn.XLOOKUP(Table6[[#This Row],[Category No]],Table8[Category No],Table8[Chapter List],FALSE)</f>
        <v>0</v>
      </c>
      <c r="D440" s="51"/>
    </row>
    <row r="441" spans="1:4" x14ac:dyDescent="0.25">
      <c r="A441" s="50">
        <v>440</v>
      </c>
      <c r="B441" s="32"/>
      <c r="C441" s="32" t="b">
        <f>_xlfn.XLOOKUP(Table6[[#This Row],[Category No]],Table8[Category No],Table8[Chapter List],FALSE)</f>
        <v>0</v>
      </c>
      <c r="D441" s="51"/>
    </row>
    <row r="442" spans="1:4" x14ac:dyDescent="0.25">
      <c r="A442" s="50">
        <v>441</v>
      </c>
      <c r="B442" s="32"/>
      <c r="C442" s="32" t="b">
        <f>_xlfn.XLOOKUP(Table6[[#This Row],[Category No]],Table8[Category No],Table8[Chapter List],FALSE)</f>
        <v>0</v>
      </c>
      <c r="D442" s="51"/>
    </row>
    <row r="443" spans="1:4" x14ac:dyDescent="0.25">
      <c r="A443" s="50">
        <v>442</v>
      </c>
      <c r="B443" s="32"/>
      <c r="C443" s="32" t="b">
        <f>_xlfn.XLOOKUP(Table6[[#This Row],[Category No]],Table8[Category No],Table8[Chapter List],FALSE)</f>
        <v>0</v>
      </c>
      <c r="D443" s="51"/>
    </row>
    <row r="444" spans="1:4" x14ac:dyDescent="0.25">
      <c r="A444" s="50">
        <v>443</v>
      </c>
      <c r="B444" s="32"/>
      <c r="C444" s="32" t="b">
        <f>_xlfn.XLOOKUP(Table6[[#This Row],[Category No]],Table8[Category No],Table8[Chapter List],FALSE)</f>
        <v>0</v>
      </c>
      <c r="D444" s="51"/>
    </row>
    <row r="445" spans="1:4" x14ac:dyDescent="0.25">
      <c r="A445" s="50">
        <v>444</v>
      </c>
      <c r="B445" s="32"/>
      <c r="C445" s="32" t="b">
        <f>_xlfn.XLOOKUP(Table6[[#This Row],[Category No]],Table8[Category No],Table8[Chapter List],FALSE)</f>
        <v>0</v>
      </c>
      <c r="D445" s="51"/>
    </row>
    <row r="446" spans="1:4" x14ac:dyDescent="0.25">
      <c r="A446" s="50">
        <v>445</v>
      </c>
      <c r="B446" s="32"/>
      <c r="C446" s="32" t="b">
        <f>_xlfn.XLOOKUP(Table6[[#This Row],[Category No]],Table8[Category No],Table8[Chapter List],FALSE)</f>
        <v>0</v>
      </c>
      <c r="D446" s="51"/>
    </row>
    <row r="447" spans="1:4" x14ac:dyDescent="0.25">
      <c r="A447" s="50">
        <v>446</v>
      </c>
      <c r="B447" s="32"/>
      <c r="C447" s="32" t="b">
        <f>_xlfn.XLOOKUP(Table6[[#This Row],[Category No]],Table8[Category No],Table8[Chapter List],FALSE)</f>
        <v>0</v>
      </c>
      <c r="D447" s="51"/>
    </row>
    <row r="448" spans="1:4" x14ac:dyDescent="0.25">
      <c r="A448" s="50">
        <v>447</v>
      </c>
      <c r="B448" s="32"/>
      <c r="C448" s="32" t="b">
        <f>_xlfn.XLOOKUP(Table6[[#This Row],[Category No]],Table8[Category No],Table8[Chapter List],FALSE)</f>
        <v>0</v>
      </c>
      <c r="D448" s="51"/>
    </row>
    <row r="449" spans="1:4" x14ac:dyDescent="0.25">
      <c r="A449" s="50">
        <v>448</v>
      </c>
      <c r="B449" s="32"/>
      <c r="C449" s="32" t="b">
        <f>_xlfn.XLOOKUP(Table6[[#This Row],[Category No]],Table8[Category No],Table8[Chapter List],FALSE)</f>
        <v>0</v>
      </c>
      <c r="D449" s="51"/>
    </row>
    <row r="450" spans="1:4" x14ac:dyDescent="0.25">
      <c r="A450" s="50">
        <v>449</v>
      </c>
      <c r="B450" s="32"/>
      <c r="C450" s="32" t="b">
        <f>_xlfn.XLOOKUP(Table6[[#This Row],[Category No]],Table8[Category No],Table8[Chapter List],FALSE)</f>
        <v>0</v>
      </c>
      <c r="D450" s="51"/>
    </row>
    <row r="451" spans="1:4" x14ac:dyDescent="0.25">
      <c r="A451" s="50">
        <v>450</v>
      </c>
      <c r="B451" s="32"/>
      <c r="C451" s="32" t="b">
        <f>_xlfn.XLOOKUP(Table6[[#This Row],[Category No]],Table8[Category No],Table8[Chapter List],FALSE)</f>
        <v>0</v>
      </c>
      <c r="D451" s="51"/>
    </row>
    <row r="452" spans="1:4" x14ac:dyDescent="0.25">
      <c r="A452" s="50">
        <v>451</v>
      </c>
      <c r="B452" s="32"/>
      <c r="C452" s="32" t="b">
        <f>_xlfn.XLOOKUP(Table6[[#This Row],[Category No]],Table8[Category No],Table8[Chapter List],FALSE)</f>
        <v>0</v>
      </c>
      <c r="D452" s="51"/>
    </row>
    <row r="453" spans="1:4" x14ac:dyDescent="0.25">
      <c r="A453" s="50">
        <v>452</v>
      </c>
      <c r="B453" s="32"/>
      <c r="C453" s="32" t="b">
        <f>_xlfn.XLOOKUP(Table6[[#This Row],[Category No]],Table8[Category No],Table8[Chapter List],FALSE)</f>
        <v>0</v>
      </c>
      <c r="D453" s="51"/>
    </row>
    <row r="454" spans="1:4" x14ac:dyDescent="0.25">
      <c r="A454" s="50">
        <v>453</v>
      </c>
      <c r="B454" s="32"/>
      <c r="C454" s="32" t="b">
        <f>_xlfn.XLOOKUP(Table6[[#This Row],[Category No]],Table8[Category No],Table8[Chapter List],FALSE)</f>
        <v>0</v>
      </c>
      <c r="D454" s="51"/>
    </row>
    <row r="455" spans="1:4" x14ac:dyDescent="0.25">
      <c r="A455" s="50">
        <v>454</v>
      </c>
      <c r="B455" s="32"/>
      <c r="C455" s="32" t="b">
        <f>_xlfn.XLOOKUP(Table6[[#This Row],[Category No]],Table8[Category No],Table8[Chapter List],FALSE)</f>
        <v>0</v>
      </c>
      <c r="D455" s="51"/>
    </row>
    <row r="456" spans="1:4" x14ac:dyDescent="0.25">
      <c r="A456" s="50">
        <v>455</v>
      </c>
      <c r="B456" s="32"/>
      <c r="C456" s="32" t="b">
        <f>_xlfn.XLOOKUP(Table6[[#This Row],[Category No]],Table8[Category No],Table8[Chapter List],FALSE)</f>
        <v>0</v>
      </c>
      <c r="D456" s="51"/>
    </row>
    <row r="457" spans="1:4" x14ac:dyDescent="0.25">
      <c r="A457" s="50">
        <v>456</v>
      </c>
      <c r="B457" s="32"/>
      <c r="C457" s="32" t="b">
        <f>_xlfn.XLOOKUP(Table6[[#This Row],[Category No]],Table8[Category No],Table8[Chapter List],FALSE)</f>
        <v>0</v>
      </c>
      <c r="D457" s="51"/>
    </row>
    <row r="458" spans="1:4" x14ac:dyDescent="0.25">
      <c r="A458" s="50">
        <v>457</v>
      </c>
      <c r="B458" s="32"/>
      <c r="C458" s="32" t="b">
        <f>_xlfn.XLOOKUP(Table6[[#This Row],[Category No]],Table8[Category No],Table8[Chapter List],FALSE)</f>
        <v>0</v>
      </c>
      <c r="D458" s="51"/>
    </row>
    <row r="459" spans="1:4" x14ac:dyDescent="0.25">
      <c r="A459" s="50">
        <v>458</v>
      </c>
      <c r="B459" s="32"/>
      <c r="C459" s="32" t="b">
        <f>_xlfn.XLOOKUP(Table6[[#This Row],[Category No]],Table8[Category No],Table8[Chapter List],FALSE)</f>
        <v>0</v>
      </c>
      <c r="D459" s="51"/>
    </row>
    <row r="460" spans="1:4" x14ac:dyDescent="0.25">
      <c r="A460" s="50">
        <v>459</v>
      </c>
      <c r="B460" s="32"/>
      <c r="C460" s="32" t="b">
        <f>_xlfn.XLOOKUP(Table6[[#This Row],[Category No]],Table8[Category No],Table8[Chapter List],FALSE)</f>
        <v>0</v>
      </c>
      <c r="D460" s="51"/>
    </row>
    <row r="461" spans="1:4" x14ac:dyDescent="0.25">
      <c r="A461" s="50">
        <v>460</v>
      </c>
      <c r="B461" s="32"/>
      <c r="C461" s="32" t="b">
        <f>_xlfn.XLOOKUP(Table6[[#This Row],[Category No]],Table8[Category No],Table8[Chapter List],FALSE)</f>
        <v>0</v>
      </c>
      <c r="D461" s="51"/>
    </row>
    <row r="462" spans="1:4" x14ac:dyDescent="0.25">
      <c r="A462" s="50">
        <v>461</v>
      </c>
      <c r="B462" s="32"/>
      <c r="C462" s="32" t="b">
        <f>_xlfn.XLOOKUP(Table6[[#This Row],[Category No]],Table8[Category No],Table8[Chapter List],FALSE)</f>
        <v>0</v>
      </c>
      <c r="D462" s="51"/>
    </row>
    <row r="463" spans="1:4" x14ac:dyDescent="0.25">
      <c r="A463" s="50">
        <v>462</v>
      </c>
      <c r="B463" s="32"/>
      <c r="C463" s="32" t="b">
        <f>_xlfn.XLOOKUP(Table6[[#This Row],[Category No]],Table8[Category No],Table8[Chapter List],FALSE)</f>
        <v>0</v>
      </c>
      <c r="D463" s="51"/>
    </row>
    <row r="464" spans="1:4" x14ac:dyDescent="0.25">
      <c r="A464" s="50">
        <v>463</v>
      </c>
      <c r="B464" s="32"/>
      <c r="C464" s="32" t="b">
        <f>_xlfn.XLOOKUP(Table6[[#This Row],[Category No]],Table8[Category No],Table8[Chapter List],FALSE)</f>
        <v>0</v>
      </c>
      <c r="D464" s="51"/>
    </row>
    <row r="465" spans="1:4" x14ac:dyDescent="0.25">
      <c r="A465" s="50">
        <v>464</v>
      </c>
      <c r="B465" s="32"/>
      <c r="C465" s="32" t="b">
        <f>_xlfn.XLOOKUP(Table6[[#This Row],[Category No]],Table8[Category No],Table8[Chapter List],FALSE)</f>
        <v>0</v>
      </c>
      <c r="D465" s="51"/>
    </row>
    <row r="466" spans="1:4" x14ac:dyDescent="0.25">
      <c r="A466" s="50">
        <v>465</v>
      </c>
      <c r="B466" s="32"/>
      <c r="C466" s="32" t="b">
        <f>_xlfn.XLOOKUP(Table6[[#This Row],[Category No]],Table8[Category No],Table8[Chapter List],FALSE)</f>
        <v>0</v>
      </c>
      <c r="D466" s="51"/>
    </row>
    <row r="467" spans="1:4" x14ac:dyDescent="0.25">
      <c r="A467" s="50">
        <v>466</v>
      </c>
      <c r="B467" s="32"/>
      <c r="C467" s="32" t="b">
        <f>_xlfn.XLOOKUP(Table6[[#This Row],[Category No]],Table8[Category No],Table8[Chapter List],FALSE)</f>
        <v>0</v>
      </c>
      <c r="D467" s="51"/>
    </row>
    <row r="468" spans="1:4" x14ac:dyDescent="0.25">
      <c r="A468" s="50">
        <v>467</v>
      </c>
      <c r="B468" s="32"/>
      <c r="C468" s="32" t="b">
        <f>_xlfn.XLOOKUP(Table6[[#This Row],[Category No]],Table8[Category No],Table8[Chapter List],FALSE)</f>
        <v>0</v>
      </c>
      <c r="D468" s="51"/>
    </row>
    <row r="469" spans="1:4" x14ac:dyDescent="0.25">
      <c r="A469" s="50">
        <v>468</v>
      </c>
      <c r="B469" s="32"/>
      <c r="C469" s="32" t="b">
        <f>_xlfn.XLOOKUP(Table6[[#This Row],[Category No]],Table8[Category No],Table8[Chapter List],FALSE)</f>
        <v>0</v>
      </c>
      <c r="D469" s="51"/>
    </row>
    <row r="470" spans="1:4" x14ac:dyDescent="0.25">
      <c r="A470" s="50">
        <v>469</v>
      </c>
      <c r="B470" s="32"/>
      <c r="C470" s="32" t="b">
        <f>_xlfn.XLOOKUP(Table6[[#This Row],[Category No]],Table8[Category No],Table8[Chapter List],FALSE)</f>
        <v>0</v>
      </c>
      <c r="D470" s="51"/>
    </row>
    <row r="471" spans="1:4" x14ac:dyDescent="0.25">
      <c r="A471" s="50">
        <v>470</v>
      </c>
      <c r="B471" s="32"/>
      <c r="C471" s="32" t="b">
        <f>_xlfn.XLOOKUP(Table6[[#This Row],[Category No]],Table8[Category No],Table8[Chapter List],FALSE)</f>
        <v>0</v>
      </c>
      <c r="D471" s="51"/>
    </row>
    <row r="472" spans="1:4" x14ac:dyDescent="0.25">
      <c r="A472" s="50">
        <v>471</v>
      </c>
      <c r="B472" s="32"/>
      <c r="C472" s="32" t="b">
        <f>_xlfn.XLOOKUP(Table6[[#This Row],[Category No]],Table8[Category No],Table8[Chapter List],FALSE)</f>
        <v>0</v>
      </c>
      <c r="D472" s="51"/>
    </row>
    <row r="473" spans="1:4" x14ac:dyDescent="0.25">
      <c r="A473" s="50">
        <v>472</v>
      </c>
      <c r="B473" s="32"/>
      <c r="C473" s="32" t="b">
        <f>_xlfn.XLOOKUP(Table6[[#This Row],[Category No]],Table8[Category No],Table8[Chapter List],FALSE)</f>
        <v>0</v>
      </c>
      <c r="D473" s="51"/>
    </row>
    <row r="474" spans="1:4" x14ac:dyDescent="0.25">
      <c r="A474" s="50">
        <v>473</v>
      </c>
      <c r="B474" s="32"/>
      <c r="C474" s="32" t="b">
        <f>_xlfn.XLOOKUP(Table6[[#This Row],[Category No]],Table8[Category No],Table8[Chapter List],FALSE)</f>
        <v>0</v>
      </c>
      <c r="D474" s="51"/>
    </row>
    <row r="475" spans="1:4" x14ac:dyDescent="0.25">
      <c r="A475" s="50">
        <v>474</v>
      </c>
      <c r="B475" s="32"/>
      <c r="C475" s="32" t="b">
        <f>_xlfn.XLOOKUP(Table6[[#This Row],[Category No]],Table8[Category No],Table8[Chapter List],FALSE)</f>
        <v>0</v>
      </c>
      <c r="D475" s="51"/>
    </row>
    <row r="476" spans="1:4" x14ac:dyDescent="0.25">
      <c r="A476" s="50">
        <v>475</v>
      </c>
      <c r="B476" s="32"/>
      <c r="C476" s="32" t="b">
        <f>_xlfn.XLOOKUP(Table6[[#This Row],[Category No]],Table8[Category No],Table8[Chapter List],FALSE)</f>
        <v>0</v>
      </c>
      <c r="D476" s="51"/>
    </row>
    <row r="477" spans="1:4" x14ac:dyDescent="0.25">
      <c r="A477" s="50">
        <v>476</v>
      </c>
      <c r="B477" s="32"/>
      <c r="C477" s="32" t="b">
        <f>_xlfn.XLOOKUP(Table6[[#This Row],[Category No]],Table8[Category No],Table8[Chapter List],FALSE)</f>
        <v>0</v>
      </c>
      <c r="D477" s="51"/>
    </row>
    <row r="478" spans="1:4" x14ac:dyDescent="0.25">
      <c r="A478" s="50">
        <v>477</v>
      </c>
      <c r="B478" s="32"/>
      <c r="C478" s="32" t="b">
        <f>_xlfn.XLOOKUP(Table6[[#This Row],[Category No]],Table8[Category No],Table8[Chapter List],FALSE)</f>
        <v>0</v>
      </c>
      <c r="D478" s="51"/>
    </row>
    <row r="479" spans="1:4" x14ac:dyDescent="0.25">
      <c r="A479" s="50">
        <v>478</v>
      </c>
      <c r="B479" s="32"/>
      <c r="C479" s="32" t="b">
        <f>_xlfn.XLOOKUP(Table6[[#This Row],[Category No]],Table8[Category No],Table8[Chapter List],FALSE)</f>
        <v>0</v>
      </c>
      <c r="D479" s="51"/>
    </row>
    <row r="480" spans="1:4" x14ac:dyDescent="0.25">
      <c r="A480" s="50">
        <v>479</v>
      </c>
      <c r="B480" s="32"/>
      <c r="C480" s="32" t="b">
        <f>_xlfn.XLOOKUP(Table6[[#This Row],[Category No]],Table8[Category No],Table8[Chapter List],FALSE)</f>
        <v>0</v>
      </c>
      <c r="D480" s="51"/>
    </row>
    <row r="481" spans="1:4" x14ac:dyDescent="0.25">
      <c r="A481" s="50">
        <v>480</v>
      </c>
      <c r="B481" s="32"/>
      <c r="C481" s="32" t="b">
        <f>_xlfn.XLOOKUP(Table6[[#This Row],[Category No]],Table8[Category No],Table8[Chapter List],FALSE)</f>
        <v>0</v>
      </c>
      <c r="D481" s="51"/>
    </row>
    <row r="482" spans="1:4" x14ac:dyDescent="0.25">
      <c r="A482" s="50">
        <v>481</v>
      </c>
      <c r="B482" s="32"/>
      <c r="C482" s="32" t="b">
        <f>_xlfn.XLOOKUP(Table6[[#This Row],[Category No]],Table8[Category No],Table8[Chapter List],FALSE)</f>
        <v>0</v>
      </c>
      <c r="D482" s="51"/>
    </row>
    <row r="483" spans="1:4" x14ac:dyDescent="0.25">
      <c r="A483" s="50">
        <v>482</v>
      </c>
      <c r="B483" s="32"/>
      <c r="C483" s="32" t="b">
        <f>_xlfn.XLOOKUP(Table6[[#This Row],[Category No]],Table8[Category No],Table8[Chapter List],FALSE)</f>
        <v>0</v>
      </c>
      <c r="D483" s="51"/>
    </row>
    <row r="484" spans="1:4" x14ac:dyDescent="0.25">
      <c r="A484" s="50">
        <v>483</v>
      </c>
      <c r="B484" s="32"/>
      <c r="C484" s="32" t="b">
        <f>_xlfn.XLOOKUP(Table6[[#This Row],[Category No]],Table8[Category No],Table8[Chapter List],FALSE)</f>
        <v>0</v>
      </c>
      <c r="D484" s="51"/>
    </row>
    <row r="485" spans="1:4" x14ac:dyDescent="0.25">
      <c r="A485" s="50">
        <v>484</v>
      </c>
      <c r="B485" s="32"/>
      <c r="C485" s="32" t="b">
        <f>_xlfn.XLOOKUP(Table6[[#This Row],[Category No]],Table8[Category No],Table8[Chapter List],FALSE)</f>
        <v>0</v>
      </c>
      <c r="D485" s="51"/>
    </row>
    <row r="486" spans="1:4" x14ac:dyDescent="0.25">
      <c r="A486" s="50">
        <v>485</v>
      </c>
      <c r="B486" s="32"/>
      <c r="C486" s="32" t="b">
        <f>_xlfn.XLOOKUP(Table6[[#This Row],[Category No]],Table8[Category No],Table8[Chapter List],FALSE)</f>
        <v>0</v>
      </c>
      <c r="D486" s="51"/>
    </row>
    <row r="487" spans="1:4" x14ac:dyDescent="0.25">
      <c r="A487" s="50">
        <v>486</v>
      </c>
      <c r="B487" s="32"/>
      <c r="C487" s="32" t="b">
        <f>_xlfn.XLOOKUP(Table6[[#This Row],[Category No]],Table8[Category No],Table8[Chapter List],FALSE)</f>
        <v>0</v>
      </c>
      <c r="D487" s="51"/>
    </row>
    <row r="488" spans="1:4" x14ac:dyDescent="0.25">
      <c r="A488" s="50">
        <v>487</v>
      </c>
      <c r="B488" s="32"/>
      <c r="C488" s="32" t="b">
        <f>_xlfn.XLOOKUP(Table6[[#This Row],[Category No]],Table8[Category No],Table8[Chapter List],FALSE)</f>
        <v>0</v>
      </c>
      <c r="D488" s="51"/>
    </row>
    <row r="489" spans="1:4" x14ac:dyDescent="0.25">
      <c r="A489" s="50">
        <v>488</v>
      </c>
      <c r="B489" s="32"/>
      <c r="C489" s="32" t="b">
        <f>_xlfn.XLOOKUP(Table6[[#This Row],[Category No]],Table8[Category No],Table8[Chapter List],FALSE)</f>
        <v>0</v>
      </c>
      <c r="D489" s="51"/>
    </row>
    <row r="490" spans="1:4" x14ac:dyDescent="0.25">
      <c r="A490" s="50">
        <v>489</v>
      </c>
      <c r="B490" s="32"/>
      <c r="C490" s="32" t="b">
        <f>_xlfn.XLOOKUP(Table6[[#This Row],[Category No]],Table8[Category No],Table8[Chapter List],FALSE)</f>
        <v>0</v>
      </c>
      <c r="D490" s="51"/>
    </row>
    <row r="491" spans="1:4" x14ac:dyDescent="0.25">
      <c r="A491" s="50">
        <v>490</v>
      </c>
      <c r="B491" s="32"/>
      <c r="C491" s="32" t="b">
        <f>_xlfn.XLOOKUP(Table6[[#This Row],[Category No]],Table8[Category No],Table8[Chapter List],FALSE)</f>
        <v>0</v>
      </c>
      <c r="D491" s="51"/>
    </row>
    <row r="492" spans="1:4" x14ac:dyDescent="0.25">
      <c r="A492" s="50">
        <v>491</v>
      </c>
      <c r="B492" s="32"/>
      <c r="C492" s="32" t="b">
        <f>_xlfn.XLOOKUP(Table6[[#This Row],[Category No]],Table8[Category No],Table8[Chapter List],FALSE)</f>
        <v>0</v>
      </c>
      <c r="D492" s="51"/>
    </row>
    <row r="493" spans="1:4" x14ac:dyDescent="0.25">
      <c r="A493" s="50">
        <v>492</v>
      </c>
      <c r="B493" s="32"/>
      <c r="C493" s="32" t="b">
        <f>_xlfn.XLOOKUP(Table6[[#This Row],[Category No]],Table8[Category No],Table8[Chapter List],FALSE)</f>
        <v>0</v>
      </c>
      <c r="D493" s="51"/>
    </row>
    <row r="494" spans="1:4" x14ac:dyDescent="0.25">
      <c r="A494" s="50">
        <v>493</v>
      </c>
      <c r="B494" s="32"/>
      <c r="C494" s="32" t="b">
        <f>_xlfn.XLOOKUP(Table6[[#This Row],[Category No]],Table8[Category No],Table8[Chapter List],FALSE)</f>
        <v>0</v>
      </c>
      <c r="D494" s="51"/>
    </row>
    <row r="495" spans="1:4" x14ac:dyDescent="0.25">
      <c r="A495" s="50">
        <v>494</v>
      </c>
      <c r="B495" s="32"/>
      <c r="C495" s="32" t="b">
        <f>_xlfn.XLOOKUP(Table6[[#This Row],[Category No]],Table8[Category No],Table8[Chapter List],FALSE)</f>
        <v>0</v>
      </c>
      <c r="D495" s="51"/>
    </row>
    <row r="496" spans="1:4" x14ac:dyDescent="0.25">
      <c r="A496" s="50">
        <v>495</v>
      </c>
      <c r="B496" s="32"/>
      <c r="C496" s="32" t="b">
        <f>_xlfn.XLOOKUP(Table6[[#This Row],[Category No]],Table8[Category No],Table8[Chapter List],FALSE)</f>
        <v>0</v>
      </c>
      <c r="D496" s="51"/>
    </row>
    <row r="497" spans="1:4" x14ac:dyDescent="0.25">
      <c r="A497" s="50">
        <v>496</v>
      </c>
      <c r="B497" s="32"/>
      <c r="C497" s="32" t="b">
        <f>_xlfn.XLOOKUP(Table6[[#This Row],[Category No]],Table8[Category No],Table8[Chapter List],FALSE)</f>
        <v>0</v>
      </c>
      <c r="D497" s="51"/>
    </row>
    <row r="498" spans="1:4" x14ac:dyDescent="0.25">
      <c r="A498" s="50">
        <v>497</v>
      </c>
      <c r="B498" s="32"/>
      <c r="C498" s="32" t="b">
        <f>_xlfn.XLOOKUP(Table6[[#This Row],[Category No]],Table8[Category No],Table8[Chapter List],FALSE)</f>
        <v>0</v>
      </c>
      <c r="D498" s="51"/>
    </row>
    <row r="499" spans="1:4" x14ac:dyDescent="0.25">
      <c r="A499" s="50">
        <v>498</v>
      </c>
      <c r="B499" s="32"/>
      <c r="C499" s="32" t="b">
        <f>_xlfn.XLOOKUP(Table6[[#This Row],[Category No]],Table8[Category No],Table8[Chapter List],FALSE)</f>
        <v>0</v>
      </c>
      <c r="D499" s="51"/>
    </row>
    <row r="500" spans="1:4" x14ac:dyDescent="0.25">
      <c r="A500" s="50">
        <v>499</v>
      </c>
      <c r="B500" s="32"/>
      <c r="C500" s="32" t="b">
        <f>_xlfn.XLOOKUP(Table6[[#This Row],[Category No]],Table8[Category No],Table8[Chapter List],FALSE)</f>
        <v>0</v>
      </c>
      <c r="D500" s="51"/>
    </row>
    <row r="501" spans="1:4" x14ac:dyDescent="0.25">
      <c r="A501" s="50">
        <v>500</v>
      </c>
      <c r="B501" s="32"/>
      <c r="C501" s="32" t="b">
        <f>_xlfn.XLOOKUP(Table6[[#This Row],[Category No]],Table8[Category No],Table8[Chapter List],FALSE)</f>
        <v>0</v>
      </c>
      <c r="D501" s="51"/>
    </row>
    <row r="502" spans="1:4" x14ac:dyDescent="0.25">
      <c r="A502" s="50">
        <v>501</v>
      </c>
      <c r="B502" s="32"/>
      <c r="C502" s="32" t="b">
        <f>_xlfn.XLOOKUP(Table6[[#This Row],[Category No]],Table8[Category No],Table8[Chapter List],FALSE)</f>
        <v>0</v>
      </c>
      <c r="D502" s="51"/>
    </row>
    <row r="503" spans="1:4" x14ac:dyDescent="0.25">
      <c r="A503" s="50">
        <v>502</v>
      </c>
      <c r="B503" s="32"/>
      <c r="C503" s="32" t="b">
        <f>_xlfn.XLOOKUP(Table6[[#This Row],[Category No]],Table8[Category No],Table8[Chapter List],FALSE)</f>
        <v>0</v>
      </c>
      <c r="D503" s="51"/>
    </row>
    <row r="504" spans="1:4" x14ac:dyDescent="0.25">
      <c r="A504" s="50">
        <v>503</v>
      </c>
      <c r="B504" s="32"/>
      <c r="C504" s="32" t="b">
        <f>_xlfn.XLOOKUP(Table6[[#This Row],[Category No]],Table8[Category No],Table8[Chapter List],FALSE)</f>
        <v>0</v>
      </c>
      <c r="D504" s="51"/>
    </row>
    <row r="505" spans="1:4" x14ac:dyDescent="0.25">
      <c r="A505" s="50">
        <v>504</v>
      </c>
      <c r="B505" s="32"/>
      <c r="C505" s="32" t="b">
        <f>_xlfn.XLOOKUP(Table6[[#This Row],[Category No]],Table8[Category No],Table8[Chapter List],FALSE)</f>
        <v>0</v>
      </c>
      <c r="D505" s="51"/>
    </row>
    <row r="506" spans="1:4" x14ac:dyDescent="0.25">
      <c r="A506" s="50">
        <v>505</v>
      </c>
      <c r="B506" s="32"/>
      <c r="C506" s="32" t="b">
        <f>_xlfn.XLOOKUP(Table6[[#This Row],[Category No]],Table8[Category No],Table8[Chapter List],FALSE)</f>
        <v>0</v>
      </c>
      <c r="D506" s="51"/>
    </row>
    <row r="507" spans="1:4" x14ac:dyDescent="0.25">
      <c r="A507" s="50">
        <v>506</v>
      </c>
      <c r="B507" s="32"/>
      <c r="C507" s="32" t="b">
        <f>_xlfn.XLOOKUP(Table6[[#This Row],[Category No]],Table8[Category No],Table8[Chapter List],FALSE)</f>
        <v>0</v>
      </c>
      <c r="D507" s="51"/>
    </row>
    <row r="508" spans="1:4" x14ac:dyDescent="0.25">
      <c r="A508" s="50">
        <v>507</v>
      </c>
      <c r="B508" s="32"/>
      <c r="C508" s="32" t="b">
        <f>_xlfn.XLOOKUP(Table6[[#This Row],[Category No]],Table8[Category No],Table8[Chapter List],FALSE)</f>
        <v>0</v>
      </c>
      <c r="D508" s="51"/>
    </row>
    <row r="509" spans="1:4" x14ac:dyDescent="0.25">
      <c r="A509" s="50">
        <v>508</v>
      </c>
      <c r="B509" s="32"/>
      <c r="C509" s="32" t="b">
        <f>_xlfn.XLOOKUP(Table6[[#This Row],[Category No]],Table8[Category No],Table8[Chapter List],FALSE)</f>
        <v>0</v>
      </c>
      <c r="D509" s="51"/>
    </row>
    <row r="510" spans="1:4" x14ac:dyDescent="0.25">
      <c r="A510" s="50">
        <v>509</v>
      </c>
      <c r="B510" s="32"/>
      <c r="C510" s="32" t="b">
        <f>_xlfn.XLOOKUP(Table6[[#This Row],[Category No]],Table8[Category No],Table8[Chapter List],FALSE)</f>
        <v>0</v>
      </c>
      <c r="D510" s="51"/>
    </row>
    <row r="511" spans="1:4" x14ac:dyDescent="0.25">
      <c r="A511" s="50">
        <v>510</v>
      </c>
      <c r="B511" s="32"/>
      <c r="C511" s="32" t="b">
        <f>_xlfn.XLOOKUP(Table6[[#This Row],[Category No]],Table8[Category No],Table8[Chapter List],FALSE)</f>
        <v>0</v>
      </c>
      <c r="D511" s="51"/>
    </row>
    <row r="512" spans="1:4" x14ac:dyDescent="0.25">
      <c r="A512" s="50">
        <v>511</v>
      </c>
      <c r="B512" s="32"/>
      <c r="C512" s="32" t="b">
        <f>_xlfn.XLOOKUP(Table6[[#This Row],[Category No]],Table8[Category No],Table8[Chapter List],FALSE)</f>
        <v>0</v>
      </c>
      <c r="D512" s="51"/>
    </row>
    <row r="513" spans="1:4" x14ac:dyDescent="0.25">
      <c r="A513" s="50">
        <v>512</v>
      </c>
      <c r="B513" s="32"/>
      <c r="C513" s="32" t="b">
        <f>_xlfn.XLOOKUP(Table6[[#This Row],[Category No]],Table8[Category No],Table8[Chapter List],FALSE)</f>
        <v>0</v>
      </c>
      <c r="D513" s="51"/>
    </row>
    <row r="514" spans="1:4" x14ac:dyDescent="0.25">
      <c r="A514" s="50">
        <v>513</v>
      </c>
      <c r="B514" s="32"/>
      <c r="C514" s="32" t="b">
        <f>_xlfn.XLOOKUP(Table6[[#This Row],[Category No]],Table8[Category No],Table8[Chapter List],FALSE)</f>
        <v>0</v>
      </c>
      <c r="D514" s="51"/>
    </row>
    <row r="515" spans="1:4" x14ac:dyDescent="0.25">
      <c r="A515" s="50">
        <v>514</v>
      </c>
      <c r="B515" s="32"/>
      <c r="C515" s="32" t="b">
        <f>_xlfn.XLOOKUP(Table6[[#This Row],[Category No]],Table8[Category No],Table8[Chapter List],FALSE)</f>
        <v>0</v>
      </c>
      <c r="D515" s="51"/>
    </row>
    <row r="516" spans="1:4" x14ac:dyDescent="0.25">
      <c r="A516" s="50">
        <v>515</v>
      </c>
      <c r="B516" s="32"/>
      <c r="C516" s="32" t="b">
        <f>_xlfn.XLOOKUP(Table6[[#This Row],[Category No]],Table8[Category No],Table8[Chapter List],FALSE)</f>
        <v>0</v>
      </c>
      <c r="D516" s="51"/>
    </row>
    <row r="517" spans="1:4" x14ac:dyDescent="0.25">
      <c r="A517" s="50">
        <v>516</v>
      </c>
      <c r="B517" s="32"/>
      <c r="C517" s="32" t="b">
        <f>_xlfn.XLOOKUP(Table6[[#This Row],[Category No]],Table8[Category No],Table8[Chapter List],FALSE)</f>
        <v>0</v>
      </c>
      <c r="D517" s="51"/>
    </row>
    <row r="518" spans="1:4" x14ac:dyDescent="0.25">
      <c r="A518" s="50">
        <v>517</v>
      </c>
      <c r="B518" s="32"/>
      <c r="C518" s="32" t="b">
        <f>_xlfn.XLOOKUP(Table6[[#This Row],[Category No]],Table8[Category No],Table8[Chapter List],FALSE)</f>
        <v>0</v>
      </c>
      <c r="D518" s="51"/>
    </row>
    <row r="519" spans="1:4" x14ac:dyDescent="0.25">
      <c r="A519" s="50">
        <v>518</v>
      </c>
      <c r="B519" s="32"/>
      <c r="C519" s="32" t="b">
        <f>_xlfn.XLOOKUP(Table6[[#This Row],[Category No]],Table8[Category No],Table8[Chapter List],FALSE)</f>
        <v>0</v>
      </c>
      <c r="D519" s="51"/>
    </row>
    <row r="520" spans="1:4" x14ac:dyDescent="0.25">
      <c r="A520" s="50">
        <v>519</v>
      </c>
      <c r="B520" s="32"/>
      <c r="C520" s="32" t="b">
        <f>_xlfn.XLOOKUP(Table6[[#This Row],[Category No]],Table8[Category No],Table8[Chapter List],FALSE)</f>
        <v>0</v>
      </c>
      <c r="D520" s="51"/>
    </row>
    <row r="521" spans="1:4" x14ac:dyDescent="0.25">
      <c r="A521" s="50">
        <v>520</v>
      </c>
      <c r="B521" s="32"/>
      <c r="C521" s="32" t="b">
        <f>_xlfn.XLOOKUP(Table6[[#This Row],[Category No]],Table8[Category No],Table8[Chapter List],FALSE)</f>
        <v>0</v>
      </c>
      <c r="D521" s="51"/>
    </row>
    <row r="522" spans="1:4" x14ac:dyDescent="0.25">
      <c r="A522" s="50">
        <v>521</v>
      </c>
      <c r="B522" s="32"/>
      <c r="C522" s="32" t="b">
        <f>_xlfn.XLOOKUP(Table6[[#This Row],[Category No]],Table8[Category No],Table8[Chapter List],FALSE)</f>
        <v>0</v>
      </c>
      <c r="D522" s="51"/>
    </row>
    <row r="523" spans="1:4" x14ac:dyDescent="0.25">
      <c r="A523" s="50">
        <v>522</v>
      </c>
      <c r="B523" s="32"/>
      <c r="C523" s="32" t="b">
        <f>_xlfn.XLOOKUP(Table6[[#This Row],[Category No]],Table8[Category No],Table8[Chapter List],FALSE)</f>
        <v>0</v>
      </c>
      <c r="D523" s="51"/>
    </row>
    <row r="524" spans="1:4" x14ac:dyDescent="0.25">
      <c r="A524" s="50">
        <v>523</v>
      </c>
      <c r="B524" s="32"/>
      <c r="C524" s="32" t="b">
        <f>_xlfn.XLOOKUP(Table6[[#This Row],[Category No]],Table8[Category No],Table8[Chapter List],FALSE)</f>
        <v>0</v>
      </c>
      <c r="D524" s="51"/>
    </row>
    <row r="525" spans="1:4" x14ac:dyDescent="0.25">
      <c r="A525" s="50">
        <v>524</v>
      </c>
      <c r="B525" s="32"/>
      <c r="C525" s="32" t="b">
        <f>_xlfn.XLOOKUP(Table6[[#This Row],[Category No]],Table8[Category No],Table8[Chapter List],FALSE)</f>
        <v>0</v>
      </c>
      <c r="D525" s="51"/>
    </row>
    <row r="526" spans="1:4" x14ac:dyDescent="0.25">
      <c r="A526" s="50">
        <v>525</v>
      </c>
      <c r="B526" s="32"/>
      <c r="C526" s="32" t="b">
        <f>_xlfn.XLOOKUP(Table6[[#This Row],[Category No]],Table8[Category No],Table8[Chapter List],FALSE)</f>
        <v>0</v>
      </c>
      <c r="D526" s="51"/>
    </row>
    <row r="527" spans="1:4" x14ac:dyDescent="0.25">
      <c r="A527" s="50">
        <v>526</v>
      </c>
      <c r="B527" s="32"/>
      <c r="C527" s="32" t="b">
        <f>_xlfn.XLOOKUP(Table6[[#This Row],[Category No]],Table8[Category No],Table8[Chapter List],FALSE)</f>
        <v>0</v>
      </c>
      <c r="D527" s="51"/>
    </row>
    <row r="528" spans="1:4" x14ac:dyDescent="0.25">
      <c r="A528" s="50">
        <v>527</v>
      </c>
      <c r="B528" s="32"/>
      <c r="C528" s="32" t="b">
        <f>_xlfn.XLOOKUP(Table6[[#This Row],[Category No]],Table8[Category No],Table8[Chapter List],FALSE)</f>
        <v>0</v>
      </c>
      <c r="D528" s="51"/>
    </row>
    <row r="529" spans="1:4" x14ac:dyDescent="0.25">
      <c r="A529" s="50">
        <v>528</v>
      </c>
      <c r="B529" s="32"/>
      <c r="C529" s="32" t="b">
        <f>_xlfn.XLOOKUP(Table6[[#This Row],[Category No]],Table8[Category No],Table8[Chapter List],FALSE)</f>
        <v>0</v>
      </c>
      <c r="D529" s="51"/>
    </row>
    <row r="530" spans="1:4" x14ac:dyDescent="0.25">
      <c r="A530" s="50">
        <v>529</v>
      </c>
      <c r="B530" s="32"/>
      <c r="C530" s="32" t="b">
        <f>_xlfn.XLOOKUP(Table6[[#This Row],[Category No]],Table8[Category No],Table8[Chapter List],FALSE)</f>
        <v>0</v>
      </c>
      <c r="D530" s="51"/>
    </row>
    <row r="531" spans="1:4" x14ac:dyDescent="0.25">
      <c r="A531" s="50">
        <v>530</v>
      </c>
      <c r="B531" s="32"/>
      <c r="C531" s="32" t="b">
        <f>_xlfn.XLOOKUP(Table6[[#This Row],[Category No]],Table8[Category No],Table8[Chapter List],FALSE)</f>
        <v>0</v>
      </c>
      <c r="D531" s="51"/>
    </row>
    <row r="532" spans="1:4" x14ac:dyDescent="0.25">
      <c r="A532" s="50">
        <v>531</v>
      </c>
      <c r="B532" s="32"/>
      <c r="C532" s="32" t="b">
        <f>_xlfn.XLOOKUP(Table6[[#This Row],[Category No]],Table8[Category No],Table8[Chapter List],FALSE)</f>
        <v>0</v>
      </c>
      <c r="D532" s="51"/>
    </row>
    <row r="533" spans="1:4" x14ac:dyDescent="0.25">
      <c r="A533" s="50">
        <v>532</v>
      </c>
      <c r="B533" s="32"/>
      <c r="C533" s="32" t="b">
        <f>_xlfn.XLOOKUP(Table6[[#This Row],[Category No]],Table8[Category No],Table8[Chapter List],FALSE)</f>
        <v>0</v>
      </c>
      <c r="D533" s="51"/>
    </row>
    <row r="534" spans="1:4" x14ac:dyDescent="0.25">
      <c r="A534" s="50">
        <v>533</v>
      </c>
      <c r="B534" s="32"/>
      <c r="C534" s="32" t="b">
        <f>_xlfn.XLOOKUP(Table6[[#This Row],[Category No]],Table8[Category No],Table8[Chapter List],FALSE)</f>
        <v>0</v>
      </c>
      <c r="D534" s="51"/>
    </row>
    <row r="535" spans="1:4" x14ac:dyDescent="0.25">
      <c r="A535" s="50">
        <v>534</v>
      </c>
      <c r="B535" s="32"/>
      <c r="C535" s="32" t="b">
        <f>_xlfn.XLOOKUP(Table6[[#This Row],[Category No]],Table8[Category No],Table8[Chapter List],FALSE)</f>
        <v>0</v>
      </c>
      <c r="D535" s="51"/>
    </row>
    <row r="536" spans="1:4" x14ac:dyDescent="0.25">
      <c r="A536" s="50">
        <v>535</v>
      </c>
      <c r="B536" s="32"/>
      <c r="C536" s="32" t="b">
        <f>_xlfn.XLOOKUP(Table6[[#This Row],[Category No]],Table8[Category No],Table8[Chapter List],FALSE)</f>
        <v>0</v>
      </c>
      <c r="D536" s="51"/>
    </row>
    <row r="537" spans="1:4" x14ac:dyDescent="0.25">
      <c r="A537" s="50">
        <v>536</v>
      </c>
      <c r="B537" s="32"/>
      <c r="C537" s="32" t="b">
        <f>_xlfn.XLOOKUP(Table6[[#This Row],[Category No]],Table8[Category No],Table8[Chapter List],FALSE)</f>
        <v>0</v>
      </c>
      <c r="D537" s="51"/>
    </row>
    <row r="538" spans="1:4" x14ac:dyDescent="0.25">
      <c r="A538" s="50">
        <v>537</v>
      </c>
      <c r="B538" s="32"/>
      <c r="C538" s="32" t="b">
        <f>_xlfn.XLOOKUP(Table6[[#This Row],[Category No]],Table8[Category No],Table8[Chapter List],FALSE)</f>
        <v>0</v>
      </c>
      <c r="D538" s="51"/>
    </row>
    <row r="539" spans="1:4" x14ac:dyDescent="0.25">
      <c r="A539" s="50">
        <v>538</v>
      </c>
      <c r="B539" s="32"/>
      <c r="C539" s="32" t="b">
        <f>_xlfn.XLOOKUP(Table6[[#This Row],[Category No]],Table8[Category No],Table8[Chapter List],FALSE)</f>
        <v>0</v>
      </c>
      <c r="D539" s="51"/>
    </row>
    <row r="540" spans="1:4" x14ac:dyDescent="0.25">
      <c r="A540" s="50">
        <v>539</v>
      </c>
      <c r="B540" s="32"/>
      <c r="C540" s="32" t="b">
        <f>_xlfn.XLOOKUP(Table6[[#This Row],[Category No]],Table8[Category No],Table8[Chapter List],FALSE)</f>
        <v>0</v>
      </c>
      <c r="D540" s="51"/>
    </row>
    <row r="541" spans="1:4" x14ac:dyDescent="0.25">
      <c r="A541" s="50">
        <v>540</v>
      </c>
      <c r="B541" s="32"/>
      <c r="C541" s="32" t="b">
        <f>_xlfn.XLOOKUP(Table6[[#This Row],[Category No]],Table8[Category No],Table8[Chapter List],FALSE)</f>
        <v>0</v>
      </c>
      <c r="D541" s="51"/>
    </row>
    <row r="542" spans="1:4" x14ac:dyDescent="0.25">
      <c r="A542" s="50">
        <v>541</v>
      </c>
      <c r="B542" s="32"/>
      <c r="C542" s="32" t="b">
        <f>_xlfn.XLOOKUP(Table6[[#This Row],[Category No]],Table8[Category No],Table8[Chapter List],FALSE)</f>
        <v>0</v>
      </c>
      <c r="D542" s="51"/>
    </row>
    <row r="543" spans="1:4" x14ac:dyDescent="0.25">
      <c r="A543" s="50">
        <v>542</v>
      </c>
      <c r="B543" s="32"/>
      <c r="C543" s="32" t="b">
        <f>_xlfn.XLOOKUP(Table6[[#This Row],[Category No]],Table8[Category No],Table8[Chapter List],FALSE)</f>
        <v>0</v>
      </c>
      <c r="D543" s="51"/>
    </row>
    <row r="544" spans="1:4" x14ac:dyDescent="0.25">
      <c r="A544" s="50">
        <v>543</v>
      </c>
      <c r="B544" s="32"/>
      <c r="C544" s="32" t="b">
        <f>_xlfn.XLOOKUP(Table6[[#This Row],[Category No]],Table8[Category No],Table8[Chapter List],FALSE)</f>
        <v>0</v>
      </c>
      <c r="D544" s="51"/>
    </row>
    <row r="545" spans="1:4" x14ac:dyDescent="0.25">
      <c r="A545" s="50">
        <v>544</v>
      </c>
      <c r="B545" s="32"/>
      <c r="C545" s="32" t="b">
        <f>_xlfn.XLOOKUP(Table6[[#This Row],[Category No]],Table8[Category No],Table8[Chapter List],FALSE)</f>
        <v>0</v>
      </c>
      <c r="D545" s="51"/>
    </row>
    <row r="546" spans="1:4" x14ac:dyDescent="0.25">
      <c r="A546" s="50">
        <v>545</v>
      </c>
      <c r="B546" s="32"/>
      <c r="C546" s="32" t="b">
        <f>_xlfn.XLOOKUP(Table6[[#This Row],[Category No]],Table8[Category No],Table8[Chapter List],FALSE)</f>
        <v>0</v>
      </c>
      <c r="D546" s="51"/>
    </row>
    <row r="547" spans="1:4" x14ac:dyDescent="0.25">
      <c r="A547" s="50">
        <v>546</v>
      </c>
      <c r="B547" s="32"/>
      <c r="C547" s="32" t="b">
        <f>_xlfn.XLOOKUP(Table6[[#This Row],[Category No]],Table8[Category No],Table8[Chapter List],FALSE)</f>
        <v>0</v>
      </c>
      <c r="D547" s="51"/>
    </row>
    <row r="548" spans="1:4" x14ac:dyDescent="0.25">
      <c r="A548" s="50">
        <v>547</v>
      </c>
      <c r="B548" s="32"/>
      <c r="C548" s="32" t="b">
        <f>_xlfn.XLOOKUP(Table6[[#This Row],[Category No]],Table8[Category No],Table8[Chapter List],FALSE)</f>
        <v>0</v>
      </c>
      <c r="D548" s="51"/>
    </row>
    <row r="549" spans="1:4" x14ac:dyDescent="0.25">
      <c r="A549" s="50">
        <v>548</v>
      </c>
      <c r="B549" s="32"/>
      <c r="C549" s="32" t="b">
        <f>_xlfn.XLOOKUP(Table6[[#This Row],[Category No]],Table8[Category No],Table8[Chapter List],FALSE)</f>
        <v>0</v>
      </c>
      <c r="D549" s="51"/>
    </row>
    <row r="550" spans="1:4" x14ac:dyDescent="0.25">
      <c r="A550" s="50">
        <v>549</v>
      </c>
      <c r="B550" s="32"/>
      <c r="C550" s="32" t="b">
        <f>_xlfn.XLOOKUP(Table6[[#This Row],[Category No]],Table8[Category No],Table8[Chapter List],FALSE)</f>
        <v>0</v>
      </c>
      <c r="D550" s="51"/>
    </row>
    <row r="551" spans="1:4" x14ac:dyDescent="0.25">
      <c r="A551" s="50">
        <v>550</v>
      </c>
      <c r="B551" s="32"/>
      <c r="C551" s="32" t="b">
        <f>_xlfn.XLOOKUP(Table6[[#This Row],[Category No]],Table8[Category No],Table8[Chapter List],FALSE)</f>
        <v>0</v>
      </c>
      <c r="D551" s="51"/>
    </row>
    <row r="552" spans="1:4" x14ac:dyDescent="0.25">
      <c r="A552" s="50">
        <v>551</v>
      </c>
      <c r="B552" s="32"/>
      <c r="C552" s="32" t="b">
        <f>_xlfn.XLOOKUP(Table6[[#This Row],[Category No]],Table8[Category No],Table8[Chapter List],FALSE)</f>
        <v>0</v>
      </c>
      <c r="D552" s="51"/>
    </row>
    <row r="553" spans="1:4" x14ac:dyDescent="0.25">
      <c r="A553" s="50">
        <v>552</v>
      </c>
      <c r="B553" s="32"/>
      <c r="C553" s="32" t="b">
        <f>_xlfn.XLOOKUP(Table6[[#This Row],[Category No]],Table8[Category No],Table8[Chapter List],FALSE)</f>
        <v>0</v>
      </c>
      <c r="D553" s="51"/>
    </row>
    <row r="554" spans="1:4" x14ac:dyDescent="0.25">
      <c r="A554" s="50">
        <v>553</v>
      </c>
      <c r="B554" s="32"/>
      <c r="C554" s="32" t="b">
        <f>_xlfn.XLOOKUP(Table6[[#This Row],[Category No]],Table8[Category No],Table8[Chapter List],FALSE)</f>
        <v>0</v>
      </c>
      <c r="D554" s="51"/>
    </row>
    <row r="555" spans="1:4" x14ac:dyDescent="0.25">
      <c r="A555" s="50">
        <v>554</v>
      </c>
      <c r="B555" s="32"/>
      <c r="C555" s="32" t="b">
        <f>_xlfn.XLOOKUP(Table6[[#This Row],[Category No]],Table8[Category No],Table8[Chapter List],FALSE)</f>
        <v>0</v>
      </c>
      <c r="D555" s="51"/>
    </row>
    <row r="556" spans="1:4" x14ac:dyDescent="0.25">
      <c r="A556" s="50">
        <v>555</v>
      </c>
      <c r="B556" s="32"/>
      <c r="C556" s="32" t="b">
        <f>_xlfn.XLOOKUP(Table6[[#This Row],[Category No]],Table8[Category No],Table8[Chapter List],FALSE)</f>
        <v>0</v>
      </c>
      <c r="D556" s="51"/>
    </row>
    <row r="557" spans="1:4" x14ac:dyDescent="0.25">
      <c r="A557" s="50">
        <v>556</v>
      </c>
      <c r="B557" s="32"/>
      <c r="C557" s="32" t="b">
        <f>_xlfn.XLOOKUP(Table6[[#This Row],[Category No]],Table8[Category No],Table8[Chapter List],FALSE)</f>
        <v>0</v>
      </c>
      <c r="D557" s="51"/>
    </row>
    <row r="558" spans="1:4" x14ac:dyDescent="0.25">
      <c r="A558" s="50">
        <v>557</v>
      </c>
      <c r="B558" s="32"/>
      <c r="C558" s="32" t="b">
        <f>_xlfn.XLOOKUP(Table6[[#This Row],[Category No]],Table8[Category No],Table8[Chapter List],FALSE)</f>
        <v>0</v>
      </c>
      <c r="D558" s="51"/>
    </row>
    <row r="559" spans="1:4" x14ac:dyDescent="0.25">
      <c r="A559" s="50">
        <v>558</v>
      </c>
      <c r="B559" s="32"/>
      <c r="C559" s="32" t="b">
        <f>_xlfn.XLOOKUP(Table6[[#This Row],[Category No]],Table8[Category No],Table8[Chapter List],FALSE)</f>
        <v>0</v>
      </c>
      <c r="D559" s="51"/>
    </row>
    <row r="560" spans="1:4" x14ac:dyDescent="0.25">
      <c r="A560" s="50">
        <v>559</v>
      </c>
      <c r="B560" s="32"/>
      <c r="C560" s="32" t="b">
        <f>_xlfn.XLOOKUP(Table6[[#This Row],[Category No]],Table8[Category No],Table8[Chapter List],FALSE)</f>
        <v>0</v>
      </c>
      <c r="D560" s="51"/>
    </row>
    <row r="561" spans="1:4" x14ac:dyDescent="0.25">
      <c r="A561" s="50">
        <v>560</v>
      </c>
      <c r="B561" s="32"/>
      <c r="C561" s="32" t="b">
        <f>_xlfn.XLOOKUP(Table6[[#This Row],[Category No]],Table8[Category No],Table8[Chapter List],FALSE)</f>
        <v>0</v>
      </c>
      <c r="D561" s="51"/>
    </row>
    <row r="562" spans="1:4" x14ac:dyDescent="0.25">
      <c r="A562" s="50">
        <v>561</v>
      </c>
      <c r="B562" s="32"/>
      <c r="C562" s="32" t="b">
        <f>_xlfn.XLOOKUP(Table6[[#This Row],[Category No]],Table8[Category No],Table8[Chapter List],FALSE)</f>
        <v>0</v>
      </c>
      <c r="D562" s="51"/>
    </row>
    <row r="563" spans="1:4" x14ac:dyDescent="0.25">
      <c r="A563" s="50">
        <v>562</v>
      </c>
      <c r="B563" s="32"/>
      <c r="C563" s="32" t="b">
        <f>_xlfn.XLOOKUP(Table6[[#This Row],[Category No]],Table8[Category No],Table8[Chapter List],FALSE)</f>
        <v>0</v>
      </c>
      <c r="D563" s="51"/>
    </row>
    <row r="564" spans="1:4" x14ac:dyDescent="0.25">
      <c r="A564" s="50">
        <v>563</v>
      </c>
      <c r="B564" s="32"/>
      <c r="C564" s="32" t="b">
        <f>_xlfn.XLOOKUP(Table6[[#This Row],[Category No]],Table8[Category No],Table8[Chapter List],FALSE)</f>
        <v>0</v>
      </c>
      <c r="D564" s="51"/>
    </row>
    <row r="565" spans="1:4" x14ac:dyDescent="0.25">
      <c r="A565" s="50">
        <v>564</v>
      </c>
      <c r="B565" s="32"/>
      <c r="C565" s="32" t="b">
        <f>_xlfn.XLOOKUP(Table6[[#This Row],[Category No]],Table8[Category No],Table8[Chapter List],FALSE)</f>
        <v>0</v>
      </c>
      <c r="D565" s="51"/>
    </row>
    <row r="566" spans="1:4" x14ac:dyDescent="0.25">
      <c r="A566" s="50">
        <v>565</v>
      </c>
      <c r="B566" s="32"/>
      <c r="C566" s="32" t="b">
        <f>_xlfn.XLOOKUP(Table6[[#This Row],[Category No]],Table8[Category No],Table8[Chapter List],FALSE)</f>
        <v>0</v>
      </c>
      <c r="D566" s="51"/>
    </row>
    <row r="567" spans="1:4" x14ac:dyDescent="0.25">
      <c r="A567" s="50">
        <v>566</v>
      </c>
      <c r="B567" s="32"/>
      <c r="C567" s="32" t="b">
        <f>_xlfn.XLOOKUP(Table6[[#This Row],[Category No]],Table8[Category No],Table8[Chapter List],FALSE)</f>
        <v>0</v>
      </c>
      <c r="D567" s="51"/>
    </row>
    <row r="568" spans="1:4" x14ac:dyDescent="0.25">
      <c r="A568" s="50">
        <v>567</v>
      </c>
      <c r="B568" s="32"/>
      <c r="C568" s="32" t="b">
        <f>_xlfn.XLOOKUP(Table6[[#This Row],[Category No]],Table8[Category No],Table8[Chapter List],FALSE)</f>
        <v>0</v>
      </c>
      <c r="D568" s="51"/>
    </row>
    <row r="569" spans="1:4" x14ac:dyDescent="0.25">
      <c r="A569" s="50">
        <v>568</v>
      </c>
      <c r="B569" s="32"/>
      <c r="C569" s="32" t="b">
        <f>_xlfn.XLOOKUP(Table6[[#This Row],[Category No]],Table8[Category No],Table8[Chapter List],FALSE)</f>
        <v>0</v>
      </c>
      <c r="D569" s="51"/>
    </row>
    <row r="570" spans="1:4" x14ac:dyDescent="0.25">
      <c r="A570" s="50">
        <v>569</v>
      </c>
      <c r="B570" s="32"/>
      <c r="C570" s="32" t="b">
        <f>_xlfn.XLOOKUP(Table6[[#This Row],[Category No]],Table8[Category No],Table8[Chapter List],FALSE)</f>
        <v>0</v>
      </c>
      <c r="D570" s="51"/>
    </row>
    <row r="571" spans="1:4" x14ac:dyDescent="0.25">
      <c r="A571" s="50">
        <v>570</v>
      </c>
      <c r="B571" s="32"/>
      <c r="C571" s="32" t="b">
        <f>_xlfn.XLOOKUP(Table6[[#This Row],[Category No]],Table8[Category No],Table8[Chapter List],FALSE)</f>
        <v>0</v>
      </c>
      <c r="D571" s="51"/>
    </row>
    <row r="572" spans="1:4" x14ac:dyDescent="0.25">
      <c r="A572" s="50">
        <v>571</v>
      </c>
      <c r="B572" s="32"/>
      <c r="C572" s="32" t="b">
        <f>_xlfn.XLOOKUP(Table6[[#This Row],[Category No]],Table8[Category No],Table8[Chapter List],FALSE)</f>
        <v>0</v>
      </c>
      <c r="D572" s="51"/>
    </row>
    <row r="573" spans="1:4" x14ac:dyDescent="0.25">
      <c r="A573" s="50">
        <v>572</v>
      </c>
      <c r="B573" s="32"/>
      <c r="C573" s="32" t="b">
        <f>_xlfn.XLOOKUP(Table6[[#This Row],[Category No]],Table8[Category No],Table8[Chapter List],FALSE)</f>
        <v>0</v>
      </c>
      <c r="D573" s="51"/>
    </row>
    <row r="574" spans="1:4" x14ac:dyDescent="0.25">
      <c r="A574" s="50">
        <v>573</v>
      </c>
      <c r="B574" s="32"/>
      <c r="C574" s="32" t="b">
        <f>_xlfn.XLOOKUP(Table6[[#This Row],[Category No]],Table8[Category No],Table8[Chapter List],FALSE)</f>
        <v>0</v>
      </c>
      <c r="D574" s="51"/>
    </row>
    <row r="575" spans="1:4" x14ac:dyDescent="0.25">
      <c r="A575" s="50">
        <v>574</v>
      </c>
      <c r="B575" s="32"/>
      <c r="C575" s="32" t="b">
        <f>_xlfn.XLOOKUP(Table6[[#This Row],[Category No]],Table8[Category No],Table8[Chapter List],FALSE)</f>
        <v>0</v>
      </c>
      <c r="D575" s="51"/>
    </row>
    <row r="576" spans="1:4" x14ac:dyDescent="0.25">
      <c r="A576" s="50">
        <v>575</v>
      </c>
      <c r="B576" s="32"/>
      <c r="C576" s="32" t="b">
        <f>_xlfn.XLOOKUP(Table6[[#This Row],[Category No]],Table8[Category No],Table8[Chapter List],FALSE)</f>
        <v>0</v>
      </c>
      <c r="D576" s="51"/>
    </row>
    <row r="577" spans="1:4" x14ac:dyDescent="0.25">
      <c r="A577" s="50">
        <v>576</v>
      </c>
      <c r="B577" s="32"/>
      <c r="C577" s="32" t="b">
        <f>_xlfn.XLOOKUP(Table6[[#This Row],[Category No]],Table8[Category No],Table8[Chapter List],FALSE)</f>
        <v>0</v>
      </c>
      <c r="D577" s="51"/>
    </row>
    <row r="578" spans="1:4" x14ac:dyDescent="0.25">
      <c r="A578" s="50">
        <v>577</v>
      </c>
      <c r="B578" s="32"/>
      <c r="C578" s="32" t="b">
        <f>_xlfn.XLOOKUP(Table6[[#This Row],[Category No]],Table8[Category No],Table8[Chapter List],FALSE)</f>
        <v>0</v>
      </c>
      <c r="D578" s="51"/>
    </row>
    <row r="579" spans="1:4" x14ac:dyDescent="0.25">
      <c r="A579" s="50">
        <v>578</v>
      </c>
      <c r="B579" s="32"/>
      <c r="C579" s="32" t="b">
        <f>_xlfn.XLOOKUP(Table6[[#This Row],[Category No]],Table8[Category No],Table8[Chapter List],FALSE)</f>
        <v>0</v>
      </c>
      <c r="D579" s="51"/>
    </row>
    <row r="580" spans="1:4" x14ac:dyDescent="0.25">
      <c r="A580" s="50">
        <v>579</v>
      </c>
      <c r="B580" s="32"/>
      <c r="C580" s="32" t="b">
        <f>_xlfn.XLOOKUP(Table6[[#This Row],[Category No]],Table8[Category No],Table8[Chapter List],FALSE)</f>
        <v>0</v>
      </c>
      <c r="D580" s="51"/>
    </row>
    <row r="581" spans="1:4" x14ac:dyDescent="0.25">
      <c r="A581" s="50">
        <v>580</v>
      </c>
      <c r="B581" s="32"/>
      <c r="C581" s="32" t="b">
        <f>_xlfn.XLOOKUP(Table6[[#This Row],[Category No]],Table8[Category No],Table8[Chapter List],FALSE)</f>
        <v>0</v>
      </c>
      <c r="D581" s="51"/>
    </row>
    <row r="582" spans="1:4" x14ac:dyDescent="0.25">
      <c r="A582" s="50">
        <v>581</v>
      </c>
      <c r="B582" s="32"/>
      <c r="C582" s="32" t="b">
        <f>_xlfn.XLOOKUP(Table6[[#This Row],[Category No]],Table8[Category No],Table8[Chapter List],FALSE)</f>
        <v>0</v>
      </c>
      <c r="D582" s="51"/>
    </row>
    <row r="583" spans="1:4" x14ac:dyDescent="0.25">
      <c r="A583" s="50">
        <v>582</v>
      </c>
      <c r="B583" s="32"/>
      <c r="C583" s="32" t="b">
        <f>_xlfn.XLOOKUP(Table6[[#This Row],[Category No]],Table8[Category No],Table8[Chapter List],FALSE)</f>
        <v>0</v>
      </c>
      <c r="D583" s="51"/>
    </row>
    <row r="584" spans="1:4" x14ac:dyDescent="0.25">
      <c r="A584" s="50">
        <v>583</v>
      </c>
      <c r="B584" s="32"/>
      <c r="C584" s="32" t="b">
        <f>_xlfn.XLOOKUP(Table6[[#This Row],[Category No]],Table8[Category No],Table8[Chapter List],FALSE)</f>
        <v>0</v>
      </c>
      <c r="D584" s="51"/>
    </row>
    <row r="585" spans="1:4" x14ac:dyDescent="0.25">
      <c r="A585" s="50">
        <v>584</v>
      </c>
      <c r="B585" s="32"/>
      <c r="C585" s="32" t="b">
        <f>_xlfn.XLOOKUP(Table6[[#This Row],[Category No]],Table8[Category No],Table8[Chapter List],FALSE)</f>
        <v>0</v>
      </c>
      <c r="D585" s="51"/>
    </row>
    <row r="586" spans="1:4" x14ac:dyDescent="0.25">
      <c r="A586" s="50">
        <v>585</v>
      </c>
      <c r="B586" s="32"/>
      <c r="C586" s="32" t="b">
        <f>_xlfn.XLOOKUP(Table6[[#This Row],[Category No]],Table8[Category No],Table8[Chapter List],FALSE)</f>
        <v>0</v>
      </c>
      <c r="D586" s="51"/>
    </row>
    <row r="587" spans="1:4" x14ac:dyDescent="0.25">
      <c r="A587" s="50">
        <v>586</v>
      </c>
      <c r="B587" s="32"/>
      <c r="C587" s="32" t="b">
        <f>_xlfn.XLOOKUP(Table6[[#This Row],[Category No]],Table8[Category No],Table8[Chapter List],FALSE)</f>
        <v>0</v>
      </c>
      <c r="D587" s="51"/>
    </row>
    <row r="588" spans="1:4" x14ac:dyDescent="0.25">
      <c r="A588" s="50">
        <v>587</v>
      </c>
      <c r="B588" s="32"/>
      <c r="C588" s="32" t="b">
        <f>_xlfn.XLOOKUP(Table6[[#This Row],[Category No]],Table8[Category No],Table8[Chapter List],FALSE)</f>
        <v>0</v>
      </c>
      <c r="D588" s="51"/>
    </row>
    <row r="589" spans="1:4" x14ac:dyDescent="0.25">
      <c r="A589" s="50">
        <v>588</v>
      </c>
      <c r="B589" s="32"/>
      <c r="C589" s="32" t="b">
        <f>_xlfn.XLOOKUP(Table6[[#This Row],[Category No]],Table8[Category No],Table8[Chapter List],FALSE)</f>
        <v>0</v>
      </c>
      <c r="D589" s="51"/>
    </row>
    <row r="590" spans="1:4" x14ac:dyDescent="0.25">
      <c r="A590" s="50">
        <v>589</v>
      </c>
      <c r="B590" s="32"/>
      <c r="C590" s="32" t="b">
        <f>_xlfn.XLOOKUP(Table6[[#This Row],[Category No]],Table8[Category No],Table8[Chapter List],FALSE)</f>
        <v>0</v>
      </c>
      <c r="D590" s="51"/>
    </row>
    <row r="591" spans="1:4" x14ac:dyDescent="0.25">
      <c r="A591" s="50">
        <v>590</v>
      </c>
      <c r="B591" s="32"/>
      <c r="C591" s="32" t="b">
        <f>_xlfn.XLOOKUP(Table6[[#This Row],[Category No]],Table8[Category No],Table8[Chapter List],FALSE)</f>
        <v>0</v>
      </c>
      <c r="D591" s="51"/>
    </row>
    <row r="592" spans="1:4" x14ac:dyDescent="0.25">
      <c r="A592" s="50">
        <v>591</v>
      </c>
      <c r="B592" s="32"/>
      <c r="C592" s="32" t="b">
        <f>_xlfn.XLOOKUP(Table6[[#This Row],[Category No]],Table8[Category No],Table8[Chapter List],FALSE)</f>
        <v>0</v>
      </c>
      <c r="D592" s="51"/>
    </row>
    <row r="593" spans="1:4" x14ac:dyDescent="0.25">
      <c r="A593" s="50">
        <v>592</v>
      </c>
      <c r="B593" s="32"/>
      <c r="C593" s="32" t="b">
        <f>_xlfn.XLOOKUP(Table6[[#This Row],[Category No]],Table8[Category No],Table8[Chapter List],FALSE)</f>
        <v>0</v>
      </c>
      <c r="D593" s="51"/>
    </row>
    <row r="594" spans="1:4" x14ac:dyDescent="0.25">
      <c r="A594" s="50">
        <v>593</v>
      </c>
      <c r="B594" s="32"/>
      <c r="C594" s="32" t="b">
        <f>_xlfn.XLOOKUP(Table6[[#This Row],[Category No]],Table8[Category No],Table8[Chapter List],FALSE)</f>
        <v>0</v>
      </c>
      <c r="D594" s="51"/>
    </row>
    <row r="595" spans="1:4" x14ac:dyDescent="0.25">
      <c r="A595" s="50">
        <v>594</v>
      </c>
      <c r="B595" s="32"/>
      <c r="C595" s="32" t="b">
        <f>_xlfn.XLOOKUP(Table6[[#This Row],[Category No]],Table8[Category No],Table8[Chapter List],FALSE)</f>
        <v>0</v>
      </c>
      <c r="D595" s="51"/>
    </row>
    <row r="596" spans="1:4" x14ac:dyDescent="0.25">
      <c r="A596" s="50">
        <v>595</v>
      </c>
      <c r="B596" s="32"/>
      <c r="C596" s="32" t="b">
        <f>_xlfn.XLOOKUP(Table6[[#This Row],[Category No]],Table8[Category No],Table8[Chapter List],FALSE)</f>
        <v>0</v>
      </c>
      <c r="D596" s="51"/>
    </row>
    <row r="597" spans="1:4" x14ac:dyDescent="0.25">
      <c r="A597" s="50">
        <v>596</v>
      </c>
      <c r="B597" s="32"/>
      <c r="C597" s="32" t="b">
        <f>_xlfn.XLOOKUP(Table6[[#This Row],[Category No]],Table8[Category No],Table8[Chapter List],FALSE)</f>
        <v>0</v>
      </c>
      <c r="D597" s="51"/>
    </row>
    <row r="598" spans="1:4" x14ac:dyDescent="0.25">
      <c r="A598" s="50">
        <v>597</v>
      </c>
      <c r="B598" s="32"/>
      <c r="C598" s="32" t="b">
        <f>_xlfn.XLOOKUP(Table6[[#This Row],[Category No]],Table8[Category No],Table8[Chapter List],FALSE)</f>
        <v>0</v>
      </c>
      <c r="D598" s="51"/>
    </row>
    <row r="599" spans="1:4" x14ac:dyDescent="0.25">
      <c r="A599" s="50">
        <v>598</v>
      </c>
      <c r="B599" s="32"/>
      <c r="C599" s="32" t="b">
        <f>_xlfn.XLOOKUP(Table6[[#This Row],[Category No]],Table8[Category No],Table8[Chapter List],FALSE)</f>
        <v>0</v>
      </c>
      <c r="D599" s="51"/>
    </row>
    <row r="600" spans="1:4" x14ac:dyDescent="0.25">
      <c r="A600" s="50">
        <v>599</v>
      </c>
      <c r="B600" s="32"/>
      <c r="C600" s="32" t="b">
        <f>_xlfn.XLOOKUP(Table6[[#This Row],[Category No]],Table8[Category No],Table8[Chapter List],FALSE)</f>
        <v>0</v>
      </c>
      <c r="D600" s="51"/>
    </row>
    <row r="601" spans="1:4" x14ac:dyDescent="0.25">
      <c r="A601" s="50">
        <v>600</v>
      </c>
      <c r="B601" s="32"/>
      <c r="C601" s="32" t="b">
        <f>_xlfn.XLOOKUP(Table6[[#This Row],[Category No]],Table8[Category No],Table8[Chapter List],FALSE)</f>
        <v>0</v>
      </c>
      <c r="D601" s="51"/>
    </row>
    <row r="602" spans="1:4" x14ac:dyDescent="0.25">
      <c r="A602" s="50">
        <v>601</v>
      </c>
      <c r="B602" s="32"/>
      <c r="C602" s="32" t="b">
        <f>_xlfn.XLOOKUP(Table6[[#This Row],[Category No]],Table8[Category No],Table8[Chapter List],FALSE)</f>
        <v>0</v>
      </c>
      <c r="D602" s="51"/>
    </row>
    <row r="603" spans="1:4" x14ac:dyDescent="0.25">
      <c r="A603" s="50">
        <v>602</v>
      </c>
      <c r="B603" s="32"/>
      <c r="C603" s="32" t="b">
        <f>_xlfn.XLOOKUP(Table6[[#This Row],[Category No]],Table8[Category No],Table8[Chapter List],FALSE)</f>
        <v>0</v>
      </c>
      <c r="D603" s="51"/>
    </row>
    <row r="604" spans="1:4" x14ac:dyDescent="0.25">
      <c r="A604" s="50">
        <v>603</v>
      </c>
      <c r="B604" s="32"/>
      <c r="C604" s="32" t="b">
        <f>_xlfn.XLOOKUP(Table6[[#This Row],[Category No]],Table8[Category No],Table8[Chapter List],FALSE)</f>
        <v>0</v>
      </c>
      <c r="D604" s="51"/>
    </row>
    <row r="605" spans="1:4" x14ac:dyDescent="0.25">
      <c r="A605" s="50">
        <v>604</v>
      </c>
      <c r="B605" s="32"/>
      <c r="C605" s="32" t="b">
        <f>_xlfn.XLOOKUP(Table6[[#This Row],[Category No]],Table8[Category No],Table8[Chapter List],FALSE)</f>
        <v>0</v>
      </c>
      <c r="D605" s="51"/>
    </row>
    <row r="606" spans="1:4" x14ac:dyDescent="0.25">
      <c r="A606" s="50">
        <v>605</v>
      </c>
      <c r="B606" s="32"/>
      <c r="C606" s="32" t="b">
        <f>_xlfn.XLOOKUP(Table6[[#This Row],[Category No]],Table8[Category No],Table8[Chapter List],FALSE)</f>
        <v>0</v>
      </c>
      <c r="D606" s="51"/>
    </row>
    <row r="607" spans="1:4" x14ac:dyDescent="0.25">
      <c r="A607" s="50">
        <v>606</v>
      </c>
      <c r="B607" s="32"/>
      <c r="C607" s="32" t="b">
        <f>_xlfn.XLOOKUP(Table6[[#This Row],[Category No]],Table8[Category No],Table8[Chapter List],FALSE)</f>
        <v>0</v>
      </c>
      <c r="D607" s="51"/>
    </row>
    <row r="608" spans="1:4" x14ac:dyDescent="0.25">
      <c r="A608" s="50">
        <v>607</v>
      </c>
      <c r="B608" s="32"/>
      <c r="C608" s="32" t="b">
        <f>_xlfn.XLOOKUP(Table6[[#This Row],[Category No]],Table8[Category No],Table8[Chapter List],FALSE)</f>
        <v>0</v>
      </c>
      <c r="D608" s="51"/>
    </row>
    <row r="609" spans="1:4" x14ac:dyDescent="0.25">
      <c r="A609" s="50">
        <v>608</v>
      </c>
      <c r="B609" s="32"/>
      <c r="C609" s="32" t="b">
        <f>_xlfn.XLOOKUP(Table6[[#This Row],[Category No]],Table8[Category No],Table8[Chapter List],FALSE)</f>
        <v>0</v>
      </c>
      <c r="D609" s="51"/>
    </row>
    <row r="610" spans="1:4" x14ac:dyDescent="0.25">
      <c r="A610" s="50">
        <v>609</v>
      </c>
      <c r="B610" s="32"/>
      <c r="C610" s="32" t="b">
        <f>_xlfn.XLOOKUP(Table6[[#This Row],[Category No]],Table8[Category No],Table8[Chapter List],FALSE)</f>
        <v>0</v>
      </c>
      <c r="D610" s="51"/>
    </row>
    <row r="611" spans="1:4" x14ac:dyDescent="0.25">
      <c r="A611" s="50">
        <v>610</v>
      </c>
      <c r="B611" s="32"/>
      <c r="C611" s="32" t="b">
        <f>_xlfn.XLOOKUP(Table6[[#This Row],[Category No]],Table8[Category No],Table8[Chapter List],FALSE)</f>
        <v>0</v>
      </c>
      <c r="D611" s="51"/>
    </row>
    <row r="612" spans="1:4" x14ac:dyDescent="0.25">
      <c r="A612" s="50">
        <v>611</v>
      </c>
      <c r="B612" s="32"/>
      <c r="C612" s="32" t="b">
        <f>_xlfn.XLOOKUP(Table6[[#This Row],[Category No]],Table8[Category No],Table8[Chapter List],FALSE)</f>
        <v>0</v>
      </c>
      <c r="D612" s="51"/>
    </row>
    <row r="613" spans="1:4" x14ac:dyDescent="0.25">
      <c r="A613" s="50">
        <v>612</v>
      </c>
      <c r="B613" s="32"/>
      <c r="C613" s="32" t="b">
        <f>_xlfn.XLOOKUP(Table6[[#This Row],[Category No]],Table8[Category No],Table8[Chapter List],FALSE)</f>
        <v>0</v>
      </c>
      <c r="D613" s="51"/>
    </row>
    <row r="614" spans="1:4" x14ac:dyDescent="0.25">
      <c r="A614" s="50">
        <v>613</v>
      </c>
      <c r="B614" s="32"/>
      <c r="C614" s="32" t="b">
        <f>_xlfn.XLOOKUP(Table6[[#This Row],[Category No]],Table8[Category No],Table8[Chapter List],FALSE)</f>
        <v>0</v>
      </c>
      <c r="D614" s="51"/>
    </row>
    <row r="615" spans="1:4" x14ac:dyDescent="0.25">
      <c r="A615" s="50">
        <v>614</v>
      </c>
      <c r="B615" s="32"/>
      <c r="C615" s="32" t="b">
        <f>_xlfn.XLOOKUP(Table6[[#This Row],[Category No]],Table8[Category No],Table8[Chapter List],FALSE)</f>
        <v>0</v>
      </c>
      <c r="D615" s="51"/>
    </row>
    <row r="616" spans="1:4" x14ac:dyDescent="0.25">
      <c r="A616" s="50">
        <v>615</v>
      </c>
      <c r="B616" s="32"/>
      <c r="C616" s="32" t="b">
        <f>_xlfn.XLOOKUP(Table6[[#This Row],[Category No]],Table8[Category No],Table8[Chapter List],FALSE)</f>
        <v>0</v>
      </c>
      <c r="D616" s="51"/>
    </row>
    <row r="617" spans="1:4" x14ac:dyDescent="0.25">
      <c r="A617" s="50">
        <v>616</v>
      </c>
      <c r="B617" s="32"/>
      <c r="C617" s="32" t="b">
        <f>_xlfn.XLOOKUP(Table6[[#This Row],[Category No]],Table8[Category No],Table8[Chapter List],FALSE)</f>
        <v>0</v>
      </c>
      <c r="D617" s="51"/>
    </row>
    <row r="618" spans="1:4" x14ac:dyDescent="0.25">
      <c r="A618" s="50">
        <v>617</v>
      </c>
      <c r="B618" s="32"/>
      <c r="C618" s="32" t="b">
        <f>_xlfn.XLOOKUP(Table6[[#This Row],[Category No]],Table8[Category No],Table8[Chapter List],FALSE)</f>
        <v>0</v>
      </c>
      <c r="D618" s="51"/>
    </row>
    <row r="619" spans="1:4" x14ac:dyDescent="0.25">
      <c r="A619" s="50">
        <v>618</v>
      </c>
      <c r="B619" s="32"/>
      <c r="C619" s="32" t="b">
        <f>_xlfn.XLOOKUP(Table6[[#This Row],[Category No]],Table8[Category No],Table8[Chapter List],FALSE)</f>
        <v>0</v>
      </c>
      <c r="D619" s="51"/>
    </row>
    <row r="620" spans="1:4" x14ac:dyDescent="0.25">
      <c r="A620" s="50">
        <v>619</v>
      </c>
      <c r="B620" s="32"/>
      <c r="C620" s="32" t="b">
        <f>_xlfn.XLOOKUP(Table6[[#This Row],[Category No]],Table8[Category No],Table8[Chapter List],FALSE)</f>
        <v>0</v>
      </c>
      <c r="D620" s="51"/>
    </row>
    <row r="621" spans="1:4" x14ac:dyDescent="0.25">
      <c r="A621" s="50">
        <v>620</v>
      </c>
      <c r="B621" s="32"/>
      <c r="C621" s="32" t="b">
        <f>_xlfn.XLOOKUP(Table6[[#This Row],[Category No]],Table8[Category No],Table8[Chapter List],FALSE)</f>
        <v>0</v>
      </c>
      <c r="D621" s="51"/>
    </row>
    <row r="622" spans="1:4" x14ac:dyDescent="0.25">
      <c r="A622" s="50">
        <v>621</v>
      </c>
      <c r="B622" s="32"/>
      <c r="C622" s="32" t="b">
        <f>_xlfn.XLOOKUP(Table6[[#This Row],[Category No]],Table8[Category No],Table8[Chapter List],FALSE)</f>
        <v>0</v>
      </c>
      <c r="D622" s="51"/>
    </row>
    <row r="623" spans="1:4" x14ac:dyDescent="0.25">
      <c r="A623" s="50">
        <v>622</v>
      </c>
      <c r="B623" s="32"/>
      <c r="C623" s="32" t="b">
        <f>_xlfn.XLOOKUP(Table6[[#This Row],[Category No]],Table8[Category No],Table8[Chapter List],FALSE)</f>
        <v>0</v>
      </c>
      <c r="D623" s="51"/>
    </row>
    <row r="624" spans="1:4" x14ac:dyDescent="0.25">
      <c r="A624" s="50">
        <v>623</v>
      </c>
      <c r="B624" s="32"/>
      <c r="C624" s="32" t="b">
        <f>_xlfn.XLOOKUP(Table6[[#This Row],[Category No]],Table8[Category No],Table8[Chapter List],FALSE)</f>
        <v>0</v>
      </c>
      <c r="D624" s="51"/>
    </row>
    <row r="625" spans="1:4" x14ac:dyDescent="0.25">
      <c r="A625" s="50">
        <v>624</v>
      </c>
      <c r="B625" s="32"/>
      <c r="C625" s="32" t="b">
        <f>_xlfn.XLOOKUP(Table6[[#This Row],[Category No]],Table8[Category No],Table8[Chapter List],FALSE)</f>
        <v>0</v>
      </c>
      <c r="D625" s="51"/>
    </row>
    <row r="626" spans="1:4" x14ac:dyDescent="0.25">
      <c r="A626" s="50">
        <v>625</v>
      </c>
      <c r="B626" s="32"/>
      <c r="C626" s="32" t="b">
        <f>_xlfn.XLOOKUP(Table6[[#This Row],[Category No]],Table8[Category No],Table8[Chapter List],FALSE)</f>
        <v>0</v>
      </c>
      <c r="D626" s="51"/>
    </row>
    <row r="627" spans="1:4" x14ac:dyDescent="0.25">
      <c r="A627" s="50">
        <v>626</v>
      </c>
      <c r="B627" s="32"/>
      <c r="C627" s="32" t="b">
        <f>_xlfn.XLOOKUP(Table6[[#This Row],[Category No]],Table8[Category No],Table8[Chapter List],FALSE)</f>
        <v>0</v>
      </c>
      <c r="D627" s="51"/>
    </row>
    <row r="628" spans="1:4" x14ac:dyDescent="0.25">
      <c r="A628" s="50">
        <v>627</v>
      </c>
      <c r="B628" s="32"/>
      <c r="C628" s="32" t="b">
        <f>_xlfn.XLOOKUP(Table6[[#This Row],[Category No]],Table8[Category No],Table8[Chapter List],FALSE)</f>
        <v>0</v>
      </c>
      <c r="D628" s="51"/>
    </row>
    <row r="629" spans="1:4" x14ac:dyDescent="0.25">
      <c r="A629" s="50">
        <v>628</v>
      </c>
      <c r="B629" s="32"/>
      <c r="C629" s="32" t="b">
        <f>_xlfn.XLOOKUP(Table6[[#This Row],[Category No]],Table8[Category No],Table8[Chapter List],FALSE)</f>
        <v>0</v>
      </c>
      <c r="D629" s="51"/>
    </row>
    <row r="630" spans="1:4" x14ac:dyDescent="0.25">
      <c r="A630" s="50">
        <v>629</v>
      </c>
      <c r="B630" s="32"/>
      <c r="C630" s="32" t="b">
        <f>_xlfn.XLOOKUP(Table6[[#This Row],[Category No]],Table8[Category No],Table8[Chapter List],FALSE)</f>
        <v>0</v>
      </c>
      <c r="D630" s="51"/>
    </row>
    <row r="631" spans="1:4" x14ac:dyDescent="0.25">
      <c r="A631" s="50">
        <v>630</v>
      </c>
      <c r="B631" s="32"/>
      <c r="C631" s="32" t="b">
        <f>_xlfn.XLOOKUP(Table6[[#This Row],[Category No]],Table8[Category No],Table8[Chapter List],FALSE)</f>
        <v>0</v>
      </c>
      <c r="D631" s="51"/>
    </row>
    <row r="632" spans="1:4" x14ac:dyDescent="0.25">
      <c r="A632" s="50">
        <v>631</v>
      </c>
      <c r="B632" s="32"/>
      <c r="C632" s="32" t="b">
        <f>_xlfn.XLOOKUP(Table6[[#This Row],[Category No]],Table8[Category No],Table8[Chapter List],FALSE)</f>
        <v>0</v>
      </c>
      <c r="D632" s="51"/>
    </row>
    <row r="633" spans="1:4" x14ac:dyDescent="0.25">
      <c r="A633" s="50">
        <v>632</v>
      </c>
      <c r="B633" s="32"/>
      <c r="C633" s="32" t="b">
        <f>_xlfn.XLOOKUP(Table6[[#This Row],[Category No]],Table8[Category No],Table8[Chapter List],FALSE)</f>
        <v>0</v>
      </c>
      <c r="D633" s="51"/>
    </row>
    <row r="634" spans="1:4" x14ac:dyDescent="0.25">
      <c r="A634" s="50">
        <v>633</v>
      </c>
      <c r="B634" s="32"/>
      <c r="C634" s="32" t="b">
        <f>_xlfn.XLOOKUP(Table6[[#This Row],[Category No]],Table8[Category No],Table8[Chapter List],FALSE)</f>
        <v>0</v>
      </c>
      <c r="D634" s="51"/>
    </row>
    <row r="635" spans="1:4" x14ac:dyDescent="0.25">
      <c r="A635" s="50">
        <v>634</v>
      </c>
      <c r="B635" s="32"/>
      <c r="C635" s="32" t="b">
        <f>_xlfn.XLOOKUP(Table6[[#This Row],[Category No]],Table8[Category No],Table8[Chapter List],FALSE)</f>
        <v>0</v>
      </c>
      <c r="D635" s="51"/>
    </row>
    <row r="636" spans="1:4" x14ac:dyDescent="0.25">
      <c r="A636" s="50">
        <v>635</v>
      </c>
      <c r="B636" s="32"/>
      <c r="C636" s="32" t="b">
        <f>_xlfn.XLOOKUP(Table6[[#This Row],[Category No]],Table8[Category No],Table8[Chapter List],FALSE)</f>
        <v>0</v>
      </c>
      <c r="D636" s="51"/>
    </row>
    <row r="637" spans="1:4" x14ac:dyDescent="0.25">
      <c r="A637" s="50">
        <v>636</v>
      </c>
      <c r="B637" s="32"/>
      <c r="C637" s="32" t="b">
        <f>_xlfn.XLOOKUP(Table6[[#This Row],[Category No]],Table8[Category No],Table8[Chapter List],FALSE)</f>
        <v>0</v>
      </c>
      <c r="D637" s="51"/>
    </row>
    <row r="638" spans="1:4" x14ac:dyDescent="0.25">
      <c r="A638" s="50">
        <v>637</v>
      </c>
      <c r="B638" s="32"/>
      <c r="C638" s="32" t="b">
        <f>_xlfn.XLOOKUP(Table6[[#This Row],[Category No]],Table8[Category No],Table8[Chapter List],FALSE)</f>
        <v>0</v>
      </c>
      <c r="D638" s="51"/>
    </row>
    <row r="639" spans="1:4" x14ac:dyDescent="0.25">
      <c r="A639" s="50">
        <v>638</v>
      </c>
      <c r="B639" s="32"/>
      <c r="C639" s="32" t="b">
        <f>_xlfn.XLOOKUP(Table6[[#This Row],[Category No]],Table8[Category No],Table8[Chapter List],FALSE)</f>
        <v>0</v>
      </c>
      <c r="D639" s="51"/>
    </row>
    <row r="640" spans="1:4" x14ac:dyDescent="0.25">
      <c r="A640" s="50">
        <v>639</v>
      </c>
      <c r="B640" s="32"/>
      <c r="C640" s="32" t="b">
        <f>_xlfn.XLOOKUP(Table6[[#This Row],[Category No]],Table8[Category No],Table8[Chapter List],FALSE)</f>
        <v>0</v>
      </c>
      <c r="D640" s="51"/>
    </row>
    <row r="641" spans="1:4" x14ac:dyDescent="0.25">
      <c r="A641" s="50">
        <v>640</v>
      </c>
      <c r="B641" s="32"/>
      <c r="C641" s="32" t="b">
        <f>_xlfn.XLOOKUP(Table6[[#This Row],[Category No]],Table8[Category No],Table8[Chapter List],FALSE)</f>
        <v>0</v>
      </c>
      <c r="D641" s="51"/>
    </row>
    <row r="642" spans="1:4" x14ac:dyDescent="0.25">
      <c r="A642" s="50">
        <v>641</v>
      </c>
      <c r="B642" s="32"/>
      <c r="C642" s="32" t="b">
        <f>_xlfn.XLOOKUP(Table6[[#This Row],[Category No]],Table8[Category No],Table8[Chapter List],FALSE)</f>
        <v>0</v>
      </c>
      <c r="D642" s="51"/>
    </row>
    <row r="643" spans="1:4" x14ac:dyDescent="0.25">
      <c r="A643" s="50">
        <v>642</v>
      </c>
      <c r="B643" s="32"/>
      <c r="C643" s="32" t="b">
        <f>_xlfn.XLOOKUP(Table6[[#This Row],[Category No]],Table8[Category No],Table8[Chapter List],FALSE)</f>
        <v>0</v>
      </c>
      <c r="D643" s="51"/>
    </row>
    <row r="644" spans="1:4" x14ac:dyDescent="0.25">
      <c r="A644" s="50">
        <v>643</v>
      </c>
      <c r="B644" s="32"/>
      <c r="C644" s="32" t="b">
        <f>_xlfn.XLOOKUP(Table6[[#This Row],[Category No]],Table8[Category No],Table8[Chapter List],FALSE)</f>
        <v>0</v>
      </c>
      <c r="D644" s="51"/>
    </row>
    <row r="645" spans="1:4" x14ac:dyDescent="0.25">
      <c r="A645" s="50">
        <v>644</v>
      </c>
      <c r="B645" s="32"/>
      <c r="C645" s="32" t="b">
        <f>_xlfn.XLOOKUP(Table6[[#This Row],[Category No]],Table8[Category No],Table8[Chapter List],FALSE)</f>
        <v>0</v>
      </c>
      <c r="D645" s="51"/>
    </row>
    <row r="646" spans="1:4" x14ac:dyDescent="0.25">
      <c r="A646" s="50">
        <v>645</v>
      </c>
      <c r="B646" s="32"/>
      <c r="C646" s="32" t="b">
        <f>_xlfn.XLOOKUP(Table6[[#This Row],[Category No]],Table8[Category No],Table8[Chapter List],FALSE)</f>
        <v>0</v>
      </c>
      <c r="D646" s="51"/>
    </row>
    <row r="647" spans="1:4" x14ac:dyDescent="0.25">
      <c r="A647" s="50">
        <v>646</v>
      </c>
      <c r="B647" s="32"/>
      <c r="C647" s="32" t="b">
        <f>_xlfn.XLOOKUP(Table6[[#This Row],[Category No]],Table8[Category No],Table8[Chapter List],FALSE)</f>
        <v>0</v>
      </c>
      <c r="D647" s="51"/>
    </row>
    <row r="648" spans="1:4" x14ac:dyDescent="0.25">
      <c r="A648" s="50">
        <v>647</v>
      </c>
      <c r="B648" s="32"/>
      <c r="C648" s="32" t="b">
        <f>_xlfn.XLOOKUP(Table6[[#This Row],[Category No]],Table8[Category No],Table8[Chapter List],FALSE)</f>
        <v>0</v>
      </c>
      <c r="D648" s="51"/>
    </row>
    <row r="649" spans="1:4" x14ac:dyDescent="0.25">
      <c r="A649" s="50">
        <v>648</v>
      </c>
      <c r="B649" s="32"/>
      <c r="C649" s="32" t="b">
        <f>_xlfn.XLOOKUP(Table6[[#This Row],[Category No]],Table8[Category No],Table8[Chapter List],FALSE)</f>
        <v>0</v>
      </c>
      <c r="D649" s="51"/>
    </row>
    <row r="650" spans="1:4" x14ac:dyDescent="0.25">
      <c r="A650" s="50">
        <v>649</v>
      </c>
      <c r="B650" s="32"/>
      <c r="C650" s="32" t="b">
        <f>_xlfn.XLOOKUP(Table6[[#This Row],[Category No]],Table8[Category No],Table8[Chapter List],FALSE)</f>
        <v>0</v>
      </c>
      <c r="D650" s="51"/>
    </row>
    <row r="651" spans="1:4" x14ac:dyDescent="0.25">
      <c r="A651" s="50">
        <v>650</v>
      </c>
      <c r="B651" s="32"/>
      <c r="C651" s="32" t="b">
        <f>_xlfn.XLOOKUP(Table6[[#This Row],[Category No]],Table8[Category No],Table8[Chapter List],FALSE)</f>
        <v>0</v>
      </c>
      <c r="D651" s="51"/>
    </row>
    <row r="652" spans="1:4" x14ac:dyDescent="0.25">
      <c r="A652" s="50">
        <v>651</v>
      </c>
      <c r="B652" s="32"/>
      <c r="C652" s="32" t="b">
        <f>_xlfn.XLOOKUP(Table6[[#This Row],[Category No]],Table8[Category No],Table8[Chapter List],FALSE)</f>
        <v>0</v>
      </c>
      <c r="D652" s="51"/>
    </row>
    <row r="653" spans="1:4" x14ac:dyDescent="0.25">
      <c r="A653" s="50">
        <v>652</v>
      </c>
      <c r="B653" s="32"/>
      <c r="C653" s="32" t="b">
        <f>_xlfn.XLOOKUP(Table6[[#This Row],[Category No]],Table8[Category No],Table8[Chapter List],FALSE)</f>
        <v>0</v>
      </c>
      <c r="D653" s="51"/>
    </row>
    <row r="654" spans="1:4" x14ac:dyDescent="0.25">
      <c r="A654" s="50">
        <v>653</v>
      </c>
      <c r="B654" s="32"/>
      <c r="C654" s="32" t="b">
        <f>_xlfn.XLOOKUP(Table6[[#This Row],[Category No]],Table8[Category No],Table8[Chapter List],FALSE)</f>
        <v>0</v>
      </c>
      <c r="D654" s="51"/>
    </row>
    <row r="655" spans="1:4" x14ac:dyDescent="0.25">
      <c r="A655" s="50">
        <v>654</v>
      </c>
      <c r="B655" s="32"/>
      <c r="C655" s="32" t="b">
        <f>_xlfn.XLOOKUP(Table6[[#This Row],[Category No]],Table8[Category No],Table8[Chapter List],FALSE)</f>
        <v>0</v>
      </c>
      <c r="D655" s="51"/>
    </row>
    <row r="656" spans="1:4" x14ac:dyDescent="0.25">
      <c r="A656" s="50">
        <v>655</v>
      </c>
      <c r="B656" s="32"/>
      <c r="C656" s="32" t="b">
        <f>_xlfn.XLOOKUP(Table6[[#This Row],[Category No]],Table8[Category No],Table8[Chapter List],FALSE)</f>
        <v>0</v>
      </c>
      <c r="D656" s="51"/>
    </row>
    <row r="657" spans="1:4" x14ac:dyDescent="0.25">
      <c r="A657" s="50">
        <v>656</v>
      </c>
      <c r="B657" s="32"/>
      <c r="C657" s="32" t="b">
        <f>_xlfn.XLOOKUP(Table6[[#This Row],[Category No]],Table8[Category No],Table8[Chapter List],FALSE)</f>
        <v>0</v>
      </c>
      <c r="D657" s="51"/>
    </row>
    <row r="658" spans="1:4" x14ac:dyDescent="0.25">
      <c r="A658" s="50">
        <v>657</v>
      </c>
      <c r="B658" s="32"/>
      <c r="C658" s="32" t="b">
        <f>_xlfn.XLOOKUP(Table6[[#This Row],[Category No]],Table8[Category No],Table8[Chapter List],FALSE)</f>
        <v>0</v>
      </c>
      <c r="D658" s="51"/>
    </row>
    <row r="659" spans="1:4" x14ac:dyDescent="0.25">
      <c r="A659" s="50">
        <v>658</v>
      </c>
      <c r="B659" s="32"/>
      <c r="C659" s="32" t="b">
        <f>_xlfn.XLOOKUP(Table6[[#This Row],[Category No]],Table8[Category No],Table8[Chapter List],FALSE)</f>
        <v>0</v>
      </c>
      <c r="D659" s="51"/>
    </row>
    <row r="660" spans="1:4" x14ac:dyDescent="0.25">
      <c r="A660" s="50">
        <v>659</v>
      </c>
      <c r="B660" s="32"/>
      <c r="C660" s="32" t="b">
        <f>_xlfn.XLOOKUP(Table6[[#This Row],[Category No]],Table8[Category No],Table8[Chapter List],FALSE)</f>
        <v>0</v>
      </c>
      <c r="D660" s="51"/>
    </row>
    <row r="661" spans="1:4" x14ac:dyDescent="0.25">
      <c r="A661" s="50">
        <v>660</v>
      </c>
      <c r="B661" s="32"/>
      <c r="C661" s="32" t="b">
        <f>_xlfn.XLOOKUP(Table6[[#This Row],[Category No]],Table8[Category No],Table8[Chapter List],FALSE)</f>
        <v>0</v>
      </c>
      <c r="D661" s="51"/>
    </row>
    <row r="662" spans="1:4" x14ac:dyDescent="0.25">
      <c r="A662" s="50">
        <v>661</v>
      </c>
      <c r="B662" s="32"/>
      <c r="C662" s="32" t="b">
        <f>_xlfn.XLOOKUP(Table6[[#This Row],[Category No]],Table8[Category No],Table8[Chapter List],FALSE)</f>
        <v>0</v>
      </c>
      <c r="D662" s="51"/>
    </row>
    <row r="663" spans="1:4" x14ac:dyDescent="0.25">
      <c r="A663" s="50">
        <v>662</v>
      </c>
      <c r="B663" s="32"/>
      <c r="C663" s="32" t="b">
        <f>_xlfn.XLOOKUP(Table6[[#This Row],[Category No]],Table8[Category No],Table8[Chapter List],FALSE)</f>
        <v>0</v>
      </c>
      <c r="D663" s="51"/>
    </row>
    <row r="664" spans="1:4" x14ac:dyDescent="0.25">
      <c r="A664" s="50">
        <v>663</v>
      </c>
      <c r="B664" s="32"/>
      <c r="C664" s="32" t="b">
        <f>_xlfn.XLOOKUP(Table6[[#This Row],[Category No]],Table8[Category No],Table8[Chapter List],FALSE)</f>
        <v>0</v>
      </c>
      <c r="D664" s="51"/>
    </row>
    <row r="665" spans="1:4" x14ac:dyDescent="0.25">
      <c r="A665" s="50">
        <v>664</v>
      </c>
      <c r="B665" s="32"/>
      <c r="C665" s="32" t="b">
        <f>_xlfn.XLOOKUP(Table6[[#This Row],[Category No]],Table8[Category No],Table8[Chapter List],FALSE)</f>
        <v>0</v>
      </c>
      <c r="D665" s="51"/>
    </row>
    <row r="666" spans="1:4" x14ac:dyDescent="0.25">
      <c r="A666" s="50">
        <v>665</v>
      </c>
      <c r="B666" s="32"/>
      <c r="C666" s="32" t="b">
        <f>_xlfn.XLOOKUP(Table6[[#This Row],[Category No]],Table8[Category No],Table8[Chapter List],FALSE)</f>
        <v>0</v>
      </c>
      <c r="D666" s="51"/>
    </row>
    <row r="667" spans="1:4" x14ac:dyDescent="0.25">
      <c r="A667" s="50">
        <v>666</v>
      </c>
      <c r="B667" s="32"/>
      <c r="C667" s="32" t="b">
        <f>_xlfn.XLOOKUP(Table6[[#This Row],[Category No]],Table8[Category No],Table8[Chapter List],FALSE)</f>
        <v>0</v>
      </c>
      <c r="D667" s="51"/>
    </row>
    <row r="668" spans="1:4" x14ac:dyDescent="0.25">
      <c r="A668" s="50">
        <v>667</v>
      </c>
      <c r="B668" s="32"/>
      <c r="C668" s="32" t="b">
        <f>_xlfn.XLOOKUP(Table6[[#This Row],[Category No]],Table8[Category No],Table8[Chapter List],FALSE)</f>
        <v>0</v>
      </c>
      <c r="D668" s="51"/>
    </row>
    <row r="669" spans="1:4" x14ac:dyDescent="0.25">
      <c r="A669" s="50">
        <v>668</v>
      </c>
      <c r="B669" s="32"/>
      <c r="C669" s="32" t="b">
        <f>_xlfn.XLOOKUP(Table6[[#This Row],[Category No]],Table8[Category No],Table8[Chapter List],FALSE)</f>
        <v>0</v>
      </c>
      <c r="D669" s="51"/>
    </row>
    <row r="670" spans="1:4" x14ac:dyDescent="0.25">
      <c r="A670" s="50">
        <v>669</v>
      </c>
      <c r="B670" s="32"/>
      <c r="C670" s="32" t="b">
        <f>_xlfn.XLOOKUP(Table6[[#This Row],[Category No]],Table8[Category No],Table8[Chapter List],FALSE)</f>
        <v>0</v>
      </c>
      <c r="D670" s="51"/>
    </row>
    <row r="671" spans="1:4" x14ac:dyDescent="0.25">
      <c r="A671" s="50">
        <v>670</v>
      </c>
      <c r="B671" s="32"/>
      <c r="C671" s="32" t="b">
        <f>_xlfn.XLOOKUP(Table6[[#This Row],[Category No]],Table8[Category No],Table8[Chapter List],FALSE)</f>
        <v>0</v>
      </c>
      <c r="D671" s="51"/>
    </row>
    <row r="672" spans="1:4" x14ac:dyDescent="0.25">
      <c r="A672" s="50">
        <v>671</v>
      </c>
      <c r="B672" s="32"/>
      <c r="C672" s="32" t="b">
        <f>_xlfn.XLOOKUP(Table6[[#This Row],[Category No]],Table8[Category No],Table8[Chapter List],FALSE)</f>
        <v>0</v>
      </c>
      <c r="D672" s="51"/>
    </row>
    <row r="673" spans="1:4" x14ac:dyDescent="0.25">
      <c r="A673" s="50">
        <v>672</v>
      </c>
      <c r="B673" s="32"/>
      <c r="C673" s="32" t="b">
        <f>_xlfn.XLOOKUP(Table6[[#This Row],[Category No]],Table8[Category No],Table8[Chapter List],FALSE)</f>
        <v>0</v>
      </c>
      <c r="D673" s="51"/>
    </row>
    <row r="674" spans="1:4" x14ac:dyDescent="0.25">
      <c r="A674" s="50">
        <v>673</v>
      </c>
      <c r="B674" s="32"/>
      <c r="C674" s="32" t="b">
        <f>_xlfn.XLOOKUP(Table6[[#This Row],[Category No]],Table8[Category No],Table8[Chapter List],FALSE)</f>
        <v>0</v>
      </c>
      <c r="D674" s="51"/>
    </row>
    <row r="675" spans="1:4" x14ac:dyDescent="0.25">
      <c r="A675" s="50">
        <v>674</v>
      </c>
      <c r="B675" s="32"/>
      <c r="C675" s="32" t="b">
        <f>_xlfn.XLOOKUP(Table6[[#This Row],[Category No]],Table8[Category No],Table8[Chapter List],FALSE)</f>
        <v>0</v>
      </c>
      <c r="D675" s="51"/>
    </row>
    <row r="676" spans="1:4" x14ac:dyDescent="0.25">
      <c r="A676" s="50">
        <v>675</v>
      </c>
      <c r="B676" s="32"/>
      <c r="C676" s="32" t="b">
        <f>_xlfn.XLOOKUP(Table6[[#This Row],[Category No]],Table8[Category No],Table8[Chapter List],FALSE)</f>
        <v>0</v>
      </c>
      <c r="D676" s="51"/>
    </row>
    <row r="677" spans="1:4" x14ac:dyDescent="0.25">
      <c r="A677" s="50">
        <v>676</v>
      </c>
      <c r="B677" s="32"/>
      <c r="C677" s="32" t="b">
        <f>_xlfn.XLOOKUP(Table6[[#This Row],[Category No]],Table8[Category No],Table8[Chapter List],FALSE)</f>
        <v>0</v>
      </c>
      <c r="D677" s="51"/>
    </row>
    <row r="678" spans="1:4" x14ac:dyDescent="0.25">
      <c r="A678" s="50">
        <v>677</v>
      </c>
      <c r="B678" s="32"/>
      <c r="C678" s="32" t="b">
        <f>_xlfn.XLOOKUP(Table6[[#This Row],[Category No]],Table8[Category No],Table8[Chapter List],FALSE)</f>
        <v>0</v>
      </c>
      <c r="D678" s="51"/>
    </row>
    <row r="679" spans="1:4" x14ac:dyDescent="0.25">
      <c r="A679" s="50">
        <v>678</v>
      </c>
      <c r="B679" s="32"/>
      <c r="C679" s="32" t="b">
        <f>_xlfn.XLOOKUP(Table6[[#This Row],[Category No]],Table8[Category No],Table8[Chapter List],FALSE)</f>
        <v>0</v>
      </c>
      <c r="D679" s="51"/>
    </row>
    <row r="680" spans="1:4" x14ac:dyDescent="0.25">
      <c r="A680" s="50">
        <v>679</v>
      </c>
      <c r="B680" s="32"/>
      <c r="C680" s="32" t="b">
        <f>_xlfn.XLOOKUP(Table6[[#This Row],[Category No]],Table8[Category No],Table8[Chapter List],FALSE)</f>
        <v>0</v>
      </c>
      <c r="D680" s="51"/>
    </row>
    <row r="681" spans="1:4" x14ac:dyDescent="0.25">
      <c r="A681" s="50">
        <v>680</v>
      </c>
      <c r="B681" s="32"/>
      <c r="C681" s="32" t="b">
        <f>_xlfn.XLOOKUP(Table6[[#This Row],[Category No]],Table8[Category No],Table8[Chapter List],FALSE)</f>
        <v>0</v>
      </c>
      <c r="D681" s="51"/>
    </row>
    <row r="682" spans="1:4" x14ac:dyDescent="0.25">
      <c r="A682" s="50">
        <v>681</v>
      </c>
      <c r="B682" s="32"/>
      <c r="C682" s="32" t="b">
        <f>_xlfn.XLOOKUP(Table6[[#This Row],[Category No]],Table8[Category No],Table8[Chapter List],FALSE)</f>
        <v>0</v>
      </c>
      <c r="D682" s="51"/>
    </row>
    <row r="683" spans="1:4" x14ac:dyDescent="0.25">
      <c r="A683" s="50">
        <v>682</v>
      </c>
      <c r="B683" s="32"/>
      <c r="C683" s="32" t="b">
        <f>_xlfn.XLOOKUP(Table6[[#This Row],[Category No]],Table8[Category No],Table8[Chapter List],FALSE)</f>
        <v>0</v>
      </c>
      <c r="D683" s="51"/>
    </row>
    <row r="684" spans="1:4" x14ac:dyDescent="0.25">
      <c r="A684" s="50">
        <v>683</v>
      </c>
      <c r="B684" s="32"/>
      <c r="C684" s="32" t="b">
        <f>_xlfn.XLOOKUP(Table6[[#This Row],[Category No]],Table8[Category No],Table8[Chapter List],FALSE)</f>
        <v>0</v>
      </c>
      <c r="D684" s="51"/>
    </row>
    <row r="685" spans="1:4" x14ac:dyDescent="0.25">
      <c r="A685" s="50">
        <v>684</v>
      </c>
      <c r="B685" s="32"/>
      <c r="C685" s="32" t="b">
        <f>_xlfn.XLOOKUP(Table6[[#This Row],[Category No]],Table8[Category No],Table8[Chapter List],FALSE)</f>
        <v>0</v>
      </c>
      <c r="D685" s="51"/>
    </row>
    <row r="686" spans="1:4" x14ac:dyDescent="0.25">
      <c r="A686" s="50">
        <v>685</v>
      </c>
      <c r="B686" s="32"/>
      <c r="C686" s="32" t="b">
        <f>_xlfn.XLOOKUP(Table6[[#This Row],[Category No]],Table8[Category No],Table8[Chapter List],FALSE)</f>
        <v>0</v>
      </c>
      <c r="D686" s="51"/>
    </row>
    <row r="687" spans="1:4" x14ac:dyDescent="0.25">
      <c r="A687" s="50">
        <v>686</v>
      </c>
      <c r="B687" s="32"/>
      <c r="C687" s="32" t="b">
        <f>_xlfn.XLOOKUP(Table6[[#This Row],[Category No]],Table8[Category No],Table8[Chapter List],FALSE)</f>
        <v>0</v>
      </c>
      <c r="D687" s="51"/>
    </row>
    <row r="688" spans="1:4" x14ac:dyDescent="0.25">
      <c r="A688" s="50">
        <v>687</v>
      </c>
      <c r="B688" s="32"/>
      <c r="C688" s="32" t="b">
        <f>_xlfn.XLOOKUP(Table6[[#This Row],[Category No]],Table8[Category No],Table8[Chapter List],FALSE)</f>
        <v>0</v>
      </c>
      <c r="D688" s="51"/>
    </row>
    <row r="689" spans="1:4" x14ac:dyDescent="0.25">
      <c r="A689" s="50">
        <v>688</v>
      </c>
      <c r="B689" s="32"/>
      <c r="C689" s="32" t="b">
        <f>_xlfn.XLOOKUP(Table6[[#This Row],[Category No]],Table8[Category No],Table8[Chapter List],FALSE)</f>
        <v>0</v>
      </c>
      <c r="D689" s="51"/>
    </row>
    <row r="690" spans="1:4" x14ac:dyDescent="0.25">
      <c r="A690" s="50">
        <v>689</v>
      </c>
      <c r="B690" s="32"/>
      <c r="C690" s="32" t="b">
        <f>_xlfn.XLOOKUP(Table6[[#This Row],[Category No]],Table8[Category No],Table8[Chapter List],FALSE)</f>
        <v>0</v>
      </c>
      <c r="D690" s="51"/>
    </row>
    <row r="691" spans="1:4" x14ac:dyDescent="0.25">
      <c r="A691" s="50">
        <v>690</v>
      </c>
      <c r="B691" s="32"/>
      <c r="C691" s="32" t="b">
        <f>_xlfn.XLOOKUP(Table6[[#This Row],[Category No]],Table8[Category No],Table8[Chapter List],FALSE)</f>
        <v>0</v>
      </c>
      <c r="D691" s="51"/>
    </row>
    <row r="692" spans="1:4" x14ac:dyDescent="0.25">
      <c r="A692" s="50">
        <v>691</v>
      </c>
      <c r="B692" s="32"/>
      <c r="C692" s="32" t="b">
        <f>_xlfn.XLOOKUP(Table6[[#This Row],[Category No]],Table8[Category No],Table8[Chapter List],FALSE)</f>
        <v>0</v>
      </c>
      <c r="D692" s="51"/>
    </row>
    <row r="693" spans="1:4" x14ac:dyDescent="0.25">
      <c r="A693" s="50">
        <v>692</v>
      </c>
      <c r="B693" s="32"/>
      <c r="C693" s="32" t="b">
        <f>_xlfn.XLOOKUP(Table6[[#This Row],[Category No]],Table8[Category No],Table8[Chapter List],FALSE)</f>
        <v>0</v>
      </c>
      <c r="D693" s="51"/>
    </row>
    <row r="694" spans="1:4" x14ac:dyDescent="0.25">
      <c r="A694" s="50">
        <v>693</v>
      </c>
      <c r="B694" s="32"/>
      <c r="C694" s="32" t="b">
        <f>_xlfn.XLOOKUP(Table6[[#This Row],[Category No]],Table8[Category No],Table8[Chapter List],FALSE)</f>
        <v>0</v>
      </c>
      <c r="D694" s="51"/>
    </row>
    <row r="695" spans="1:4" x14ac:dyDescent="0.25">
      <c r="A695" s="50">
        <v>694</v>
      </c>
      <c r="B695" s="32"/>
      <c r="C695" s="32" t="b">
        <f>_xlfn.XLOOKUP(Table6[[#This Row],[Category No]],Table8[Category No],Table8[Chapter List],FALSE)</f>
        <v>0</v>
      </c>
      <c r="D695" s="51"/>
    </row>
    <row r="696" spans="1:4" x14ac:dyDescent="0.25">
      <c r="A696" s="50">
        <v>695</v>
      </c>
      <c r="B696" s="32"/>
      <c r="C696" s="32" t="b">
        <f>_xlfn.XLOOKUP(Table6[[#This Row],[Category No]],Table8[Category No],Table8[Chapter List],FALSE)</f>
        <v>0</v>
      </c>
      <c r="D696" s="51"/>
    </row>
    <row r="697" spans="1:4" x14ac:dyDescent="0.25">
      <c r="A697" s="50">
        <v>696</v>
      </c>
      <c r="B697" s="32"/>
      <c r="C697" s="32" t="b">
        <f>_xlfn.XLOOKUP(Table6[[#This Row],[Category No]],Table8[Category No],Table8[Chapter List],FALSE)</f>
        <v>0</v>
      </c>
      <c r="D697" s="51"/>
    </row>
    <row r="698" spans="1:4" x14ac:dyDescent="0.25">
      <c r="A698" s="50">
        <v>697</v>
      </c>
      <c r="B698" s="32"/>
      <c r="C698" s="32" t="b">
        <f>_xlfn.XLOOKUP(Table6[[#This Row],[Category No]],Table8[Category No],Table8[Chapter List],FALSE)</f>
        <v>0</v>
      </c>
      <c r="D698" s="51"/>
    </row>
    <row r="699" spans="1:4" x14ac:dyDescent="0.25">
      <c r="A699" s="50">
        <v>698</v>
      </c>
      <c r="B699" s="32"/>
      <c r="C699" s="32" t="b">
        <f>_xlfn.XLOOKUP(Table6[[#This Row],[Category No]],Table8[Category No],Table8[Chapter List],FALSE)</f>
        <v>0</v>
      </c>
      <c r="D699" s="51"/>
    </row>
    <row r="700" spans="1:4" x14ac:dyDescent="0.25">
      <c r="A700" s="50">
        <v>699</v>
      </c>
      <c r="B700" s="32"/>
      <c r="C700" s="32" t="b">
        <f>_xlfn.XLOOKUP(Table6[[#This Row],[Category No]],Table8[Category No],Table8[Chapter List],FALSE)</f>
        <v>0</v>
      </c>
      <c r="D700" s="51"/>
    </row>
    <row r="701" spans="1:4" x14ac:dyDescent="0.25">
      <c r="A701" s="50">
        <v>700</v>
      </c>
      <c r="B701" s="32"/>
      <c r="C701" s="32" t="b">
        <f>_xlfn.XLOOKUP(Table6[[#This Row],[Category No]],Table8[Category No],Table8[Chapter List],FALSE)</f>
        <v>0</v>
      </c>
      <c r="D701" s="51"/>
    </row>
    <row r="702" spans="1:4" x14ac:dyDescent="0.25">
      <c r="A702" s="50">
        <v>701</v>
      </c>
      <c r="B702" s="32"/>
      <c r="C702" s="32" t="b">
        <f>_xlfn.XLOOKUP(Table6[[#This Row],[Category No]],Table8[Category No],Table8[Chapter List],FALSE)</f>
        <v>0</v>
      </c>
      <c r="D702" s="51"/>
    </row>
    <row r="703" spans="1:4" x14ac:dyDescent="0.25">
      <c r="A703" s="50">
        <v>702</v>
      </c>
      <c r="B703" s="32"/>
      <c r="C703" s="32" t="b">
        <f>_xlfn.XLOOKUP(Table6[[#This Row],[Category No]],Table8[Category No],Table8[Chapter List],FALSE)</f>
        <v>0</v>
      </c>
      <c r="D703" s="51"/>
    </row>
    <row r="704" spans="1:4" x14ac:dyDescent="0.25">
      <c r="A704" s="50">
        <v>703</v>
      </c>
      <c r="B704" s="32"/>
      <c r="C704" s="32" t="b">
        <f>_xlfn.XLOOKUP(Table6[[#This Row],[Category No]],Table8[Category No],Table8[Chapter List],FALSE)</f>
        <v>0</v>
      </c>
      <c r="D704" s="51"/>
    </row>
    <row r="705" spans="1:4" x14ac:dyDescent="0.25">
      <c r="A705" s="50">
        <v>704</v>
      </c>
      <c r="B705" s="32"/>
      <c r="C705" s="32" t="b">
        <f>_xlfn.XLOOKUP(Table6[[#This Row],[Category No]],Table8[Category No],Table8[Chapter List],FALSE)</f>
        <v>0</v>
      </c>
      <c r="D705" s="51"/>
    </row>
    <row r="706" spans="1:4" x14ac:dyDescent="0.25">
      <c r="A706" s="50">
        <v>705</v>
      </c>
      <c r="B706" s="32"/>
      <c r="C706" s="32" t="b">
        <f>_xlfn.XLOOKUP(Table6[[#This Row],[Category No]],Table8[Category No],Table8[Chapter List],FALSE)</f>
        <v>0</v>
      </c>
      <c r="D706" s="51"/>
    </row>
    <row r="707" spans="1:4" x14ac:dyDescent="0.25">
      <c r="A707" s="50">
        <v>706</v>
      </c>
      <c r="B707" s="32"/>
      <c r="C707" s="32" t="b">
        <f>_xlfn.XLOOKUP(Table6[[#This Row],[Category No]],Table8[Category No],Table8[Chapter List],FALSE)</f>
        <v>0</v>
      </c>
      <c r="D707" s="51"/>
    </row>
    <row r="708" spans="1:4" x14ac:dyDescent="0.25">
      <c r="A708" s="50">
        <v>707</v>
      </c>
      <c r="B708" s="32"/>
      <c r="C708" s="32" t="b">
        <f>_xlfn.XLOOKUP(Table6[[#This Row],[Category No]],Table8[Category No],Table8[Chapter List],FALSE)</f>
        <v>0</v>
      </c>
      <c r="D708" s="51"/>
    </row>
    <row r="709" spans="1:4" x14ac:dyDescent="0.25">
      <c r="A709" s="50">
        <v>708</v>
      </c>
      <c r="B709" s="32"/>
      <c r="C709" s="32" t="b">
        <f>_xlfn.XLOOKUP(Table6[[#This Row],[Category No]],Table8[Category No],Table8[Chapter List],FALSE)</f>
        <v>0</v>
      </c>
      <c r="D709" s="51"/>
    </row>
    <row r="710" spans="1:4" x14ac:dyDescent="0.25">
      <c r="A710" s="50">
        <v>709</v>
      </c>
      <c r="B710" s="32"/>
      <c r="C710" s="32" t="b">
        <f>_xlfn.XLOOKUP(Table6[[#This Row],[Category No]],Table8[Category No],Table8[Chapter List],FALSE)</f>
        <v>0</v>
      </c>
      <c r="D710" s="51"/>
    </row>
    <row r="711" spans="1:4" x14ac:dyDescent="0.25">
      <c r="A711" s="50">
        <v>710</v>
      </c>
      <c r="B711" s="32"/>
      <c r="C711" s="32" t="b">
        <f>_xlfn.XLOOKUP(Table6[[#This Row],[Category No]],Table8[Category No],Table8[Chapter List],FALSE)</f>
        <v>0</v>
      </c>
      <c r="D711" s="51"/>
    </row>
    <row r="712" spans="1:4" x14ac:dyDescent="0.25">
      <c r="A712" s="50">
        <v>711</v>
      </c>
      <c r="B712" s="32"/>
      <c r="C712" s="32" t="b">
        <f>_xlfn.XLOOKUP(Table6[[#This Row],[Category No]],Table8[Category No],Table8[Chapter List],FALSE)</f>
        <v>0</v>
      </c>
      <c r="D712" s="51"/>
    </row>
    <row r="713" spans="1:4" x14ac:dyDescent="0.25">
      <c r="A713" s="50">
        <v>712</v>
      </c>
      <c r="B713" s="32"/>
      <c r="C713" s="32" t="b">
        <f>_xlfn.XLOOKUP(Table6[[#This Row],[Category No]],Table8[Category No],Table8[Chapter List],FALSE)</f>
        <v>0</v>
      </c>
      <c r="D713" s="51"/>
    </row>
    <row r="714" spans="1:4" x14ac:dyDescent="0.25">
      <c r="A714" s="50">
        <v>713</v>
      </c>
      <c r="B714" s="32"/>
      <c r="C714" s="32" t="b">
        <f>_xlfn.XLOOKUP(Table6[[#This Row],[Category No]],Table8[Category No],Table8[Chapter List],FALSE)</f>
        <v>0</v>
      </c>
      <c r="D714" s="51"/>
    </row>
    <row r="715" spans="1:4" x14ac:dyDescent="0.25">
      <c r="A715" s="50">
        <v>714</v>
      </c>
      <c r="B715" s="32"/>
      <c r="C715" s="32" t="b">
        <f>_xlfn.XLOOKUP(Table6[[#This Row],[Category No]],Table8[Category No],Table8[Chapter List],FALSE)</f>
        <v>0</v>
      </c>
      <c r="D715" s="51"/>
    </row>
    <row r="716" spans="1:4" x14ac:dyDescent="0.25">
      <c r="A716" s="50">
        <v>715</v>
      </c>
      <c r="B716" s="32"/>
      <c r="C716" s="32" t="b">
        <f>_xlfn.XLOOKUP(Table6[[#This Row],[Category No]],Table8[Category No],Table8[Chapter List],FALSE)</f>
        <v>0</v>
      </c>
      <c r="D716" s="51"/>
    </row>
    <row r="717" spans="1:4" x14ac:dyDescent="0.25">
      <c r="A717" s="50">
        <v>716</v>
      </c>
      <c r="B717" s="32"/>
      <c r="C717" s="32" t="b">
        <f>_xlfn.XLOOKUP(Table6[[#This Row],[Category No]],Table8[Category No],Table8[Chapter List],FALSE)</f>
        <v>0</v>
      </c>
      <c r="D717" s="51"/>
    </row>
    <row r="718" spans="1:4" x14ac:dyDescent="0.25">
      <c r="A718" s="50">
        <v>717</v>
      </c>
      <c r="B718" s="32"/>
      <c r="C718" s="32" t="b">
        <f>_xlfn.XLOOKUP(Table6[[#This Row],[Category No]],Table8[Category No],Table8[Chapter List],FALSE)</f>
        <v>0</v>
      </c>
      <c r="D718" s="51"/>
    </row>
    <row r="719" spans="1:4" x14ac:dyDescent="0.25">
      <c r="A719" s="50">
        <v>718</v>
      </c>
      <c r="B719" s="32"/>
      <c r="C719" s="32" t="b">
        <f>_xlfn.XLOOKUP(Table6[[#This Row],[Category No]],Table8[Category No],Table8[Chapter List],FALSE)</f>
        <v>0</v>
      </c>
      <c r="D719" s="51"/>
    </row>
    <row r="720" spans="1:4" x14ac:dyDescent="0.25">
      <c r="A720" s="50">
        <v>719</v>
      </c>
      <c r="B720" s="32"/>
      <c r="C720" s="32" t="b">
        <f>_xlfn.XLOOKUP(Table6[[#This Row],[Category No]],Table8[Category No],Table8[Chapter List],FALSE)</f>
        <v>0</v>
      </c>
      <c r="D720" s="51"/>
    </row>
    <row r="721" spans="1:4" x14ac:dyDescent="0.25">
      <c r="A721" s="50">
        <v>720</v>
      </c>
      <c r="B721" s="32"/>
      <c r="C721" s="32" t="b">
        <f>_xlfn.XLOOKUP(Table6[[#This Row],[Category No]],Table8[Category No],Table8[Chapter List],FALSE)</f>
        <v>0</v>
      </c>
      <c r="D721" s="51"/>
    </row>
    <row r="722" spans="1:4" x14ac:dyDescent="0.25">
      <c r="A722" s="50">
        <v>721</v>
      </c>
      <c r="B722" s="32"/>
      <c r="C722" s="32" t="b">
        <f>_xlfn.XLOOKUP(Table6[[#This Row],[Category No]],Table8[Category No],Table8[Chapter List],FALSE)</f>
        <v>0</v>
      </c>
      <c r="D722" s="51"/>
    </row>
    <row r="723" spans="1:4" x14ac:dyDescent="0.25">
      <c r="A723" s="50">
        <v>722</v>
      </c>
      <c r="B723" s="32"/>
      <c r="C723" s="32" t="b">
        <f>_xlfn.XLOOKUP(Table6[[#This Row],[Category No]],Table8[Category No],Table8[Chapter List],FALSE)</f>
        <v>0</v>
      </c>
      <c r="D723" s="51"/>
    </row>
    <row r="724" spans="1:4" x14ac:dyDescent="0.25">
      <c r="A724" s="50">
        <v>723</v>
      </c>
      <c r="B724" s="32"/>
      <c r="C724" s="32" t="b">
        <f>_xlfn.XLOOKUP(Table6[[#This Row],[Category No]],Table8[Category No],Table8[Chapter List],FALSE)</f>
        <v>0</v>
      </c>
      <c r="D724" s="51"/>
    </row>
    <row r="725" spans="1:4" x14ac:dyDescent="0.25">
      <c r="A725" s="50">
        <v>724</v>
      </c>
      <c r="B725" s="32"/>
      <c r="C725" s="32" t="b">
        <f>_xlfn.XLOOKUP(Table6[[#This Row],[Category No]],Table8[Category No],Table8[Chapter List],FALSE)</f>
        <v>0</v>
      </c>
      <c r="D725" s="51"/>
    </row>
    <row r="726" spans="1:4" x14ac:dyDescent="0.25">
      <c r="A726" s="50">
        <v>725</v>
      </c>
      <c r="B726" s="32"/>
      <c r="C726" s="32" t="b">
        <f>_xlfn.XLOOKUP(Table6[[#This Row],[Category No]],Table8[Category No],Table8[Chapter List],FALSE)</f>
        <v>0</v>
      </c>
      <c r="D726" s="51"/>
    </row>
    <row r="727" spans="1:4" x14ac:dyDescent="0.25">
      <c r="A727" s="50">
        <v>726</v>
      </c>
      <c r="B727" s="32"/>
      <c r="C727" s="32" t="b">
        <f>_xlfn.XLOOKUP(Table6[[#This Row],[Category No]],Table8[Category No],Table8[Chapter List],FALSE)</f>
        <v>0</v>
      </c>
      <c r="D727" s="51"/>
    </row>
    <row r="728" spans="1:4" x14ac:dyDescent="0.25">
      <c r="A728" s="50">
        <v>727</v>
      </c>
      <c r="B728" s="32"/>
      <c r="C728" s="32" t="b">
        <f>_xlfn.XLOOKUP(Table6[[#This Row],[Category No]],Table8[Category No],Table8[Chapter List],FALSE)</f>
        <v>0</v>
      </c>
      <c r="D728" s="51"/>
    </row>
    <row r="729" spans="1:4" x14ac:dyDescent="0.25">
      <c r="A729" s="50">
        <v>728</v>
      </c>
      <c r="B729" s="32"/>
      <c r="C729" s="32" t="b">
        <f>_xlfn.XLOOKUP(Table6[[#This Row],[Category No]],Table8[Category No],Table8[Chapter List],FALSE)</f>
        <v>0</v>
      </c>
      <c r="D729" s="51"/>
    </row>
    <row r="730" spans="1:4" x14ac:dyDescent="0.25">
      <c r="A730" s="50">
        <v>729</v>
      </c>
      <c r="B730" s="32"/>
      <c r="C730" s="32" t="b">
        <f>_xlfn.XLOOKUP(Table6[[#This Row],[Category No]],Table8[Category No],Table8[Chapter List],FALSE)</f>
        <v>0</v>
      </c>
      <c r="D730" s="51"/>
    </row>
    <row r="731" spans="1:4" x14ac:dyDescent="0.25">
      <c r="A731" s="50">
        <v>730</v>
      </c>
      <c r="B731" s="32"/>
      <c r="C731" s="32" t="b">
        <f>_xlfn.XLOOKUP(Table6[[#This Row],[Category No]],Table8[Category No],Table8[Chapter List],FALSE)</f>
        <v>0</v>
      </c>
      <c r="D731" s="51"/>
    </row>
    <row r="732" spans="1:4" x14ac:dyDescent="0.25">
      <c r="A732" s="50">
        <v>731</v>
      </c>
      <c r="B732" s="32"/>
      <c r="C732" s="32" t="b">
        <f>_xlfn.XLOOKUP(Table6[[#This Row],[Category No]],Table8[Category No],Table8[Chapter List],FALSE)</f>
        <v>0</v>
      </c>
      <c r="D732" s="51"/>
    </row>
    <row r="733" spans="1:4" x14ac:dyDescent="0.25">
      <c r="A733" s="50">
        <v>732</v>
      </c>
      <c r="B733" s="32"/>
      <c r="C733" s="32" t="b">
        <f>_xlfn.XLOOKUP(Table6[[#This Row],[Category No]],Table8[Category No],Table8[Chapter List],FALSE)</f>
        <v>0</v>
      </c>
      <c r="D733" s="51"/>
    </row>
    <row r="734" spans="1:4" x14ac:dyDescent="0.25">
      <c r="A734" s="50">
        <v>733</v>
      </c>
      <c r="B734" s="32"/>
      <c r="C734" s="32" t="b">
        <f>_xlfn.XLOOKUP(Table6[[#This Row],[Category No]],Table8[Category No],Table8[Chapter List],FALSE)</f>
        <v>0</v>
      </c>
      <c r="D734" s="51"/>
    </row>
    <row r="735" spans="1:4" x14ac:dyDescent="0.25">
      <c r="A735" s="50">
        <v>734</v>
      </c>
      <c r="B735" s="32"/>
      <c r="C735" s="32" t="b">
        <f>_xlfn.XLOOKUP(Table6[[#This Row],[Category No]],Table8[Category No],Table8[Chapter List],FALSE)</f>
        <v>0</v>
      </c>
      <c r="D735" s="51"/>
    </row>
    <row r="736" spans="1:4" x14ac:dyDescent="0.25">
      <c r="A736" s="50">
        <v>735</v>
      </c>
      <c r="B736" s="32"/>
      <c r="C736" s="32" t="b">
        <f>_xlfn.XLOOKUP(Table6[[#This Row],[Category No]],Table8[Category No],Table8[Chapter List],FALSE)</f>
        <v>0</v>
      </c>
      <c r="D736" s="51"/>
    </row>
    <row r="737" spans="1:4" x14ac:dyDescent="0.25">
      <c r="A737" s="50">
        <v>736</v>
      </c>
      <c r="B737" s="32"/>
      <c r="C737" s="32" t="b">
        <f>_xlfn.XLOOKUP(Table6[[#This Row],[Category No]],Table8[Category No],Table8[Chapter List],FALSE)</f>
        <v>0</v>
      </c>
      <c r="D737" s="51"/>
    </row>
    <row r="738" spans="1:4" x14ac:dyDescent="0.25">
      <c r="A738" s="50">
        <v>737</v>
      </c>
      <c r="B738" s="32"/>
      <c r="C738" s="32" t="b">
        <f>_xlfn.XLOOKUP(Table6[[#This Row],[Category No]],Table8[Category No],Table8[Chapter List],FALSE)</f>
        <v>0</v>
      </c>
      <c r="D738" s="51"/>
    </row>
    <row r="739" spans="1:4" x14ac:dyDescent="0.25">
      <c r="A739" s="50">
        <v>738</v>
      </c>
      <c r="B739" s="32"/>
      <c r="C739" s="32" t="b">
        <f>_xlfn.XLOOKUP(Table6[[#This Row],[Category No]],Table8[Category No],Table8[Chapter List],FALSE)</f>
        <v>0</v>
      </c>
      <c r="D739" s="51"/>
    </row>
    <row r="740" spans="1:4" x14ac:dyDescent="0.25">
      <c r="A740" s="50">
        <v>739</v>
      </c>
      <c r="B740" s="32"/>
      <c r="C740" s="32" t="b">
        <f>_xlfn.XLOOKUP(Table6[[#This Row],[Category No]],Table8[Category No],Table8[Chapter List],FALSE)</f>
        <v>0</v>
      </c>
      <c r="D740" s="51"/>
    </row>
    <row r="741" spans="1:4" x14ac:dyDescent="0.25">
      <c r="A741" s="50">
        <v>740</v>
      </c>
      <c r="B741" s="32"/>
      <c r="C741" s="32" t="b">
        <f>_xlfn.XLOOKUP(Table6[[#This Row],[Category No]],Table8[Category No],Table8[Chapter List],FALSE)</f>
        <v>0</v>
      </c>
      <c r="D741" s="51"/>
    </row>
    <row r="742" spans="1:4" x14ac:dyDescent="0.25">
      <c r="A742" s="50">
        <v>741</v>
      </c>
      <c r="B742" s="32"/>
      <c r="C742" s="32" t="b">
        <f>_xlfn.XLOOKUP(Table6[[#This Row],[Category No]],Table8[Category No],Table8[Chapter List],FALSE)</f>
        <v>0</v>
      </c>
      <c r="D742" s="51"/>
    </row>
    <row r="743" spans="1:4" x14ac:dyDescent="0.25">
      <c r="A743" s="50">
        <v>742</v>
      </c>
      <c r="B743" s="32"/>
      <c r="C743" s="32" t="b">
        <f>_xlfn.XLOOKUP(Table6[[#This Row],[Category No]],Table8[Category No],Table8[Chapter List],FALSE)</f>
        <v>0</v>
      </c>
      <c r="D743" s="51"/>
    </row>
    <row r="744" spans="1:4" x14ac:dyDescent="0.25">
      <c r="A744" s="50">
        <v>743</v>
      </c>
      <c r="B744" s="32"/>
      <c r="C744" s="32" t="b">
        <f>_xlfn.XLOOKUP(Table6[[#This Row],[Category No]],Table8[Category No],Table8[Chapter List],FALSE)</f>
        <v>0</v>
      </c>
      <c r="D744" s="51"/>
    </row>
    <row r="745" spans="1:4" x14ac:dyDescent="0.25">
      <c r="A745" s="50">
        <v>744</v>
      </c>
      <c r="B745" s="32"/>
      <c r="C745" s="32" t="b">
        <f>_xlfn.XLOOKUP(Table6[[#This Row],[Category No]],Table8[Category No],Table8[Chapter List],FALSE)</f>
        <v>0</v>
      </c>
      <c r="D745" s="51"/>
    </row>
    <row r="746" spans="1:4" x14ac:dyDescent="0.25">
      <c r="A746" s="50">
        <v>745</v>
      </c>
      <c r="B746" s="32"/>
      <c r="C746" s="32" t="b">
        <f>_xlfn.XLOOKUP(Table6[[#This Row],[Category No]],Table8[Category No],Table8[Chapter List],FALSE)</f>
        <v>0</v>
      </c>
      <c r="D746" s="51"/>
    </row>
    <row r="747" spans="1:4" x14ac:dyDescent="0.25">
      <c r="A747" s="50">
        <v>746</v>
      </c>
      <c r="B747" s="32"/>
      <c r="C747" s="32" t="b">
        <f>_xlfn.XLOOKUP(Table6[[#This Row],[Category No]],Table8[Category No],Table8[Chapter List],FALSE)</f>
        <v>0</v>
      </c>
      <c r="D747" s="51"/>
    </row>
    <row r="748" spans="1:4" x14ac:dyDescent="0.25">
      <c r="A748" s="50">
        <v>747</v>
      </c>
      <c r="B748" s="32"/>
      <c r="C748" s="32" t="b">
        <f>_xlfn.XLOOKUP(Table6[[#This Row],[Category No]],Table8[Category No],Table8[Chapter List],FALSE)</f>
        <v>0</v>
      </c>
      <c r="D748" s="51"/>
    </row>
    <row r="749" spans="1:4" x14ac:dyDescent="0.25">
      <c r="A749" s="50">
        <v>748</v>
      </c>
      <c r="B749" s="32"/>
      <c r="C749" s="32" t="b">
        <f>_xlfn.XLOOKUP(Table6[[#This Row],[Category No]],Table8[Category No],Table8[Chapter List],FALSE)</f>
        <v>0</v>
      </c>
      <c r="D749" s="51"/>
    </row>
    <row r="750" spans="1:4" x14ac:dyDescent="0.25">
      <c r="A750" s="50">
        <v>749</v>
      </c>
      <c r="B750" s="32"/>
      <c r="C750" s="32" t="b">
        <f>_xlfn.XLOOKUP(Table6[[#This Row],[Category No]],Table8[Category No],Table8[Chapter List],FALSE)</f>
        <v>0</v>
      </c>
      <c r="D750" s="51"/>
    </row>
    <row r="751" spans="1:4" x14ac:dyDescent="0.25">
      <c r="A751" s="50">
        <v>750</v>
      </c>
      <c r="B751" s="32"/>
      <c r="C751" s="32" t="b">
        <f>_xlfn.XLOOKUP(Table6[[#This Row],[Category No]],Table8[Category No],Table8[Chapter List],FALSE)</f>
        <v>0</v>
      </c>
      <c r="D751" s="51"/>
    </row>
    <row r="752" spans="1:4" x14ac:dyDescent="0.25">
      <c r="A752" s="50">
        <v>751</v>
      </c>
      <c r="B752" s="32"/>
      <c r="C752" s="32" t="b">
        <f>_xlfn.XLOOKUP(Table6[[#This Row],[Category No]],Table8[Category No],Table8[Chapter List],FALSE)</f>
        <v>0</v>
      </c>
      <c r="D752" s="51"/>
    </row>
    <row r="753" spans="1:4" x14ac:dyDescent="0.25">
      <c r="A753" s="50">
        <v>752</v>
      </c>
      <c r="B753" s="32"/>
      <c r="C753" s="32" t="b">
        <f>_xlfn.XLOOKUP(Table6[[#This Row],[Category No]],Table8[Category No],Table8[Chapter List],FALSE)</f>
        <v>0</v>
      </c>
      <c r="D753" s="51"/>
    </row>
    <row r="754" spans="1:4" x14ac:dyDescent="0.25">
      <c r="A754" s="50">
        <v>753</v>
      </c>
      <c r="B754" s="32"/>
      <c r="C754" s="32" t="b">
        <f>_xlfn.XLOOKUP(Table6[[#This Row],[Category No]],Table8[Category No],Table8[Chapter List],FALSE)</f>
        <v>0</v>
      </c>
      <c r="D754" s="51"/>
    </row>
    <row r="755" spans="1:4" x14ac:dyDescent="0.25">
      <c r="A755" s="50">
        <v>754</v>
      </c>
      <c r="B755" s="32"/>
      <c r="C755" s="32" t="b">
        <f>_xlfn.XLOOKUP(Table6[[#This Row],[Category No]],Table8[Category No],Table8[Chapter List],FALSE)</f>
        <v>0</v>
      </c>
      <c r="D755" s="51"/>
    </row>
    <row r="756" spans="1:4" x14ac:dyDescent="0.25">
      <c r="A756" s="50">
        <v>755</v>
      </c>
      <c r="B756" s="32"/>
      <c r="C756" s="32" t="b">
        <f>_xlfn.XLOOKUP(Table6[[#This Row],[Category No]],Table8[Category No],Table8[Chapter List],FALSE)</f>
        <v>0</v>
      </c>
      <c r="D756" s="51"/>
    </row>
    <row r="757" spans="1:4" x14ac:dyDescent="0.25">
      <c r="A757" s="50">
        <v>756</v>
      </c>
      <c r="B757" s="32"/>
      <c r="C757" s="32" t="b">
        <f>_xlfn.XLOOKUP(Table6[[#This Row],[Category No]],Table8[Category No],Table8[Chapter List],FALSE)</f>
        <v>0</v>
      </c>
      <c r="D757" s="51"/>
    </row>
    <row r="758" spans="1:4" x14ac:dyDescent="0.25">
      <c r="A758" s="50">
        <v>757</v>
      </c>
      <c r="B758" s="32"/>
      <c r="C758" s="32" t="b">
        <f>_xlfn.XLOOKUP(Table6[[#This Row],[Category No]],Table8[Category No],Table8[Chapter List],FALSE)</f>
        <v>0</v>
      </c>
      <c r="D758" s="51"/>
    </row>
    <row r="759" spans="1:4" x14ac:dyDescent="0.25">
      <c r="A759" s="50">
        <v>758</v>
      </c>
      <c r="B759" s="32"/>
      <c r="C759" s="32" t="b">
        <f>_xlfn.XLOOKUP(Table6[[#This Row],[Category No]],Table8[Category No],Table8[Chapter List],FALSE)</f>
        <v>0</v>
      </c>
      <c r="D759" s="51"/>
    </row>
    <row r="760" spans="1:4" x14ac:dyDescent="0.25">
      <c r="A760" s="50">
        <v>759</v>
      </c>
      <c r="B760" s="32"/>
      <c r="C760" s="32" t="b">
        <f>_xlfn.XLOOKUP(Table6[[#This Row],[Category No]],Table8[Category No],Table8[Chapter List],FALSE)</f>
        <v>0</v>
      </c>
      <c r="D760" s="51"/>
    </row>
    <row r="761" spans="1:4" x14ac:dyDescent="0.25">
      <c r="A761" s="50">
        <v>760</v>
      </c>
      <c r="B761" s="32"/>
      <c r="C761" s="32" t="b">
        <f>_xlfn.XLOOKUP(Table6[[#This Row],[Category No]],Table8[Category No],Table8[Chapter List],FALSE)</f>
        <v>0</v>
      </c>
      <c r="D761" s="51"/>
    </row>
    <row r="762" spans="1:4" x14ac:dyDescent="0.25">
      <c r="A762" s="50">
        <v>761</v>
      </c>
      <c r="B762" s="32"/>
      <c r="C762" s="32" t="b">
        <f>_xlfn.XLOOKUP(Table6[[#This Row],[Category No]],Table8[Category No],Table8[Chapter List],FALSE)</f>
        <v>0</v>
      </c>
      <c r="D762" s="51"/>
    </row>
    <row r="763" spans="1:4" x14ac:dyDescent="0.25">
      <c r="A763" s="50">
        <v>762</v>
      </c>
      <c r="B763" s="32"/>
      <c r="C763" s="32" t="b">
        <f>_xlfn.XLOOKUP(Table6[[#This Row],[Category No]],Table8[Category No],Table8[Chapter List],FALSE)</f>
        <v>0</v>
      </c>
      <c r="D763" s="51"/>
    </row>
    <row r="764" spans="1:4" x14ac:dyDescent="0.25">
      <c r="A764" s="50">
        <v>763</v>
      </c>
      <c r="B764" s="32"/>
      <c r="C764" s="32" t="b">
        <f>_xlfn.XLOOKUP(Table6[[#This Row],[Category No]],Table8[Category No],Table8[Chapter List],FALSE)</f>
        <v>0</v>
      </c>
      <c r="D764" s="51"/>
    </row>
    <row r="765" spans="1:4" x14ac:dyDescent="0.25">
      <c r="A765" s="50">
        <v>764</v>
      </c>
      <c r="B765" s="32"/>
      <c r="C765" s="32" t="b">
        <f>_xlfn.XLOOKUP(Table6[[#This Row],[Category No]],Table8[Category No],Table8[Chapter List],FALSE)</f>
        <v>0</v>
      </c>
      <c r="D765" s="51"/>
    </row>
    <row r="766" spans="1:4" x14ac:dyDescent="0.25">
      <c r="A766" s="50">
        <v>765</v>
      </c>
      <c r="B766" s="32"/>
      <c r="C766" s="32" t="b">
        <f>_xlfn.XLOOKUP(Table6[[#This Row],[Category No]],Table8[Category No],Table8[Chapter List],FALSE)</f>
        <v>0</v>
      </c>
      <c r="D766" s="51"/>
    </row>
    <row r="767" spans="1:4" x14ac:dyDescent="0.25">
      <c r="A767" s="50">
        <v>766</v>
      </c>
      <c r="B767" s="32"/>
      <c r="C767" s="32" t="b">
        <f>_xlfn.XLOOKUP(Table6[[#This Row],[Category No]],Table8[Category No],Table8[Chapter List],FALSE)</f>
        <v>0</v>
      </c>
      <c r="D767" s="51"/>
    </row>
    <row r="768" spans="1:4" x14ac:dyDescent="0.25">
      <c r="A768" s="50">
        <v>767</v>
      </c>
      <c r="B768" s="32"/>
      <c r="C768" s="32" t="b">
        <f>_xlfn.XLOOKUP(Table6[[#This Row],[Category No]],Table8[Category No],Table8[Chapter List],FALSE)</f>
        <v>0</v>
      </c>
      <c r="D768" s="51"/>
    </row>
    <row r="769" spans="1:4" x14ac:dyDescent="0.25">
      <c r="A769" s="50">
        <v>768</v>
      </c>
      <c r="B769" s="32"/>
      <c r="C769" s="32" t="b">
        <f>_xlfn.XLOOKUP(Table6[[#This Row],[Category No]],Table8[Category No],Table8[Chapter List],FALSE)</f>
        <v>0</v>
      </c>
      <c r="D769" s="51"/>
    </row>
    <row r="770" spans="1:4" x14ac:dyDescent="0.25">
      <c r="A770" s="50">
        <v>769</v>
      </c>
      <c r="B770" s="32"/>
      <c r="C770" s="32" t="b">
        <f>_xlfn.XLOOKUP(Table6[[#This Row],[Category No]],Table8[Category No],Table8[Chapter List],FALSE)</f>
        <v>0</v>
      </c>
      <c r="D770" s="51"/>
    </row>
    <row r="771" spans="1:4" x14ac:dyDescent="0.25">
      <c r="A771" s="50">
        <v>770</v>
      </c>
      <c r="B771" s="32"/>
      <c r="C771" s="32" t="b">
        <f>_xlfn.XLOOKUP(Table6[[#This Row],[Category No]],Table8[Category No],Table8[Chapter List],FALSE)</f>
        <v>0</v>
      </c>
      <c r="D771" s="51"/>
    </row>
    <row r="772" spans="1:4" x14ac:dyDescent="0.25">
      <c r="A772" s="50">
        <v>771</v>
      </c>
      <c r="B772" s="32"/>
      <c r="C772" s="32" t="b">
        <f>_xlfn.XLOOKUP(Table6[[#This Row],[Category No]],Table8[Category No],Table8[Chapter List],FALSE)</f>
        <v>0</v>
      </c>
      <c r="D772" s="51"/>
    </row>
    <row r="773" spans="1:4" x14ac:dyDescent="0.25">
      <c r="A773" s="50">
        <v>772</v>
      </c>
      <c r="B773" s="32"/>
      <c r="C773" s="32" t="b">
        <f>_xlfn.XLOOKUP(Table6[[#This Row],[Category No]],Table8[Category No],Table8[Chapter List],FALSE)</f>
        <v>0</v>
      </c>
      <c r="D773" s="51"/>
    </row>
    <row r="774" spans="1:4" x14ac:dyDescent="0.25">
      <c r="A774" s="50">
        <v>773</v>
      </c>
      <c r="B774" s="32"/>
      <c r="C774" s="32" t="b">
        <f>_xlfn.XLOOKUP(Table6[[#This Row],[Category No]],Table8[Category No],Table8[Chapter List],FALSE)</f>
        <v>0</v>
      </c>
      <c r="D774" s="51"/>
    </row>
    <row r="775" spans="1:4" x14ac:dyDescent="0.25">
      <c r="A775" s="50">
        <v>774</v>
      </c>
      <c r="B775" s="32"/>
      <c r="C775" s="32" t="b">
        <f>_xlfn.XLOOKUP(Table6[[#This Row],[Category No]],Table8[Category No],Table8[Chapter List],FALSE)</f>
        <v>0</v>
      </c>
      <c r="D775" s="51"/>
    </row>
    <row r="776" spans="1:4" x14ac:dyDescent="0.25">
      <c r="A776" s="50">
        <v>775</v>
      </c>
      <c r="B776" s="32"/>
      <c r="C776" s="32" t="b">
        <f>_xlfn.XLOOKUP(Table6[[#This Row],[Category No]],Table8[Category No],Table8[Chapter List],FALSE)</f>
        <v>0</v>
      </c>
      <c r="D776" s="51"/>
    </row>
    <row r="777" spans="1:4" x14ac:dyDescent="0.25">
      <c r="A777" s="50">
        <v>776</v>
      </c>
      <c r="B777" s="32"/>
      <c r="C777" s="32" t="b">
        <f>_xlfn.XLOOKUP(Table6[[#This Row],[Category No]],Table8[Category No],Table8[Chapter List],FALSE)</f>
        <v>0</v>
      </c>
      <c r="D777" s="51"/>
    </row>
    <row r="778" spans="1:4" x14ac:dyDescent="0.25">
      <c r="A778" s="50">
        <v>777</v>
      </c>
      <c r="B778" s="32"/>
      <c r="C778" s="32" t="b">
        <f>_xlfn.XLOOKUP(Table6[[#This Row],[Category No]],Table8[Category No],Table8[Chapter List],FALSE)</f>
        <v>0</v>
      </c>
      <c r="D778" s="51"/>
    </row>
    <row r="779" spans="1:4" x14ac:dyDescent="0.25">
      <c r="A779" s="50">
        <v>778</v>
      </c>
      <c r="B779" s="32"/>
      <c r="C779" s="32" t="b">
        <f>_xlfn.XLOOKUP(Table6[[#This Row],[Category No]],Table8[Category No],Table8[Chapter List],FALSE)</f>
        <v>0</v>
      </c>
      <c r="D779" s="51"/>
    </row>
    <row r="780" spans="1:4" x14ac:dyDescent="0.25">
      <c r="A780" s="50">
        <v>779</v>
      </c>
      <c r="B780" s="32"/>
      <c r="C780" s="32" t="b">
        <f>_xlfn.XLOOKUP(Table6[[#This Row],[Category No]],Table8[Category No],Table8[Chapter List],FALSE)</f>
        <v>0</v>
      </c>
      <c r="D780" s="51"/>
    </row>
    <row r="781" spans="1:4" x14ac:dyDescent="0.25">
      <c r="A781" s="50">
        <v>780</v>
      </c>
      <c r="B781" s="32"/>
      <c r="C781" s="32" t="b">
        <f>_xlfn.XLOOKUP(Table6[[#This Row],[Category No]],Table8[Category No],Table8[Chapter List],FALSE)</f>
        <v>0</v>
      </c>
      <c r="D781" s="51"/>
    </row>
    <row r="782" spans="1:4" x14ac:dyDescent="0.25">
      <c r="A782" s="50">
        <v>781</v>
      </c>
      <c r="B782" s="32"/>
      <c r="C782" s="32" t="b">
        <f>_xlfn.XLOOKUP(Table6[[#This Row],[Category No]],Table8[Category No],Table8[Chapter List],FALSE)</f>
        <v>0</v>
      </c>
      <c r="D782" s="51"/>
    </row>
    <row r="783" spans="1:4" x14ac:dyDescent="0.25">
      <c r="A783" s="50">
        <v>782</v>
      </c>
      <c r="B783" s="32"/>
      <c r="C783" s="32" t="b">
        <f>_xlfn.XLOOKUP(Table6[[#This Row],[Category No]],Table8[Category No],Table8[Chapter List],FALSE)</f>
        <v>0</v>
      </c>
      <c r="D783" s="51"/>
    </row>
    <row r="784" spans="1:4" x14ac:dyDescent="0.25">
      <c r="A784" s="50">
        <v>783</v>
      </c>
      <c r="B784" s="32"/>
      <c r="C784" s="32" t="b">
        <f>_xlfn.XLOOKUP(Table6[[#This Row],[Category No]],Table8[Category No],Table8[Chapter List],FALSE)</f>
        <v>0</v>
      </c>
      <c r="D784" s="51"/>
    </row>
    <row r="785" spans="1:4" x14ac:dyDescent="0.25">
      <c r="A785" s="50">
        <v>784</v>
      </c>
      <c r="B785" s="32"/>
      <c r="C785" s="32" t="b">
        <f>_xlfn.XLOOKUP(Table6[[#This Row],[Category No]],Table8[Category No],Table8[Chapter List],FALSE)</f>
        <v>0</v>
      </c>
      <c r="D785" s="51"/>
    </row>
    <row r="786" spans="1:4" x14ac:dyDescent="0.25">
      <c r="A786" s="50">
        <v>785</v>
      </c>
      <c r="B786" s="32"/>
      <c r="C786" s="32" t="b">
        <f>_xlfn.XLOOKUP(Table6[[#This Row],[Category No]],Table8[Category No],Table8[Chapter List],FALSE)</f>
        <v>0</v>
      </c>
      <c r="D786" s="51"/>
    </row>
    <row r="787" spans="1:4" x14ac:dyDescent="0.25">
      <c r="A787" s="50">
        <v>786</v>
      </c>
      <c r="B787" s="32"/>
      <c r="C787" s="32" t="b">
        <f>_xlfn.XLOOKUP(Table6[[#This Row],[Category No]],Table8[Category No],Table8[Chapter List],FALSE)</f>
        <v>0</v>
      </c>
      <c r="D787" s="51"/>
    </row>
    <row r="788" spans="1:4" x14ac:dyDescent="0.25">
      <c r="A788" s="50">
        <v>787</v>
      </c>
      <c r="B788" s="32"/>
      <c r="C788" s="32" t="b">
        <f>_xlfn.XLOOKUP(Table6[[#This Row],[Category No]],Table8[Category No],Table8[Chapter List],FALSE)</f>
        <v>0</v>
      </c>
      <c r="D788" s="51"/>
    </row>
    <row r="789" spans="1:4" x14ac:dyDescent="0.25">
      <c r="A789" s="50">
        <v>788</v>
      </c>
      <c r="B789" s="32"/>
      <c r="C789" s="32" t="b">
        <f>_xlfn.XLOOKUP(Table6[[#This Row],[Category No]],Table8[Category No],Table8[Chapter List],FALSE)</f>
        <v>0</v>
      </c>
      <c r="D789" s="51"/>
    </row>
    <row r="790" spans="1:4" x14ac:dyDescent="0.25">
      <c r="A790" s="50">
        <v>789</v>
      </c>
      <c r="B790" s="32"/>
      <c r="C790" s="32" t="b">
        <f>_xlfn.XLOOKUP(Table6[[#This Row],[Category No]],Table8[Category No],Table8[Chapter List],FALSE)</f>
        <v>0</v>
      </c>
      <c r="D790" s="51"/>
    </row>
    <row r="791" spans="1:4" x14ac:dyDescent="0.25">
      <c r="A791" s="50">
        <v>790</v>
      </c>
      <c r="B791" s="32"/>
      <c r="C791" s="32" t="b">
        <f>_xlfn.XLOOKUP(Table6[[#This Row],[Category No]],Table8[Category No],Table8[Chapter List],FALSE)</f>
        <v>0</v>
      </c>
      <c r="D791" s="51"/>
    </row>
    <row r="792" spans="1:4" x14ac:dyDescent="0.25">
      <c r="A792" s="50">
        <v>791</v>
      </c>
      <c r="B792" s="32"/>
      <c r="C792" s="32" t="b">
        <f>_xlfn.XLOOKUP(Table6[[#This Row],[Category No]],Table8[Category No],Table8[Chapter List],FALSE)</f>
        <v>0</v>
      </c>
      <c r="D792" s="51"/>
    </row>
    <row r="793" spans="1:4" x14ac:dyDescent="0.25">
      <c r="A793" s="50">
        <v>792</v>
      </c>
      <c r="B793" s="32"/>
      <c r="C793" s="32" t="b">
        <f>_xlfn.XLOOKUP(Table6[[#This Row],[Category No]],Table8[Category No],Table8[Chapter List],FALSE)</f>
        <v>0</v>
      </c>
      <c r="D793" s="51"/>
    </row>
    <row r="794" spans="1:4" x14ac:dyDescent="0.25">
      <c r="A794" s="50">
        <v>793</v>
      </c>
      <c r="B794" s="32"/>
      <c r="C794" s="32" t="b">
        <f>_xlfn.XLOOKUP(Table6[[#This Row],[Category No]],Table8[Category No],Table8[Chapter List],FALSE)</f>
        <v>0</v>
      </c>
      <c r="D794" s="51"/>
    </row>
    <row r="795" spans="1:4" x14ac:dyDescent="0.25">
      <c r="A795" s="50">
        <v>794</v>
      </c>
      <c r="B795" s="32"/>
      <c r="C795" s="32" t="b">
        <f>_xlfn.XLOOKUP(Table6[[#This Row],[Category No]],Table8[Category No],Table8[Chapter List],FALSE)</f>
        <v>0</v>
      </c>
      <c r="D795" s="51"/>
    </row>
    <row r="796" spans="1:4" x14ac:dyDescent="0.25">
      <c r="A796" s="50">
        <v>795</v>
      </c>
      <c r="B796" s="32"/>
      <c r="C796" s="32" t="b">
        <f>_xlfn.XLOOKUP(Table6[[#This Row],[Category No]],Table8[Category No],Table8[Chapter List],FALSE)</f>
        <v>0</v>
      </c>
      <c r="D796" s="51"/>
    </row>
    <row r="797" spans="1:4" x14ac:dyDescent="0.25">
      <c r="A797" s="50">
        <v>796</v>
      </c>
      <c r="B797" s="32"/>
      <c r="C797" s="32" t="b">
        <f>_xlfn.XLOOKUP(Table6[[#This Row],[Category No]],Table8[Category No],Table8[Chapter List],FALSE)</f>
        <v>0</v>
      </c>
      <c r="D797" s="51"/>
    </row>
    <row r="798" spans="1:4" x14ac:dyDescent="0.25">
      <c r="A798" s="50">
        <v>797</v>
      </c>
      <c r="B798" s="32"/>
      <c r="C798" s="32" t="b">
        <f>_xlfn.XLOOKUP(Table6[[#This Row],[Category No]],Table8[Category No],Table8[Chapter List],FALSE)</f>
        <v>0</v>
      </c>
      <c r="D798" s="51"/>
    </row>
    <row r="799" spans="1:4" x14ac:dyDescent="0.25">
      <c r="A799" s="50">
        <v>798</v>
      </c>
      <c r="B799" s="32"/>
      <c r="C799" s="32" t="b">
        <f>_xlfn.XLOOKUP(Table6[[#This Row],[Category No]],Table8[Category No],Table8[Chapter List],FALSE)</f>
        <v>0</v>
      </c>
      <c r="D799" s="51"/>
    </row>
    <row r="800" spans="1:4" x14ac:dyDescent="0.25">
      <c r="A800" s="50">
        <v>799</v>
      </c>
      <c r="B800" s="32"/>
      <c r="C800" s="32" t="b">
        <f>_xlfn.XLOOKUP(Table6[[#This Row],[Category No]],Table8[Category No],Table8[Chapter List],FALSE)</f>
        <v>0</v>
      </c>
      <c r="D800" s="51"/>
    </row>
    <row r="801" spans="1:4" x14ac:dyDescent="0.25">
      <c r="A801" s="50">
        <v>800</v>
      </c>
      <c r="B801" s="32"/>
      <c r="C801" s="32" t="b">
        <f>_xlfn.XLOOKUP(Table6[[#This Row],[Category No]],Table8[Category No],Table8[Chapter List],FALSE)</f>
        <v>0</v>
      </c>
      <c r="D801" s="51"/>
    </row>
    <row r="802" spans="1:4" x14ac:dyDescent="0.25">
      <c r="A802" s="50">
        <v>801</v>
      </c>
      <c r="B802" s="32"/>
      <c r="C802" s="32" t="b">
        <f>_xlfn.XLOOKUP(Table6[[#This Row],[Category No]],Table8[Category No],Table8[Chapter List],FALSE)</f>
        <v>0</v>
      </c>
      <c r="D802" s="51"/>
    </row>
    <row r="803" spans="1:4" x14ac:dyDescent="0.25">
      <c r="A803" s="50">
        <v>802</v>
      </c>
      <c r="B803" s="32"/>
      <c r="C803" s="32" t="b">
        <f>_xlfn.XLOOKUP(Table6[[#This Row],[Category No]],Table8[Category No],Table8[Chapter List],FALSE)</f>
        <v>0</v>
      </c>
      <c r="D803" s="51"/>
    </row>
    <row r="804" spans="1:4" x14ac:dyDescent="0.25">
      <c r="A804" s="50">
        <v>803</v>
      </c>
      <c r="B804" s="32"/>
      <c r="C804" s="32" t="b">
        <f>_xlfn.XLOOKUP(Table6[[#This Row],[Category No]],Table8[Category No],Table8[Chapter List],FALSE)</f>
        <v>0</v>
      </c>
      <c r="D804" s="51"/>
    </row>
    <row r="805" spans="1:4" x14ac:dyDescent="0.25">
      <c r="A805" s="50">
        <v>804</v>
      </c>
      <c r="B805" s="32"/>
      <c r="C805" s="32" t="b">
        <f>_xlfn.XLOOKUP(Table6[[#This Row],[Category No]],Table8[Category No],Table8[Chapter List],FALSE)</f>
        <v>0</v>
      </c>
      <c r="D805" s="51"/>
    </row>
    <row r="806" spans="1:4" x14ac:dyDescent="0.25">
      <c r="A806" s="50">
        <v>805</v>
      </c>
      <c r="B806" s="32"/>
      <c r="C806" s="32" t="b">
        <f>_xlfn.XLOOKUP(Table6[[#This Row],[Category No]],Table8[Category No],Table8[Chapter List],FALSE)</f>
        <v>0</v>
      </c>
      <c r="D806" s="51"/>
    </row>
    <row r="807" spans="1:4" x14ac:dyDescent="0.25">
      <c r="A807" s="50">
        <v>806</v>
      </c>
      <c r="B807" s="32"/>
      <c r="C807" s="32" t="b">
        <f>_xlfn.XLOOKUP(Table6[[#This Row],[Category No]],Table8[Category No],Table8[Chapter List],FALSE)</f>
        <v>0</v>
      </c>
      <c r="D807" s="51"/>
    </row>
    <row r="808" spans="1:4" x14ac:dyDescent="0.25">
      <c r="A808" s="50">
        <v>807</v>
      </c>
      <c r="B808" s="32"/>
      <c r="C808" s="32" t="b">
        <f>_xlfn.XLOOKUP(Table6[[#This Row],[Category No]],Table8[Category No],Table8[Chapter List],FALSE)</f>
        <v>0</v>
      </c>
      <c r="D808" s="51"/>
    </row>
    <row r="809" spans="1:4" x14ac:dyDescent="0.25">
      <c r="A809" s="50">
        <v>808</v>
      </c>
      <c r="B809" s="32"/>
      <c r="C809" s="32" t="b">
        <f>_xlfn.XLOOKUP(Table6[[#This Row],[Category No]],Table8[Category No],Table8[Chapter List],FALSE)</f>
        <v>0</v>
      </c>
      <c r="D809" s="51"/>
    </row>
    <row r="810" spans="1:4" x14ac:dyDescent="0.25">
      <c r="A810" s="50">
        <v>809</v>
      </c>
      <c r="B810" s="32"/>
      <c r="C810" s="32" t="b">
        <f>_xlfn.XLOOKUP(Table6[[#This Row],[Category No]],Table8[Category No],Table8[Chapter List],FALSE)</f>
        <v>0</v>
      </c>
      <c r="D810" s="51"/>
    </row>
    <row r="811" spans="1:4" x14ac:dyDescent="0.25">
      <c r="A811" s="50">
        <v>810</v>
      </c>
      <c r="B811" s="32"/>
      <c r="C811" s="32" t="b">
        <f>_xlfn.XLOOKUP(Table6[[#This Row],[Category No]],Table8[Category No],Table8[Chapter List],FALSE)</f>
        <v>0</v>
      </c>
      <c r="D811" s="51"/>
    </row>
    <row r="812" spans="1:4" x14ac:dyDescent="0.25">
      <c r="A812" s="50">
        <v>811</v>
      </c>
      <c r="B812" s="32"/>
      <c r="C812" s="32" t="b">
        <f>_xlfn.XLOOKUP(Table6[[#This Row],[Category No]],Table8[Category No],Table8[Chapter List],FALSE)</f>
        <v>0</v>
      </c>
      <c r="D812" s="51"/>
    </row>
    <row r="813" spans="1:4" x14ac:dyDescent="0.25">
      <c r="A813" s="50">
        <v>812</v>
      </c>
      <c r="B813" s="32"/>
      <c r="C813" s="32" t="b">
        <f>_xlfn.XLOOKUP(Table6[[#This Row],[Category No]],Table8[Category No],Table8[Chapter List],FALSE)</f>
        <v>0</v>
      </c>
      <c r="D813" s="51"/>
    </row>
    <row r="814" spans="1:4" x14ac:dyDescent="0.25">
      <c r="A814" s="50">
        <v>813</v>
      </c>
      <c r="B814" s="32"/>
      <c r="C814" s="32" t="b">
        <f>_xlfn.XLOOKUP(Table6[[#This Row],[Category No]],Table8[Category No],Table8[Chapter List],FALSE)</f>
        <v>0</v>
      </c>
      <c r="D814" s="51"/>
    </row>
    <row r="815" spans="1:4" x14ac:dyDescent="0.25">
      <c r="A815" s="50">
        <v>814</v>
      </c>
      <c r="B815" s="32"/>
      <c r="C815" s="32" t="b">
        <f>_xlfn.XLOOKUP(Table6[[#This Row],[Category No]],Table8[Category No],Table8[Chapter List],FALSE)</f>
        <v>0</v>
      </c>
      <c r="D815" s="51"/>
    </row>
    <row r="816" spans="1:4" x14ac:dyDescent="0.25">
      <c r="A816" s="50">
        <v>815</v>
      </c>
      <c r="B816" s="32"/>
      <c r="C816" s="32" t="b">
        <f>_xlfn.XLOOKUP(Table6[[#This Row],[Category No]],Table8[Category No],Table8[Chapter List],FALSE)</f>
        <v>0</v>
      </c>
      <c r="D816" s="51"/>
    </row>
    <row r="817" spans="1:4" x14ac:dyDescent="0.25">
      <c r="A817" s="50">
        <v>816</v>
      </c>
      <c r="B817" s="32"/>
      <c r="C817" s="32" t="b">
        <f>_xlfn.XLOOKUP(Table6[[#This Row],[Category No]],Table8[Category No],Table8[Chapter List],FALSE)</f>
        <v>0</v>
      </c>
      <c r="D817" s="51"/>
    </row>
    <row r="818" spans="1:4" x14ac:dyDescent="0.25">
      <c r="A818" s="50">
        <v>817</v>
      </c>
      <c r="B818" s="32"/>
      <c r="C818" s="32" t="b">
        <f>_xlfn.XLOOKUP(Table6[[#This Row],[Category No]],Table8[Category No],Table8[Chapter List],FALSE)</f>
        <v>0</v>
      </c>
      <c r="D818" s="51"/>
    </row>
    <row r="819" spans="1:4" x14ac:dyDescent="0.25">
      <c r="A819" s="50">
        <v>818</v>
      </c>
      <c r="B819" s="32"/>
      <c r="C819" s="32" t="b">
        <f>_xlfn.XLOOKUP(Table6[[#This Row],[Category No]],Table8[Category No],Table8[Chapter List],FALSE)</f>
        <v>0</v>
      </c>
      <c r="D819" s="51"/>
    </row>
    <row r="820" spans="1:4" x14ac:dyDescent="0.25">
      <c r="A820" s="50">
        <v>819</v>
      </c>
      <c r="B820" s="32"/>
      <c r="C820" s="32" t="b">
        <f>_xlfn.XLOOKUP(Table6[[#This Row],[Category No]],Table8[Category No],Table8[Chapter List],FALSE)</f>
        <v>0</v>
      </c>
      <c r="D820" s="51"/>
    </row>
    <row r="821" spans="1:4" x14ac:dyDescent="0.25">
      <c r="A821" s="50">
        <v>820</v>
      </c>
      <c r="B821" s="32"/>
      <c r="C821" s="32" t="b">
        <f>_xlfn.XLOOKUP(Table6[[#This Row],[Category No]],Table8[Category No],Table8[Chapter List],FALSE)</f>
        <v>0</v>
      </c>
      <c r="D821" s="51"/>
    </row>
    <row r="822" spans="1:4" x14ac:dyDescent="0.25">
      <c r="A822" s="50">
        <v>821</v>
      </c>
      <c r="B822" s="32"/>
      <c r="C822" s="32" t="b">
        <f>_xlfn.XLOOKUP(Table6[[#This Row],[Category No]],Table8[Category No],Table8[Chapter List],FALSE)</f>
        <v>0</v>
      </c>
      <c r="D822" s="51"/>
    </row>
    <row r="823" spans="1:4" x14ac:dyDescent="0.25">
      <c r="A823" s="50">
        <v>822</v>
      </c>
      <c r="B823" s="32"/>
      <c r="C823" s="32" t="b">
        <f>_xlfn.XLOOKUP(Table6[[#This Row],[Category No]],Table8[Category No],Table8[Chapter List],FALSE)</f>
        <v>0</v>
      </c>
      <c r="D823" s="51"/>
    </row>
    <row r="824" spans="1:4" x14ac:dyDescent="0.25">
      <c r="A824" s="50">
        <v>823</v>
      </c>
      <c r="B824" s="32"/>
      <c r="C824" s="32" t="b">
        <f>_xlfn.XLOOKUP(Table6[[#This Row],[Category No]],Table8[Category No],Table8[Chapter List],FALSE)</f>
        <v>0</v>
      </c>
      <c r="D824" s="51"/>
    </row>
    <row r="825" spans="1:4" x14ac:dyDescent="0.25">
      <c r="A825" s="50">
        <v>824</v>
      </c>
      <c r="B825" s="32"/>
      <c r="C825" s="32" t="b">
        <f>_xlfn.XLOOKUP(Table6[[#This Row],[Category No]],Table8[Category No],Table8[Chapter List],FALSE)</f>
        <v>0</v>
      </c>
      <c r="D825" s="51"/>
    </row>
    <row r="826" spans="1:4" x14ac:dyDescent="0.25">
      <c r="A826" s="50">
        <v>825</v>
      </c>
      <c r="B826" s="32"/>
      <c r="C826" s="32" t="b">
        <f>_xlfn.XLOOKUP(Table6[[#This Row],[Category No]],Table8[Category No],Table8[Chapter List],FALSE)</f>
        <v>0</v>
      </c>
      <c r="D826" s="51"/>
    </row>
    <row r="827" spans="1:4" x14ac:dyDescent="0.25">
      <c r="A827" s="50">
        <v>826</v>
      </c>
      <c r="B827" s="32"/>
      <c r="C827" s="32" t="b">
        <f>_xlfn.XLOOKUP(Table6[[#This Row],[Category No]],Table8[Category No],Table8[Chapter List],FALSE)</f>
        <v>0</v>
      </c>
      <c r="D827" s="51"/>
    </row>
    <row r="828" spans="1:4" x14ac:dyDescent="0.25">
      <c r="A828" s="50">
        <v>827</v>
      </c>
      <c r="B828" s="32"/>
      <c r="C828" s="32" t="b">
        <f>_xlfn.XLOOKUP(Table6[[#This Row],[Category No]],Table8[Category No],Table8[Chapter List],FALSE)</f>
        <v>0</v>
      </c>
      <c r="D828" s="51"/>
    </row>
    <row r="829" spans="1:4" x14ac:dyDescent="0.25">
      <c r="A829" s="50">
        <v>828</v>
      </c>
      <c r="B829" s="32"/>
      <c r="C829" s="32" t="b">
        <f>_xlfn.XLOOKUP(Table6[[#This Row],[Category No]],Table8[Category No],Table8[Chapter List],FALSE)</f>
        <v>0</v>
      </c>
      <c r="D829" s="51"/>
    </row>
    <row r="830" spans="1:4" x14ac:dyDescent="0.25">
      <c r="A830" s="50">
        <v>829</v>
      </c>
      <c r="B830" s="32"/>
      <c r="C830" s="32" t="b">
        <f>_xlfn.XLOOKUP(Table6[[#This Row],[Category No]],Table8[Category No],Table8[Chapter List],FALSE)</f>
        <v>0</v>
      </c>
      <c r="D830" s="51"/>
    </row>
    <row r="831" spans="1:4" x14ac:dyDescent="0.25">
      <c r="A831" s="50">
        <v>830</v>
      </c>
      <c r="B831" s="32"/>
      <c r="C831" s="32" t="b">
        <f>_xlfn.XLOOKUP(Table6[[#This Row],[Category No]],Table8[Category No],Table8[Chapter List],FALSE)</f>
        <v>0</v>
      </c>
      <c r="D831" s="51"/>
    </row>
    <row r="832" spans="1:4" x14ac:dyDescent="0.25">
      <c r="A832" s="50">
        <v>831</v>
      </c>
      <c r="B832" s="32"/>
      <c r="C832" s="32" t="b">
        <f>_xlfn.XLOOKUP(Table6[[#This Row],[Category No]],Table8[Category No],Table8[Chapter List],FALSE)</f>
        <v>0</v>
      </c>
      <c r="D832" s="51"/>
    </row>
    <row r="833" spans="1:4" x14ac:dyDescent="0.25">
      <c r="A833" s="50">
        <v>832</v>
      </c>
      <c r="B833" s="32"/>
      <c r="C833" s="32" t="b">
        <f>_xlfn.XLOOKUP(Table6[[#This Row],[Category No]],Table8[Category No],Table8[Chapter List],FALSE)</f>
        <v>0</v>
      </c>
      <c r="D833" s="51"/>
    </row>
    <row r="834" spans="1:4" x14ac:dyDescent="0.25">
      <c r="A834" s="50">
        <v>833</v>
      </c>
      <c r="B834" s="32"/>
      <c r="C834" s="32" t="b">
        <f>_xlfn.XLOOKUP(Table6[[#This Row],[Category No]],Table8[Category No],Table8[Chapter List],FALSE)</f>
        <v>0</v>
      </c>
      <c r="D834" s="51"/>
    </row>
    <row r="835" spans="1:4" x14ac:dyDescent="0.25">
      <c r="A835" s="50">
        <v>834</v>
      </c>
      <c r="B835" s="32"/>
      <c r="C835" s="32" t="b">
        <f>_xlfn.XLOOKUP(Table6[[#This Row],[Category No]],Table8[Category No],Table8[Chapter List],FALSE)</f>
        <v>0</v>
      </c>
      <c r="D835" s="51"/>
    </row>
    <row r="836" spans="1:4" x14ac:dyDescent="0.25">
      <c r="A836" s="50">
        <v>835</v>
      </c>
      <c r="B836" s="32"/>
      <c r="C836" s="32" t="b">
        <f>_xlfn.XLOOKUP(Table6[[#This Row],[Category No]],Table8[Category No],Table8[Chapter List],FALSE)</f>
        <v>0</v>
      </c>
      <c r="D836" s="51"/>
    </row>
    <row r="837" spans="1:4" x14ac:dyDescent="0.25">
      <c r="A837" s="50">
        <v>836</v>
      </c>
      <c r="B837" s="32"/>
      <c r="C837" s="32" t="b">
        <f>_xlfn.XLOOKUP(Table6[[#This Row],[Category No]],Table8[Category No],Table8[Chapter List],FALSE)</f>
        <v>0</v>
      </c>
      <c r="D837" s="51"/>
    </row>
    <row r="838" spans="1:4" x14ac:dyDescent="0.25">
      <c r="A838" s="50">
        <v>837</v>
      </c>
      <c r="B838" s="32"/>
      <c r="C838" s="32" t="b">
        <f>_xlfn.XLOOKUP(Table6[[#This Row],[Category No]],Table8[Category No],Table8[Chapter List],FALSE)</f>
        <v>0</v>
      </c>
      <c r="D838" s="51"/>
    </row>
    <row r="839" spans="1:4" x14ac:dyDescent="0.25">
      <c r="A839" s="50">
        <v>838</v>
      </c>
      <c r="B839" s="32"/>
      <c r="C839" s="32" t="b">
        <f>_xlfn.XLOOKUP(Table6[[#This Row],[Category No]],Table8[Category No],Table8[Chapter List],FALSE)</f>
        <v>0</v>
      </c>
      <c r="D839" s="51"/>
    </row>
    <row r="840" spans="1:4" x14ac:dyDescent="0.25">
      <c r="A840" s="50">
        <v>839</v>
      </c>
      <c r="B840" s="32"/>
      <c r="C840" s="32" t="b">
        <f>_xlfn.XLOOKUP(Table6[[#This Row],[Category No]],Table8[Category No],Table8[Chapter List],FALSE)</f>
        <v>0</v>
      </c>
      <c r="D840" s="51"/>
    </row>
    <row r="841" spans="1:4" x14ac:dyDescent="0.25">
      <c r="A841" s="50">
        <v>840</v>
      </c>
      <c r="B841" s="32"/>
      <c r="C841" s="32" t="b">
        <f>_xlfn.XLOOKUP(Table6[[#This Row],[Category No]],Table8[Category No],Table8[Chapter List],FALSE)</f>
        <v>0</v>
      </c>
      <c r="D841" s="51"/>
    </row>
    <row r="842" spans="1:4" x14ac:dyDescent="0.25">
      <c r="A842" s="50">
        <v>841</v>
      </c>
      <c r="B842" s="32"/>
      <c r="C842" s="32" t="b">
        <f>_xlfn.XLOOKUP(Table6[[#This Row],[Category No]],Table8[Category No],Table8[Chapter List],FALSE)</f>
        <v>0</v>
      </c>
      <c r="D842" s="51"/>
    </row>
    <row r="843" spans="1:4" x14ac:dyDescent="0.25">
      <c r="A843" s="50">
        <v>842</v>
      </c>
      <c r="B843" s="32"/>
      <c r="C843" s="32" t="b">
        <f>_xlfn.XLOOKUP(Table6[[#This Row],[Category No]],Table8[Category No],Table8[Chapter List],FALSE)</f>
        <v>0</v>
      </c>
      <c r="D843" s="51"/>
    </row>
    <row r="844" spans="1:4" x14ac:dyDescent="0.25">
      <c r="A844" s="50">
        <v>843</v>
      </c>
      <c r="B844" s="32"/>
      <c r="C844" s="32" t="b">
        <f>_xlfn.XLOOKUP(Table6[[#This Row],[Category No]],Table8[Category No],Table8[Chapter List],FALSE)</f>
        <v>0</v>
      </c>
      <c r="D844" s="51"/>
    </row>
    <row r="845" spans="1:4" x14ac:dyDescent="0.25">
      <c r="A845" s="50">
        <v>844</v>
      </c>
      <c r="B845" s="32"/>
      <c r="C845" s="32" t="b">
        <f>_xlfn.XLOOKUP(Table6[[#This Row],[Category No]],Table8[Category No],Table8[Chapter List],FALSE)</f>
        <v>0</v>
      </c>
      <c r="D845" s="51"/>
    </row>
    <row r="846" spans="1:4" x14ac:dyDescent="0.25">
      <c r="A846" s="50">
        <v>845</v>
      </c>
      <c r="B846" s="32"/>
      <c r="C846" s="32" t="b">
        <f>_xlfn.XLOOKUP(Table6[[#This Row],[Category No]],Table8[Category No],Table8[Chapter List],FALSE)</f>
        <v>0</v>
      </c>
      <c r="D846" s="51"/>
    </row>
    <row r="847" spans="1:4" x14ac:dyDescent="0.25">
      <c r="A847" s="50">
        <v>846</v>
      </c>
      <c r="B847" s="32"/>
      <c r="C847" s="32" t="b">
        <f>_xlfn.XLOOKUP(Table6[[#This Row],[Category No]],Table8[Category No],Table8[Chapter List],FALSE)</f>
        <v>0</v>
      </c>
      <c r="D847" s="51"/>
    </row>
    <row r="848" spans="1:4" x14ac:dyDescent="0.25">
      <c r="A848" s="50">
        <v>847</v>
      </c>
      <c r="B848" s="32"/>
      <c r="C848" s="32" t="b">
        <f>_xlfn.XLOOKUP(Table6[[#This Row],[Category No]],Table8[Category No],Table8[Chapter List],FALSE)</f>
        <v>0</v>
      </c>
      <c r="D848" s="51"/>
    </row>
    <row r="849" spans="1:4" x14ac:dyDescent="0.25">
      <c r="A849" s="50">
        <v>848</v>
      </c>
      <c r="B849" s="32"/>
      <c r="C849" s="32" t="b">
        <f>_xlfn.XLOOKUP(Table6[[#This Row],[Category No]],Table8[Category No],Table8[Chapter List],FALSE)</f>
        <v>0</v>
      </c>
      <c r="D849" s="51"/>
    </row>
    <row r="850" spans="1:4" x14ac:dyDescent="0.25">
      <c r="A850" s="50">
        <v>849</v>
      </c>
      <c r="B850" s="32"/>
      <c r="C850" s="32" t="b">
        <f>_xlfn.XLOOKUP(Table6[[#This Row],[Category No]],Table8[Category No],Table8[Chapter List],FALSE)</f>
        <v>0</v>
      </c>
      <c r="D850" s="51"/>
    </row>
    <row r="851" spans="1:4" x14ac:dyDescent="0.25">
      <c r="A851" s="50">
        <v>850</v>
      </c>
      <c r="B851" s="32"/>
      <c r="C851" s="32" t="b">
        <f>_xlfn.XLOOKUP(Table6[[#This Row],[Category No]],Table8[Category No],Table8[Chapter List],FALSE)</f>
        <v>0</v>
      </c>
      <c r="D851" s="51"/>
    </row>
    <row r="852" spans="1:4" x14ac:dyDescent="0.25">
      <c r="A852" s="50">
        <v>851</v>
      </c>
      <c r="B852" s="32"/>
      <c r="C852" s="32" t="b">
        <f>_xlfn.XLOOKUP(Table6[[#This Row],[Category No]],Table8[Category No],Table8[Chapter List],FALSE)</f>
        <v>0</v>
      </c>
      <c r="D852" s="51"/>
    </row>
    <row r="853" spans="1:4" x14ac:dyDescent="0.25">
      <c r="A853" s="50">
        <v>852</v>
      </c>
      <c r="B853" s="32"/>
      <c r="C853" s="32" t="b">
        <f>_xlfn.XLOOKUP(Table6[[#This Row],[Category No]],Table8[Category No],Table8[Chapter List],FALSE)</f>
        <v>0</v>
      </c>
      <c r="D853" s="51"/>
    </row>
    <row r="854" spans="1:4" x14ac:dyDescent="0.25">
      <c r="A854" s="50">
        <v>853</v>
      </c>
      <c r="B854" s="32"/>
      <c r="C854" s="32" t="b">
        <f>_xlfn.XLOOKUP(Table6[[#This Row],[Category No]],Table8[Category No],Table8[Chapter List],FALSE)</f>
        <v>0</v>
      </c>
      <c r="D854" s="51"/>
    </row>
    <row r="855" spans="1:4" x14ac:dyDescent="0.25">
      <c r="A855" s="50">
        <v>854</v>
      </c>
      <c r="B855" s="32"/>
      <c r="C855" s="32" t="b">
        <f>_xlfn.XLOOKUP(Table6[[#This Row],[Category No]],Table8[Category No],Table8[Chapter List],FALSE)</f>
        <v>0</v>
      </c>
      <c r="D855" s="51"/>
    </row>
    <row r="856" spans="1:4" x14ac:dyDescent="0.25">
      <c r="A856" s="50">
        <v>855</v>
      </c>
      <c r="B856" s="32"/>
      <c r="C856" s="32" t="b">
        <f>_xlfn.XLOOKUP(Table6[[#This Row],[Category No]],Table8[Category No],Table8[Chapter List],FALSE)</f>
        <v>0</v>
      </c>
      <c r="D856" s="51"/>
    </row>
    <row r="857" spans="1:4" x14ac:dyDescent="0.25">
      <c r="A857" s="50">
        <v>856</v>
      </c>
      <c r="B857" s="32"/>
      <c r="C857" s="32" t="b">
        <f>_xlfn.XLOOKUP(Table6[[#This Row],[Category No]],Table8[Category No],Table8[Chapter List],FALSE)</f>
        <v>0</v>
      </c>
      <c r="D857" s="51"/>
    </row>
    <row r="858" spans="1:4" x14ac:dyDescent="0.25">
      <c r="A858" s="50">
        <v>857</v>
      </c>
      <c r="B858" s="32"/>
      <c r="C858" s="32" t="b">
        <f>_xlfn.XLOOKUP(Table6[[#This Row],[Category No]],Table8[Category No],Table8[Chapter List],FALSE)</f>
        <v>0</v>
      </c>
      <c r="D858" s="51"/>
    </row>
    <row r="859" spans="1:4" x14ac:dyDescent="0.25">
      <c r="A859" s="50">
        <v>858</v>
      </c>
      <c r="B859" s="32"/>
      <c r="C859" s="32" t="b">
        <f>_xlfn.XLOOKUP(Table6[[#This Row],[Category No]],Table8[Category No],Table8[Chapter List],FALSE)</f>
        <v>0</v>
      </c>
      <c r="D859" s="51"/>
    </row>
    <row r="860" spans="1:4" x14ac:dyDescent="0.25">
      <c r="A860" s="50">
        <v>859</v>
      </c>
      <c r="B860" s="32"/>
      <c r="C860" s="32" t="b">
        <f>_xlfn.XLOOKUP(Table6[[#This Row],[Category No]],Table8[Category No],Table8[Chapter List],FALSE)</f>
        <v>0</v>
      </c>
      <c r="D860" s="51"/>
    </row>
    <row r="861" spans="1:4" x14ac:dyDescent="0.25">
      <c r="A861" s="50">
        <v>860</v>
      </c>
      <c r="B861" s="32"/>
      <c r="C861" s="32" t="b">
        <f>_xlfn.XLOOKUP(Table6[[#This Row],[Category No]],Table8[Category No],Table8[Chapter List],FALSE)</f>
        <v>0</v>
      </c>
      <c r="D861" s="51"/>
    </row>
    <row r="862" spans="1:4" x14ac:dyDescent="0.25">
      <c r="A862" s="50">
        <v>861</v>
      </c>
      <c r="B862" s="32"/>
      <c r="C862" s="32" t="b">
        <f>_xlfn.XLOOKUP(Table6[[#This Row],[Category No]],Table8[Category No],Table8[Chapter List],FALSE)</f>
        <v>0</v>
      </c>
      <c r="D862" s="51"/>
    </row>
    <row r="863" spans="1:4" x14ac:dyDescent="0.25">
      <c r="A863" s="50">
        <v>862</v>
      </c>
      <c r="B863" s="32"/>
      <c r="C863" s="32" t="b">
        <f>_xlfn.XLOOKUP(Table6[[#This Row],[Category No]],Table8[Category No],Table8[Chapter List],FALSE)</f>
        <v>0</v>
      </c>
      <c r="D863" s="51"/>
    </row>
    <row r="864" spans="1:4" x14ac:dyDescent="0.25">
      <c r="A864" s="50">
        <v>863</v>
      </c>
      <c r="B864" s="32"/>
      <c r="C864" s="32" t="b">
        <f>_xlfn.XLOOKUP(Table6[[#This Row],[Category No]],Table8[Category No],Table8[Chapter List],FALSE)</f>
        <v>0</v>
      </c>
      <c r="D864" s="51"/>
    </row>
    <row r="865" spans="1:4" x14ac:dyDescent="0.25">
      <c r="A865" s="50">
        <v>864</v>
      </c>
      <c r="B865" s="32"/>
      <c r="C865" s="32" t="b">
        <f>_xlfn.XLOOKUP(Table6[[#This Row],[Category No]],Table8[Category No],Table8[Chapter List],FALSE)</f>
        <v>0</v>
      </c>
      <c r="D865" s="51"/>
    </row>
    <row r="866" spans="1:4" x14ac:dyDescent="0.25">
      <c r="A866" s="50">
        <v>865</v>
      </c>
      <c r="B866" s="32"/>
      <c r="C866" s="32" t="b">
        <f>_xlfn.XLOOKUP(Table6[[#This Row],[Category No]],Table8[Category No],Table8[Chapter List],FALSE)</f>
        <v>0</v>
      </c>
      <c r="D866" s="51"/>
    </row>
    <row r="867" spans="1:4" x14ac:dyDescent="0.25">
      <c r="A867" s="50">
        <v>866</v>
      </c>
      <c r="B867" s="32"/>
      <c r="C867" s="32" t="b">
        <f>_xlfn.XLOOKUP(Table6[[#This Row],[Category No]],Table8[Category No],Table8[Chapter List],FALSE)</f>
        <v>0</v>
      </c>
      <c r="D867" s="51"/>
    </row>
    <row r="868" spans="1:4" x14ac:dyDescent="0.25">
      <c r="A868" s="50">
        <v>867</v>
      </c>
      <c r="B868" s="32"/>
      <c r="C868" s="32" t="b">
        <f>_xlfn.XLOOKUP(Table6[[#This Row],[Category No]],Table8[Category No],Table8[Chapter List],FALSE)</f>
        <v>0</v>
      </c>
      <c r="D868" s="51"/>
    </row>
    <row r="869" spans="1:4" x14ac:dyDescent="0.25">
      <c r="A869" s="50">
        <v>868</v>
      </c>
      <c r="B869" s="32"/>
      <c r="C869" s="32" t="b">
        <f>_xlfn.XLOOKUP(Table6[[#This Row],[Category No]],Table8[Category No],Table8[Chapter List],FALSE)</f>
        <v>0</v>
      </c>
      <c r="D869" s="51"/>
    </row>
    <row r="870" spans="1:4" x14ac:dyDescent="0.25">
      <c r="A870" s="50">
        <v>869</v>
      </c>
      <c r="B870" s="32"/>
      <c r="C870" s="32" t="b">
        <f>_xlfn.XLOOKUP(Table6[[#This Row],[Category No]],Table8[Category No],Table8[Chapter List],FALSE)</f>
        <v>0</v>
      </c>
      <c r="D870" s="51"/>
    </row>
    <row r="871" spans="1:4" x14ac:dyDescent="0.25">
      <c r="A871" s="50">
        <v>870</v>
      </c>
      <c r="B871" s="32"/>
      <c r="C871" s="32" t="b">
        <f>_xlfn.XLOOKUP(Table6[[#This Row],[Category No]],Table8[Category No],Table8[Chapter List],FALSE)</f>
        <v>0</v>
      </c>
      <c r="D871" s="51"/>
    </row>
    <row r="872" spans="1:4" x14ac:dyDescent="0.25">
      <c r="A872" s="50">
        <v>871</v>
      </c>
      <c r="B872" s="32"/>
      <c r="C872" s="32" t="b">
        <f>_xlfn.XLOOKUP(Table6[[#This Row],[Category No]],Table8[Category No],Table8[Chapter List],FALSE)</f>
        <v>0</v>
      </c>
      <c r="D872" s="51"/>
    </row>
    <row r="873" spans="1:4" x14ac:dyDescent="0.25">
      <c r="A873" s="50">
        <v>872</v>
      </c>
      <c r="B873" s="32"/>
      <c r="C873" s="32" t="b">
        <f>_xlfn.XLOOKUP(Table6[[#This Row],[Category No]],Table8[Category No],Table8[Chapter List],FALSE)</f>
        <v>0</v>
      </c>
      <c r="D873" s="51"/>
    </row>
    <row r="874" spans="1:4" x14ac:dyDescent="0.25">
      <c r="A874" s="50">
        <v>873</v>
      </c>
      <c r="B874" s="32"/>
      <c r="C874" s="32" t="b">
        <f>_xlfn.XLOOKUP(Table6[[#This Row],[Category No]],Table8[Category No],Table8[Chapter List],FALSE)</f>
        <v>0</v>
      </c>
      <c r="D874" s="51"/>
    </row>
    <row r="875" spans="1:4" x14ac:dyDescent="0.25">
      <c r="A875" s="50">
        <v>874</v>
      </c>
      <c r="B875" s="32"/>
      <c r="C875" s="32" t="b">
        <f>_xlfn.XLOOKUP(Table6[[#This Row],[Category No]],Table8[Category No],Table8[Chapter List],FALSE)</f>
        <v>0</v>
      </c>
      <c r="D875" s="51"/>
    </row>
    <row r="876" spans="1:4" x14ac:dyDescent="0.25">
      <c r="A876" s="50">
        <v>875</v>
      </c>
      <c r="B876" s="32"/>
      <c r="C876" s="32" t="b">
        <f>_xlfn.XLOOKUP(Table6[[#This Row],[Category No]],Table8[Category No],Table8[Chapter List],FALSE)</f>
        <v>0</v>
      </c>
      <c r="D876" s="51"/>
    </row>
    <row r="877" spans="1:4" x14ac:dyDescent="0.25">
      <c r="A877" s="50">
        <v>876</v>
      </c>
      <c r="B877" s="32"/>
      <c r="C877" s="32" t="b">
        <f>_xlfn.XLOOKUP(Table6[[#This Row],[Category No]],Table8[Category No],Table8[Chapter List],FALSE)</f>
        <v>0</v>
      </c>
      <c r="D877" s="51"/>
    </row>
    <row r="878" spans="1:4" x14ac:dyDescent="0.25">
      <c r="A878" s="50">
        <v>877</v>
      </c>
      <c r="B878" s="32"/>
      <c r="C878" s="32" t="b">
        <f>_xlfn.XLOOKUP(Table6[[#This Row],[Category No]],Table8[Category No],Table8[Chapter List],FALSE)</f>
        <v>0</v>
      </c>
      <c r="D878" s="51"/>
    </row>
    <row r="879" spans="1:4" x14ac:dyDescent="0.25">
      <c r="A879" s="50">
        <v>878</v>
      </c>
      <c r="B879" s="32"/>
      <c r="C879" s="32" t="b">
        <f>_xlfn.XLOOKUP(Table6[[#This Row],[Category No]],Table8[Category No],Table8[Chapter List],FALSE)</f>
        <v>0</v>
      </c>
      <c r="D879" s="51"/>
    </row>
    <row r="880" spans="1:4" x14ac:dyDescent="0.25">
      <c r="A880" s="50">
        <v>879</v>
      </c>
      <c r="B880" s="32"/>
      <c r="C880" s="32" t="b">
        <f>_xlfn.XLOOKUP(Table6[[#This Row],[Category No]],Table8[Category No],Table8[Chapter List],FALSE)</f>
        <v>0</v>
      </c>
      <c r="D880" s="51"/>
    </row>
    <row r="881" spans="1:4" x14ac:dyDescent="0.25">
      <c r="A881" s="50">
        <v>880</v>
      </c>
      <c r="B881" s="32"/>
      <c r="C881" s="32" t="b">
        <f>_xlfn.XLOOKUP(Table6[[#This Row],[Category No]],Table8[Category No],Table8[Chapter List],FALSE)</f>
        <v>0</v>
      </c>
      <c r="D881" s="51"/>
    </row>
    <row r="882" spans="1:4" x14ac:dyDescent="0.25">
      <c r="A882" s="50">
        <v>881</v>
      </c>
      <c r="B882" s="32"/>
      <c r="C882" s="32" t="b">
        <f>_xlfn.XLOOKUP(Table6[[#This Row],[Category No]],Table8[Category No],Table8[Chapter List],FALSE)</f>
        <v>0</v>
      </c>
      <c r="D882" s="51"/>
    </row>
    <row r="883" spans="1:4" x14ac:dyDescent="0.25">
      <c r="A883" s="50">
        <v>882</v>
      </c>
      <c r="B883" s="32"/>
      <c r="C883" s="32" t="b">
        <f>_xlfn.XLOOKUP(Table6[[#This Row],[Category No]],Table8[Category No],Table8[Chapter List],FALSE)</f>
        <v>0</v>
      </c>
      <c r="D883" s="51"/>
    </row>
    <row r="884" spans="1:4" x14ac:dyDescent="0.25">
      <c r="A884" s="50">
        <v>883</v>
      </c>
      <c r="B884" s="32"/>
      <c r="C884" s="32" t="b">
        <f>_xlfn.XLOOKUP(Table6[[#This Row],[Category No]],Table8[Category No],Table8[Chapter List],FALSE)</f>
        <v>0</v>
      </c>
      <c r="D884" s="51"/>
    </row>
    <row r="885" spans="1:4" x14ac:dyDescent="0.25">
      <c r="A885" s="50">
        <v>884</v>
      </c>
      <c r="B885" s="32"/>
      <c r="C885" s="32" t="b">
        <f>_xlfn.XLOOKUP(Table6[[#This Row],[Category No]],Table8[Category No],Table8[Chapter List],FALSE)</f>
        <v>0</v>
      </c>
      <c r="D885" s="51"/>
    </row>
    <row r="886" spans="1:4" x14ac:dyDescent="0.25">
      <c r="A886" s="50">
        <v>885</v>
      </c>
      <c r="B886" s="32"/>
      <c r="C886" s="32" t="b">
        <f>_xlfn.XLOOKUP(Table6[[#This Row],[Category No]],Table8[Category No],Table8[Chapter List],FALSE)</f>
        <v>0</v>
      </c>
      <c r="D886" s="51"/>
    </row>
    <row r="887" spans="1:4" x14ac:dyDescent="0.25">
      <c r="A887" s="50">
        <v>886</v>
      </c>
      <c r="B887" s="32"/>
      <c r="C887" s="32" t="b">
        <f>_xlfn.XLOOKUP(Table6[[#This Row],[Category No]],Table8[Category No],Table8[Chapter List],FALSE)</f>
        <v>0</v>
      </c>
      <c r="D887" s="51"/>
    </row>
    <row r="888" spans="1:4" x14ac:dyDescent="0.25">
      <c r="A888" s="50">
        <v>887</v>
      </c>
      <c r="B888" s="32"/>
      <c r="C888" s="32" t="b">
        <f>_xlfn.XLOOKUP(Table6[[#This Row],[Category No]],Table8[Category No],Table8[Chapter List],FALSE)</f>
        <v>0</v>
      </c>
      <c r="D888" s="51"/>
    </row>
    <row r="889" spans="1:4" x14ac:dyDescent="0.25">
      <c r="A889" s="50">
        <v>888</v>
      </c>
      <c r="B889" s="32"/>
      <c r="C889" s="32" t="b">
        <f>_xlfn.XLOOKUP(Table6[[#This Row],[Category No]],Table8[Category No],Table8[Chapter List],FALSE)</f>
        <v>0</v>
      </c>
      <c r="D889" s="51"/>
    </row>
    <row r="890" spans="1:4" x14ac:dyDescent="0.25">
      <c r="A890" s="50">
        <v>889</v>
      </c>
      <c r="B890" s="32"/>
      <c r="C890" s="32" t="b">
        <f>_xlfn.XLOOKUP(Table6[[#This Row],[Category No]],Table8[Category No],Table8[Chapter List],FALSE)</f>
        <v>0</v>
      </c>
      <c r="D890" s="51"/>
    </row>
    <row r="891" spans="1:4" x14ac:dyDescent="0.25">
      <c r="A891" s="50">
        <v>890</v>
      </c>
      <c r="B891" s="32"/>
      <c r="C891" s="32" t="b">
        <f>_xlfn.XLOOKUP(Table6[[#This Row],[Category No]],Table8[Category No],Table8[Chapter List],FALSE)</f>
        <v>0</v>
      </c>
      <c r="D891" s="51"/>
    </row>
    <row r="892" spans="1:4" x14ac:dyDescent="0.25">
      <c r="A892" s="50">
        <v>891</v>
      </c>
      <c r="B892" s="32"/>
      <c r="C892" s="32" t="b">
        <f>_xlfn.XLOOKUP(Table6[[#This Row],[Category No]],Table8[Category No],Table8[Chapter List],FALSE)</f>
        <v>0</v>
      </c>
      <c r="D892" s="51"/>
    </row>
    <row r="893" spans="1:4" x14ac:dyDescent="0.25">
      <c r="A893" s="50">
        <v>892</v>
      </c>
      <c r="B893" s="32"/>
      <c r="C893" s="32" t="b">
        <f>_xlfn.XLOOKUP(Table6[[#This Row],[Category No]],Table8[Category No],Table8[Chapter List],FALSE)</f>
        <v>0</v>
      </c>
      <c r="D893" s="51"/>
    </row>
    <row r="894" spans="1:4" x14ac:dyDescent="0.25">
      <c r="A894" s="50">
        <v>893</v>
      </c>
      <c r="B894" s="32"/>
      <c r="C894" s="32" t="b">
        <f>_xlfn.XLOOKUP(Table6[[#This Row],[Category No]],Table8[Category No],Table8[Chapter List],FALSE)</f>
        <v>0</v>
      </c>
      <c r="D894" s="51"/>
    </row>
    <row r="895" spans="1:4" x14ac:dyDescent="0.25">
      <c r="A895" s="50">
        <v>894</v>
      </c>
      <c r="B895" s="32"/>
      <c r="C895" s="32" t="b">
        <f>_xlfn.XLOOKUP(Table6[[#This Row],[Category No]],Table8[Category No],Table8[Chapter List],FALSE)</f>
        <v>0</v>
      </c>
      <c r="D895" s="51"/>
    </row>
    <row r="896" spans="1:4" x14ac:dyDescent="0.25">
      <c r="A896" s="50">
        <v>895</v>
      </c>
      <c r="B896" s="32"/>
      <c r="C896" s="32" t="b">
        <f>_xlfn.XLOOKUP(Table6[[#This Row],[Category No]],Table8[Category No],Table8[Chapter List],FALSE)</f>
        <v>0</v>
      </c>
      <c r="D896" s="51"/>
    </row>
    <row r="897" spans="1:4" x14ac:dyDescent="0.25">
      <c r="A897" s="50">
        <v>896</v>
      </c>
      <c r="B897" s="32"/>
      <c r="C897" s="32" t="b">
        <f>_xlfn.XLOOKUP(Table6[[#This Row],[Category No]],Table8[Category No],Table8[Chapter List],FALSE)</f>
        <v>0</v>
      </c>
      <c r="D897" s="51"/>
    </row>
    <row r="898" spans="1:4" x14ac:dyDescent="0.25">
      <c r="A898" s="50">
        <v>897</v>
      </c>
      <c r="B898" s="32"/>
      <c r="C898" s="32" t="b">
        <f>_xlfn.XLOOKUP(Table6[[#This Row],[Category No]],Table8[Category No],Table8[Chapter List],FALSE)</f>
        <v>0</v>
      </c>
      <c r="D898" s="51"/>
    </row>
    <row r="899" spans="1:4" x14ac:dyDescent="0.25">
      <c r="A899" s="50">
        <v>898</v>
      </c>
      <c r="B899" s="32"/>
      <c r="C899" s="32" t="b">
        <f>_xlfn.XLOOKUP(Table6[[#This Row],[Category No]],Table8[Category No],Table8[Chapter List],FALSE)</f>
        <v>0</v>
      </c>
      <c r="D899" s="51"/>
    </row>
    <row r="900" spans="1:4" x14ac:dyDescent="0.25">
      <c r="A900" s="50">
        <v>899</v>
      </c>
      <c r="B900" s="32"/>
      <c r="C900" s="32" t="b">
        <f>_xlfn.XLOOKUP(Table6[[#This Row],[Category No]],Table8[Category No],Table8[Chapter List],FALSE)</f>
        <v>0</v>
      </c>
      <c r="D900" s="51"/>
    </row>
    <row r="901" spans="1:4" x14ac:dyDescent="0.25">
      <c r="A901" s="50">
        <v>900</v>
      </c>
      <c r="B901" s="32"/>
      <c r="C901" s="32" t="b">
        <f>_xlfn.XLOOKUP(Table6[[#This Row],[Category No]],Table8[Category No],Table8[Chapter List],FALSE)</f>
        <v>0</v>
      </c>
      <c r="D901" s="51"/>
    </row>
    <row r="902" spans="1:4" x14ac:dyDescent="0.25">
      <c r="A902" s="50">
        <v>901</v>
      </c>
      <c r="B902" s="32"/>
      <c r="C902" s="32" t="b">
        <f>_xlfn.XLOOKUP(Table6[[#This Row],[Category No]],Table8[Category No],Table8[Chapter List],FALSE)</f>
        <v>0</v>
      </c>
      <c r="D902" s="51"/>
    </row>
    <row r="903" spans="1:4" x14ac:dyDescent="0.25">
      <c r="A903" s="50">
        <v>902</v>
      </c>
      <c r="B903" s="32"/>
      <c r="C903" s="32" t="b">
        <f>_xlfn.XLOOKUP(Table6[[#This Row],[Category No]],Table8[Category No],Table8[Chapter List],FALSE)</f>
        <v>0</v>
      </c>
      <c r="D903" s="51"/>
    </row>
    <row r="904" spans="1:4" x14ac:dyDescent="0.25">
      <c r="A904" s="50">
        <v>903</v>
      </c>
      <c r="B904" s="32"/>
      <c r="C904" s="32" t="b">
        <f>_xlfn.XLOOKUP(Table6[[#This Row],[Category No]],Table8[Category No],Table8[Chapter List],FALSE)</f>
        <v>0</v>
      </c>
      <c r="D904" s="51"/>
    </row>
    <row r="905" spans="1:4" x14ac:dyDescent="0.25">
      <c r="A905" s="50">
        <v>904</v>
      </c>
      <c r="B905" s="32"/>
      <c r="C905" s="32" t="b">
        <f>_xlfn.XLOOKUP(Table6[[#This Row],[Category No]],Table8[Category No],Table8[Chapter List],FALSE)</f>
        <v>0</v>
      </c>
      <c r="D905" s="51"/>
    </row>
    <row r="906" spans="1:4" x14ac:dyDescent="0.25">
      <c r="A906" s="50">
        <v>905</v>
      </c>
      <c r="B906" s="32"/>
      <c r="C906" s="32" t="b">
        <f>_xlfn.XLOOKUP(Table6[[#This Row],[Category No]],Table8[Category No],Table8[Chapter List],FALSE)</f>
        <v>0</v>
      </c>
      <c r="D906" s="51"/>
    </row>
    <row r="907" spans="1:4" x14ac:dyDescent="0.25">
      <c r="A907" s="50">
        <v>906</v>
      </c>
      <c r="B907" s="32"/>
      <c r="C907" s="32" t="b">
        <f>_xlfn.XLOOKUP(Table6[[#This Row],[Category No]],Table8[Category No],Table8[Chapter List],FALSE)</f>
        <v>0</v>
      </c>
      <c r="D907" s="51"/>
    </row>
    <row r="908" spans="1:4" x14ac:dyDescent="0.25">
      <c r="A908" s="50">
        <v>907</v>
      </c>
      <c r="B908" s="32"/>
      <c r="C908" s="32" t="b">
        <f>_xlfn.XLOOKUP(Table6[[#This Row],[Category No]],Table8[Category No],Table8[Chapter List],FALSE)</f>
        <v>0</v>
      </c>
      <c r="D908" s="51"/>
    </row>
    <row r="909" spans="1:4" x14ac:dyDescent="0.25">
      <c r="A909" s="50">
        <v>908</v>
      </c>
      <c r="B909" s="32"/>
      <c r="C909" s="32" t="b">
        <f>_xlfn.XLOOKUP(Table6[[#This Row],[Category No]],Table8[Category No],Table8[Chapter List],FALSE)</f>
        <v>0</v>
      </c>
      <c r="D909" s="51"/>
    </row>
    <row r="910" spans="1:4" x14ac:dyDescent="0.25">
      <c r="A910" s="50">
        <v>909</v>
      </c>
      <c r="B910" s="32"/>
      <c r="C910" s="32" t="b">
        <f>_xlfn.XLOOKUP(Table6[[#This Row],[Category No]],Table8[Category No],Table8[Chapter List],FALSE)</f>
        <v>0</v>
      </c>
      <c r="D910" s="51"/>
    </row>
    <row r="911" spans="1:4" x14ac:dyDescent="0.25">
      <c r="A911" s="50">
        <v>910</v>
      </c>
      <c r="B911" s="32"/>
      <c r="C911" s="32" t="b">
        <f>_xlfn.XLOOKUP(Table6[[#This Row],[Category No]],Table8[Category No],Table8[Chapter List],FALSE)</f>
        <v>0</v>
      </c>
      <c r="D911" s="51"/>
    </row>
    <row r="912" spans="1:4" x14ac:dyDescent="0.25">
      <c r="A912" s="50">
        <v>911</v>
      </c>
      <c r="B912" s="32"/>
      <c r="C912" s="32" t="b">
        <f>_xlfn.XLOOKUP(Table6[[#This Row],[Category No]],Table8[Category No],Table8[Chapter List],FALSE)</f>
        <v>0</v>
      </c>
      <c r="D912" s="51"/>
    </row>
    <row r="913" spans="1:4" x14ac:dyDescent="0.25">
      <c r="A913" s="50">
        <v>912</v>
      </c>
      <c r="B913" s="32"/>
      <c r="C913" s="32" t="b">
        <f>_xlfn.XLOOKUP(Table6[[#This Row],[Category No]],Table8[Category No],Table8[Chapter List],FALSE)</f>
        <v>0</v>
      </c>
      <c r="D913" s="51"/>
    </row>
    <row r="914" spans="1:4" x14ac:dyDescent="0.25">
      <c r="A914" s="50">
        <v>913</v>
      </c>
      <c r="B914" s="32"/>
      <c r="C914" s="32" t="b">
        <f>_xlfn.XLOOKUP(Table6[[#This Row],[Category No]],Table8[Category No],Table8[Chapter List],FALSE)</f>
        <v>0</v>
      </c>
      <c r="D914" s="51"/>
    </row>
    <row r="915" spans="1:4" x14ac:dyDescent="0.25">
      <c r="A915" s="50">
        <v>914</v>
      </c>
      <c r="B915" s="32"/>
      <c r="C915" s="32" t="b">
        <f>_xlfn.XLOOKUP(Table6[[#This Row],[Category No]],Table8[Category No],Table8[Chapter List],FALSE)</f>
        <v>0</v>
      </c>
      <c r="D915" s="51"/>
    </row>
    <row r="916" spans="1:4" x14ac:dyDescent="0.25">
      <c r="A916" s="50">
        <v>915</v>
      </c>
      <c r="B916" s="32"/>
      <c r="C916" s="32" t="b">
        <f>_xlfn.XLOOKUP(Table6[[#This Row],[Category No]],Table8[Category No],Table8[Chapter List],FALSE)</f>
        <v>0</v>
      </c>
      <c r="D916" s="51"/>
    </row>
    <row r="917" spans="1:4" x14ac:dyDescent="0.25">
      <c r="A917" s="50">
        <v>916</v>
      </c>
      <c r="B917" s="32"/>
      <c r="C917" s="32" t="b">
        <f>_xlfn.XLOOKUP(Table6[[#This Row],[Category No]],Table8[Category No],Table8[Chapter List],FALSE)</f>
        <v>0</v>
      </c>
      <c r="D917" s="51"/>
    </row>
    <row r="918" spans="1:4" x14ac:dyDescent="0.25">
      <c r="A918" s="50">
        <v>917</v>
      </c>
      <c r="B918" s="32"/>
      <c r="C918" s="32" t="b">
        <f>_xlfn.XLOOKUP(Table6[[#This Row],[Category No]],Table8[Category No],Table8[Chapter List],FALSE)</f>
        <v>0</v>
      </c>
      <c r="D918" s="51"/>
    </row>
    <row r="919" spans="1:4" x14ac:dyDescent="0.25">
      <c r="A919" s="50">
        <v>918</v>
      </c>
      <c r="B919" s="32"/>
      <c r="C919" s="32" t="b">
        <f>_xlfn.XLOOKUP(Table6[[#This Row],[Category No]],Table8[Category No],Table8[Chapter List],FALSE)</f>
        <v>0</v>
      </c>
      <c r="D919" s="51"/>
    </row>
    <row r="920" spans="1:4" x14ac:dyDescent="0.25">
      <c r="A920" s="50">
        <v>919</v>
      </c>
      <c r="B920" s="32"/>
      <c r="C920" s="32" t="b">
        <f>_xlfn.XLOOKUP(Table6[[#This Row],[Category No]],Table8[Category No],Table8[Chapter List],FALSE)</f>
        <v>0</v>
      </c>
      <c r="D920" s="51"/>
    </row>
    <row r="921" spans="1:4" x14ac:dyDescent="0.25">
      <c r="A921" s="50">
        <v>920</v>
      </c>
      <c r="B921" s="32"/>
      <c r="C921" s="32" t="b">
        <f>_xlfn.XLOOKUP(Table6[[#This Row],[Category No]],Table8[Category No],Table8[Chapter List],FALSE)</f>
        <v>0</v>
      </c>
      <c r="D921" s="51"/>
    </row>
    <row r="922" spans="1:4" x14ac:dyDescent="0.25">
      <c r="A922" s="50">
        <v>921</v>
      </c>
      <c r="B922" s="32"/>
      <c r="C922" s="32" t="b">
        <f>_xlfn.XLOOKUP(Table6[[#This Row],[Category No]],Table8[Category No],Table8[Chapter List],FALSE)</f>
        <v>0</v>
      </c>
      <c r="D922" s="51"/>
    </row>
    <row r="923" spans="1:4" x14ac:dyDescent="0.25">
      <c r="A923" s="50">
        <v>922</v>
      </c>
      <c r="B923" s="32"/>
      <c r="C923" s="32" t="b">
        <f>_xlfn.XLOOKUP(Table6[[#This Row],[Category No]],Table8[Category No],Table8[Chapter List],FALSE)</f>
        <v>0</v>
      </c>
      <c r="D923" s="51"/>
    </row>
    <row r="924" spans="1:4" x14ac:dyDescent="0.25">
      <c r="A924" s="50">
        <v>923</v>
      </c>
      <c r="B924" s="32"/>
      <c r="C924" s="32" t="b">
        <f>_xlfn.XLOOKUP(Table6[[#This Row],[Category No]],Table8[Category No],Table8[Chapter List],FALSE)</f>
        <v>0</v>
      </c>
      <c r="D924" s="51"/>
    </row>
    <row r="925" spans="1:4" x14ac:dyDescent="0.25">
      <c r="A925" s="50">
        <v>924</v>
      </c>
      <c r="B925" s="32"/>
      <c r="C925" s="32" t="b">
        <f>_xlfn.XLOOKUP(Table6[[#This Row],[Category No]],Table8[Category No],Table8[Chapter List],FALSE)</f>
        <v>0</v>
      </c>
      <c r="D925" s="51"/>
    </row>
    <row r="926" spans="1:4" x14ac:dyDescent="0.25">
      <c r="A926" s="50">
        <v>925</v>
      </c>
      <c r="B926" s="32"/>
      <c r="C926" s="32" t="b">
        <f>_xlfn.XLOOKUP(Table6[[#This Row],[Category No]],Table8[Category No],Table8[Chapter List],FALSE)</f>
        <v>0</v>
      </c>
      <c r="D926" s="51"/>
    </row>
    <row r="927" spans="1:4" x14ac:dyDescent="0.25">
      <c r="A927" s="50">
        <v>926</v>
      </c>
      <c r="B927" s="32"/>
      <c r="C927" s="32" t="b">
        <f>_xlfn.XLOOKUP(Table6[[#This Row],[Category No]],Table8[Category No],Table8[Chapter List],FALSE)</f>
        <v>0</v>
      </c>
      <c r="D927" s="51"/>
    </row>
    <row r="928" spans="1:4" x14ac:dyDescent="0.25">
      <c r="A928" s="50">
        <v>927</v>
      </c>
      <c r="B928" s="32"/>
      <c r="C928" s="32" t="b">
        <f>_xlfn.XLOOKUP(Table6[[#This Row],[Category No]],Table8[Category No],Table8[Chapter List],FALSE)</f>
        <v>0</v>
      </c>
      <c r="D928" s="51"/>
    </row>
    <row r="929" spans="1:4" x14ac:dyDescent="0.25">
      <c r="A929" s="50">
        <v>928</v>
      </c>
      <c r="B929" s="32"/>
      <c r="C929" s="32" t="b">
        <f>_xlfn.XLOOKUP(Table6[[#This Row],[Category No]],Table8[Category No],Table8[Chapter List],FALSE)</f>
        <v>0</v>
      </c>
      <c r="D929" s="51"/>
    </row>
    <row r="930" spans="1:4" x14ac:dyDescent="0.25">
      <c r="A930" s="50">
        <v>929</v>
      </c>
      <c r="B930" s="32"/>
      <c r="C930" s="32" t="b">
        <f>_xlfn.XLOOKUP(Table6[[#This Row],[Category No]],Table8[Category No],Table8[Chapter List],FALSE)</f>
        <v>0</v>
      </c>
      <c r="D930" s="51"/>
    </row>
    <row r="931" spans="1:4" x14ac:dyDescent="0.25">
      <c r="A931" s="50">
        <v>930</v>
      </c>
      <c r="B931" s="32"/>
      <c r="C931" s="32" t="b">
        <f>_xlfn.XLOOKUP(Table6[[#This Row],[Category No]],Table8[Category No],Table8[Chapter List],FALSE)</f>
        <v>0</v>
      </c>
      <c r="D931" s="51"/>
    </row>
    <row r="932" spans="1:4" x14ac:dyDescent="0.25">
      <c r="A932" s="50">
        <v>931</v>
      </c>
      <c r="B932" s="32"/>
      <c r="C932" s="32" t="b">
        <f>_xlfn.XLOOKUP(Table6[[#This Row],[Category No]],Table8[Category No],Table8[Chapter List],FALSE)</f>
        <v>0</v>
      </c>
      <c r="D932" s="51"/>
    </row>
    <row r="933" spans="1:4" x14ac:dyDescent="0.25">
      <c r="A933" s="50">
        <v>932</v>
      </c>
      <c r="B933" s="32"/>
      <c r="C933" s="32" t="b">
        <f>_xlfn.XLOOKUP(Table6[[#This Row],[Category No]],Table8[Category No],Table8[Chapter List],FALSE)</f>
        <v>0</v>
      </c>
      <c r="D933" s="51"/>
    </row>
    <row r="934" spans="1:4" x14ac:dyDescent="0.25">
      <c r="A934" s="50">
        <v>933</v>
      </c>
      <c r="B934" s="32"/>
      <c r="C934" s="32" t="b">
        <f>_xlfn.XLOOKUP(Table6[[#This Row],[Category No]],Table8[Category No],Table8[Chapter List],FALSE)</f>
        <v>0</v>
      </c>
      <c r="D934" s="51"/>
    </row>
    <row r="935" spans="1:4" x14ac:dyDescent="0.25">
      <c r="A935" s="50">
        <v>934</v>
      </c>
      <c r="B935" s="32"/>
      <c r="C935" s="32" t="b">
        <f>_xlfn.XLOOKUP(Table6[[#This Row],[Category No]],Table8[Category No],Table8[Chapter List],FALSE)</f>
        <v>0</v>
      </c>
      <c r="D935" s="51"/>
    </row>
    <row r="936" spans="1:4" x14ac:dyDescent="0.25">
      <c r="A936" s="50">
        <v>935</v>
      </c>
      <c r="B936" s="32"/>
      <c r="C936" s="32" t="b">
        <f>_xlfn.XLOOKUP(Table6[[#This Row],[Category No]],Table8[Category No],Table8[Chapter List],FALSE)</f>
        <v>0</v>
      </c>
      <c r="D936" s="51"/>
    </row>
    <row r="937" spans="1:4" x14ac:dyDescent="0.25">
      <c r="A937" s="50">
        <v>936</v>
      </c>
      <c r="B937" s="32"/>
      <c r="C937" s="32" t="b">
        <f>_xlfn.XLOOKUP(Table6[[#This Row],[Category No]],Table8[Category No],Table8[Chapter List],FALSE)</f>
        <v>0</v>
      </c>
      <c r="D937" s="51"/>
    </row>
    <row r="938" spans="1:4" x14ac:dyDescent="0.25">
      <c r="A938" s="50">
        <v>937</v>
      </c>
      <c r="B938" s="32"/>
      <c r="C938" s="32" t="b">
        <f>_xlfn.XLOOKUP(Table6[[#This Row],[Category No]],Table8[Category No],Table8[Chapter List],FALSE)</f>
        <v>0</v>
      </c>
      <c r="D938" s="51"/>
    </row>
    <row r="939" spans="1:4" x14ac:dyDescent="0.25">
      <c r="A939" s="50">
        <v>938</v>
      </c>
      <c r="B939" s="32"/>
      <c r="C939" s="32" t="b">
        <f>_xlfn.XLOOKUP(Table6[[#This Row],[Category No]],Table8[Category No],Table8[Chapter List],FALSE)</f>
        <v>0</v>
      </c>
      <c r="D939" s="51"/>
    </row>
    <row r="940" spans="1:4" x14ac:dyDescent="0.25">
      <c r="A940" s="50">
        <v>939</v>
      </c>
      <c r="B940" s="32"/>
      <c r="C940" s="32" t="b">
        <f>_xlfn.XLOOKUP(Table6[[#This Row],[Category No]],Table8[Category No],Table8[Chapter List],FALSE)</f>
        <v>0</v>
      </c>
      <c r="D940" s="51"/>
    </row>
    <row r="941" spans="1:4" x14ac:dyDescent="0.25">
      <c r="A941" s="50">
        <v>940</v>
      </c>
      <c r="B941" s="32"/>
      <c r="C941" s="32" t="b">
        <f>_xlfn.XLOOKUP(Table6[[#This Row],[Category No]],Table8[Category No],Table8[Chapter List],FALSE)</f>
        <v>0</v>
      </c>
      <c r="D941" s="51"/>
    </row>
    <row r="942" spans="1:4" x14ac:dyDescent="0.25">
      <c r="A942" s="50">
        <v>941</v>
      </c>
      <c r="B942" s="32"/>
      <c r="C942" s="32" t="b">
        <f>_xlfn.XLOOKUP(Table6[[#This Row],[Category No]],Table8[Category No],Table8[Chapter List],FALSE)</f>
        <v>0</v>
      </c>
      <c r="D942" s="51"/>
    </row>
    <row r="943" spans="1:4" x14ac:dyDescent="0.25">
      <c r="A943" s="50">
        <v>942</v>
      </c>
      <c r="B943" s="32"/>
      <c r="C943" s="32" t="b">
        <f>_xlfn.XLOOKUP(Table6[[#This Row],[Category No]],Table8[Category No],Table8[Chapter List],FALSE)</f>
        <v>0</v>
      </c>
      <c r="D943" s="51"/>
    </row>
    <row r="944" spans="1:4" x14ac:dyDescent="0.25">
      <c r="A944" s="50">
        <v>943</v>
      </c>
      <c r="B944" s="32"/>
      <c r="C944" s="32" t="b">
        <f>_xlfn.XLOOKUP(Table6[[#This Row],[Category No]],Table8[Category No],Table8[Chapter List],FALSE)</f>
        <v>0</v>
      </c>
      <c r="D944" s="51"/>
    </row>
    <row r="945" spans="1:4" x14ac:dyDescent="0.25">
      <c r="A945" s="50">
        <v>944</v>
      </c>
      <c r="B945" s="32"/>
      <c r="C945" s="32" t="b">
        <f>_xlfn.XLOOKUP(Table6[[#This Row],[Category No]],Table8[Category No],Table8[Chapter List],FALSE)</f>
        <v>0</v>
      </c>
      <c r="D945" s="51"/>
    </row>
    <row r="946" spans="1:4" x14ac:dyDescent="0.25">
      <c r="A946" s="50">
        <v>945</v>
      </c>
      <c r="B946" s="32"/>
      <c r="C946" s="32" t="b">
        <f>_xlfn.XLOOKUP(Table6[[#This Row],[Category No]],Table8[Category No],Table8[Chapter List],FALSE)</f>
        <v>0</v>
      </c>
      <c r="D946" s="51"/>
    </row>
    <row r="947" spans="1:4" x14ac:dyDescent="0.25">
      <c r="A947" s="50">
        <v>946</v>
      </c>
      <c r="B947" s="32"/>
      <c r="C947" s="32" t="b">
        <f>_xlfn.XLOOKUP(Table6[[#This Row],[Category No]],Table8[Category No],Table8[Chapter List],FALSE)</f>
        <v>0</v>
      </c>
      <c r="D947" s="51"/>
    </row>
    <row r="948" spans="1:4" x14ac:dyDescent="0.25">
      <c r="A948" s="50">
        <v>947</v>
      </c>
      <c r="B948" s="32"/>
      <c r="C948" s="32" t="b">
        <f>_xlfn.XLOOKUP(Table6[[#This Row],[Category No]],Table8[Category No],Table8[Chapter List],FALSE)</f>
        <v>0</v>
      </c>
      <c r="D948" s="51"/>
    </row>
    <row r="949" spans="1:4" x14ac:dyDescent="0.25">
      <c r="A949" s="50">
        <v>948</v>
      </c>
      <c r="B949" s="32"/>
      <c r="C949" s="32" t="b">
        <f>_xlfn.XLOOKUP(Table6[[#This Row],[Category No]],Table8[Category No],Table8[Chapter List],FALSE)</f>
        <v>0</v>
      </c>
      <c r="D949" s="51"/>
    </row>
    <row r="950" spans="1:4" x14ac:dyDescent="0.25">
      <c r="A950" s="50">
        <v>949</v>
      </c>
      <c r="B950" s="32"/>
      <c r="C950" s="32" t="b">
        <f>_xlfn.XLOOKUP(Table6[[#This Row],[Category No]],Table8[Category No],Table8[Chapter List],FALSE)</f>
        <v>0</v>
      </c>
      <c r="D950" s="51"/>
    </row>
    <row r="951" spans="1:4" x14ac:dyDescent="0.25">
      <c r="A951" s="50">
        <v>950</v>
      </c>
      <c r="B951" s="32"/>
      <c r="C951" s="32" t="b">
        <f>_xlfn.XLOOKUP(Table6[[#This Row],[Category No]],Table8[Category No],Table8[Chapter List],FALSE)</f>
        <v>0</v>
      </c>
      <c r="D951" s="51"/>
    </row>
    <row r="952" spans="1:4" x14ac:dyDescent="0.25">
      <c r="A952" s="50">
        <v>951</v>
      </c>
      <c r="B952" s="32"/>
      <c r="C952" s="32" t="b">
        <f>_xlfn.XLOOKUP(Table6[[#This Row],[Category No]],Table8[Category No],Table8[Chapter List],FALSE)</f>
        <v>0</v>
      </c>
      <c r="D952" s="51"/>
    </row>
    <row r="953" spans="1:4" x14ac:dyDescent="0.25">
      <c r="A953" s="50">
        <v>952</v>
      </c>
      <c r="B953" s="32"/>
      <c r="C953" s="32" t="b">
        <f>_xlfn.XLOOKUP(Table6[[#This Row],[Category No]],Table8[Category No],Table8[Chapter List],FALSE)</f>
        <v>0</v>
      </c>
      <c r="D953" s="51"/>
    </row>
    <row r="954" spans="1:4" x14ac:dyDescent="0.25">
      <c r="A954" s="50">
        <v>953</v>
      </c>
      <c r="B954" s="32"/>
      <c r="C954" s="32" t="b">
        <f>_xlfn.XLOOKUP(Table6[[#This Row],[Category No]],Table8[Category No],Table8[Chapter List],FALSE)</f>
        <v>0</v>
      </c>
      <c r="D954" s="51"/>
    </row>
    <row r="955" spans="1:4" x14ac:dyDescent="0.25">
      <c r="A955" s="50">
        <v>954</v>
      </c>
      <c r="B955" s="32"/>
      <c r="C955" s="32" t="b">
        <f>_xlfn.XLOOKUP(Table6[[#This Row],[Category No]],Table8[Category No],Table8[Chapter List],FALSE)</f>
        <v>0</v>
      </c>
      <c r="D955" s="51"/>
    </row>
    <row r="956" spans="1:4" x14ac:dyDescent="0.25">
      <c r="A956" s="50">
        <v>955</v>
      </c>
      <c r="B956" s="32"/>
      <c r="C956" s="32" t="b">
        <f>_xlfn.XLOOKUP(Table6[[#This Row],[Category No]],Table8[Category No],Table8[Chapter List],FALSE)</f>
        <v>0</v>
      </c>
      <c r="D956" s="51"/>
    </row>
    <row r="957" spans="1:4" x14ac:dyDescent="0.25">
      <c r="A957" s="50">
        <v>956</v>
      </c>
      <c r="B957" s="32"/>
      <c r="C957" s="32" t="b">
        <f>_xlfn.XLOOKUP(Table6[[#This Row],[Category No]],Table8[Category No],Table8[Chapter List],FALSE)</f>
        <v>0</v>
      </c>
      <c r="D957" s="51"/>
    </row>
    <row r="958" spans="1:4" x14ac:dyDescent="0.25">
      <c r="A958" s="50">
        <v>957</v>
      </c>
      <c r="B958" s="32"/>
      <c r="C958" s="32" t="b">
        <f>_xlfn.XLOOKUP(Table6[[#This Row],[Category No]],Table8[Category No],Table8[Chapter List],FALSE)</f>
        <v>0</v>
      </c>
      <c r="D958" s="51"/>
    </row>
    <row r="959" spans="1:4" x14ac:dyDescent="0.25">
      <c r="A959" s="50">
        <v>958</v>
      </c>
      <c r="B959" s="32"/>
      <c r="C959" s="32" t="b">
        <f>_xlfn.XLOOKUP(Table6[[#This Row],[Category No]],Table8[Category No],Table8[Chapter List],FALSE)</f>
        <v>0</v>
      </c>
      <c r="D959" s="51"/>
    </row>
    <row r="960" spans="1:4" x14ac:dyDescent="0.25">
      <c r="A960" s="50">
        <v>959</v>
      </c>
      <c r="B960" s="32"/>
      <c r="C960" s="32" t="b">
        <f>_xlfn.XLOOKUP(Table6[[#This Row],[Category No]],Table8[Category No],Table8[Chapter List],FALSE)</f>
        <v>0</v>
      </c>
      <c r="D960" s="51"/>
    </row>
    <row r="961" spans="1:4" x14ac:dyDescent="0.25">
      <c r="A961" s="50">
        <v>960</v>
      </c>
      <c r="B961" s="32"/>
      <c r="C961" s="32" t="b">
        <f>_xlfn.XLOOKUP(Table6[[#This Row],[Category No]],Table8[Category No],Table8[Chapter List],FALSE)</f>
        <v>0</v>
      </c>
      <c r="D961" s="51"/>
    </row>
    <row r="962" spans="1:4" x14ac:dyDescent="0.25">
      <c r="A962" s="50">
        <v>961</v>
      </c>
      <c r="B962" s="32"/>
      <c r="C962" s="32" t="b">
        <f>_xlfn.XLOOKUP(Table6[[#This Row],[Category No]],Table8[Category No],Table8[Chapter List],FALSE)</f>
        <v>0</v>
      </c>
      <c r="D962" s="51"/>
    </row>
    <row r="963" spans="1:4" x14ac:dyDescent="0.25">
      <c r="A963" s="50">
        <v>962</v>
      </c>
      <c r="B963" s="32"/>
      <c r="C963" s="32" t="b">
        <f>_xlfn.XLOOKUP(Table6[[#This Row],[Category No]],Table8[Category No],Table8[Chapter List],FALSE)</f>
        <v>0</v>
      </c>
      <c r="D963" s="51"/>
    </row>
    <row r="964" spans="1:4" x14ac:dyDescent="0.25">
      <c r="A964" s="50">
        <v>963</v>
      </c>
      <c r="B964" s="32"/>
      <c r="C964" s="32" t="b">
        <f>_xlfn.XLOOKUP(Table6[[#This Row],[Category No]],Table8[Category No],Table8[Chapter List],FALSE)</f>
        <v>0</v>
      </c>
      <c r="D964" s="51"/>
    </row>
    <row r="965" spans="1:4" x14ac:dyDescent="0.25">
      <c r="A965" s="50">
        <v>964</v>
      </c>
      <c r="B965" s="32"/>
      <c r="C965" s="32" t="b">
        <f>_xlfn.XLOOKUP(Table6[[#This Row],[Category No]],Table8[Category No],Table8[Chapter List],FALSE)</f>
        <v>0</v>
      </c>
      <c r="D965" s="51"/>
    </row>
    <row r="966" spans="1:4" x14ac:dyDescent="0.25">
      <c r="A966" s="50">
        <v>965</v>
      </c>
      <c r="B966" s="32"/>
      <c r="C966" s="32" t="b">
        <f>_xlfn.XLOOKUP(Table6[[#This Row],[Category No]],Table8[Category No],Table8[Chapter List],FALSE)</f>
        <v>0</v>
      </c>
      <c r="D966" s="51"/>
    </row>
    <row r="967" spans="1:4" x14ac:dyDescent="0.25">
      <c r="A967" s="50">
        <v>966</v>
      </c>
      <c r="B967" s="32"/>
      <c r="C967" s="32" t="b">
        <f>_xlfn.XLOOKUP(Table6[[#This Row],[Category No]],Table8[Category No],Table8[Chapter List],FALSE)</f>
        <v>0</v>
      </c>
      <c r="D967" s="51"/>
    </row>
    <row r="968" spans="1:4" x14ac:dyDescent="0.25">
      <c r="A968" s="50">
        <v>967</v>
      </c>
      <c r="B968" s="32"/>
      <c r="C968" s="32" t="b">
        <f>_xlfn.XLOOKUP(Table6[[#This Row],[Category No]],Table8[Category No],Table8[Chapter List],FALSE)</f>
        <v>0</v>
      </c>
      <c r="D968" s="51"/>
    </row>
    <row r="969" spans="1:4" x14ac:dyDescent="0.25">
      <c r="A969" s="50">
        <v>968</v>
      </c>
      <c r="B969" s="32"/>
      <c r="C969" s="32" t="b">
        <f>_xlfn.XLOOKUP(Table6[[#This Row],[Category No]],Table8[Category No],Table8[Chapter List],FALSE)</f>
        <v>0</v>
      </c>
      <c r="D969" s="51"/>
    </row>
    <row r="970" spans="1:4" x14ac:dyDescent="0.25">
      <c r="A970" s="50">
        <v>969</v>
      </c>
      <c r="B970" s="32"/>
      <c r="C970" s="32" t="b">
        <f>_xlfn.XLOOKUP(Table6[[#This Row],[Category No]],Table8[Category No],Table8[Chapter List],FALSE)</f>
        <v>0</v>
      </c>
      <c r="D970" s="51"/>
    </row>
    <row r="971" spans="1:4" x14ac:dyDescent="0.25">
      <c r="A971" s="50">
        <v>970</v>
      </c>
      <c r="B971" s="32"/>
      <c r="C971" s="32" t="b">
        <f>_xlfn.XLOOKUP(Table6[[#This Row],[Category No]],Table8[Category No],Table8[Chapter List],FALSE)</f>
        <v>0</v>
      </c>
      <c r="D971" s="51"/>
    </row>
    <row r="972" spans="1:4" x14ac:dyDescent="0.25">
      <c r="A972" s="50">
        <v>971</v>
      </c>
      <c r="B972" s="32"/>
      <c r="C972" s="32" t="b">
        <f>_xlfn.XLOOKUP(Table6[[#This Row],[Category No]],Table8[Category No],Table8[Chapter List],FALSE)</f>
        <v>0</v>
      </c>
      <c r="D972" s="51"/>
    </row>
    <row r="973" spans="1:4" x14ac:dyDescent="0.25">
      <c r="A973" s="50">
        <v>972</v>
      </c>
      <c r="B973" s="32"/>
      <c r="C973" s="32" t="b">
        <f>_xlfn.XLOOKUP(Table6[[#This Row],[Category No]],Table8[Category No],Table8[Chapter List],FALSE)</f>
        <v>0</v>
      </c>
      <c r="D973" s="51"/>
    </row>
    <row r="974" spans="1:4" x14ac:dyDescent="0.25">
      <c r="A974" s="50">
        <v>973</v>
      </c>
      <c r="B974" s="32"/>
      <c r="C974" s="32" t="b">
        <f>_xlfn.XLOOKUP(Table6[[#This Row],[Category No]],Table8[Category No],Table8[Chapter List],FALSE)</f>
        <v>0</v>
      </c>
      <c r="D974" s="51"/>
    </row>
    <row r="975" spans="1:4" x14ac:dyDescent="0.25">
      <c r="A975" s="50">
        <v>974</v>
      </c>
      <c r="B975" s="32"/>
      <c r="C975" s="32" t="b">
        <f>_xlfn.XLOOKUP(Table6[[#This Row],[Category No]],Table8[Category No],Table8[Chapter List],FALSE)</f>
        <v>0</v>
      </c>
      <c r="D975" s="51"/>
    </row>
    <row r="976" spans="1:4" x14ac:dyDescent="0.25">
      <c r="A976" s="50">
        <v>975</v>
      </c>
      <c r="B976" s="32"/>
      <c r="C976" s="32" t="b">
        <f>_xlfn.XLOOKUP(Table6[[#This Row],[Category No]],Table8[Category No],Table8[Chapter List],FALSE)</f>
        <v>0</v>
      </c>
      <c r="D976" s="51"/>
    </row>
    <row r="977" spans="1:4" x14ac:dyDescent="0.25">
      <c r="A977" s="50">
        <v>976</v>
      </c>
      <c r="B977" s="32"/>
      <c r="C977" s="32" t="b">
        <f>_xlfn.XLOOKUP(Table6[[#This Row],[Category No]],Table8[Category No],Table8[Chapter List],FALSE)</f>
        <v>0</v>
      </c>
      <c r="D977" s="51"/>
    </row>
    <row r="978" spans="1:4" x14ac:dyDescent="0.25">
      <c r="A978" s="50">
        <v>977</v>
      </c>
      <c r="B978" s="32"/>
      <c r="C978" s="32" t="b">
        <f>_xlfn.XLOOKUP(Table6[[#This Row],[Category No]],Table8[Category No],Table8[Chapter List],FALSE)</f>
        <v>0</v>
      </c>
      <c r="D978" s="51"/>
    </row>
    <row r="979" spans="1:4" x14ac:dyDescent="0.25">
      <c r="A979" s="50">
        <v>978</v>
      </c>
      <c r="B979" s="32"/>
      <c r="C979" s="32" t="b">
        <f>_xlfn.XLOOKUP(Table6[[#This Row],[Category No]],Table8[Category No],Table8[Chapter List],FALSE)</f>
        <v>0</v>
      </c>
      <c r="D979" s="51"/>
    </row>
    <row r="980" spans="1:4" x14ac:dyDescent="0.25">
      <c r="A980" s="50">
        <v>979</v>
      </c>
      <c r="B980" s="32"/>
      <c r="C980" s="32" t="b">
        <f>_xlfn.XLOOKUP(Table6[[#This Row],[Category No]],Table8[Category No],Table8[Chapter List],FALSE)</f>
        <v>0</v>
      </c>
      <c r="D980" s="51"/>
    </row>
    <row r="981" spans="1:4" x14ac:dyDescent="0.25">
      <c r="A981" s="50">
        <v>980</v>
      </c>
      <c r="B981" s="32"/>
      <c r="C981" s="32" t="b">
        <f>_xlfn.XLOOKUP(Table6[[#This Row],[Category No]],Table8[Category No],Table8[Chapter List],FALSE)</f>
        <v>0</v>
      </c>
      <c r="D981" s="51"/>
    </row>
    <row r="982" spans="1:4" x14ac:dyDescent="0.25">
      <c r="A982" s="50">
        <v>981</v>
      </c>
      <c r="B982" s="32"/>
      <c r="C982" s="32" t="b">
        <f>_xlfn.XLOOKUP(Table6[[#This Row],[Category No]],Table8[Category No],Table8[Chapter List],FALSE)</f>
        <v>0</v>
      </c>
      <c r="D982" s="51"/>
    </row>
    <row r="983" spans="1:4" x14ac:dyDescent="0.25">
      <c r="A983" s="50">
        <v>982</v>
      </c>
      <c r="B983" s="32"/>
      <c r="C983" s="32" t="b">
        <f>_xlfn.XLOOKUP(Table6[[#This Row],[Category No]],Table8[Category No],Table8[Chapter List],FALSE)</f>
        <v>0</v>
      </c>
      <c r="D983" s="51"/>
    </row>
    <row r="984" spans="1:4" x14ac:dyDescent="0.25">
      <c r="A984" s="50">
        <v>983</v>
      </c>
      <c r="B984" s="32"/>
      <c r="C984" s="32" t="b">
        <f>_xlfn.XLOOKUP(Table6[[#This Row],[Category No]],Table8[Category No],Table8[Chapter List],FALSE)</f>
        <v>0</v>
      </c>
      <c r="D984" s="51"/>
    </row>
    <row r="985" spans="1:4" x14ac:dyDescent="0.25">
      <c r="A985" s="50">
        <v>984</v>
      </c>
      <c r="B985" s="32"/>
      <c r="C985" s="32" t="b">
        <f>_xlfn.XLOOKUP(Table6[[#This Row],[Category No]],Table8[Category No],Table8[Chapter List],FALSE)</f>
        <v>0</v>
      </c>
      <c r="D985" s="51"/>
    </row>
    <row r="986" spans="1:4" x14ac:dyDescent="0.25">
      <c r="A986" s="50">
        <v>985</v>
      </c>
      <c r="B986" s="32"/>
      <c r="C986" s="32" t="b">
        <f>_xlfn.XLOOKUP(Table6[[#This Row],[Category No]],Table8[Category No],Table8[Chapter List],FALSE)</f>
        <v>0</v>
      </c>
      <c r="D986" s="51"/>
    </row>
    <row r="987" spans="1:4" x14ac:dyDescent="0.25">
      <c r="A987" s="50">
        <v>986</v>
      </c>
      <c r="B987" s="32"/>
      <c r="C987" s="32" t="b">
        <f>_xlfn.XLOOKUP(Table6[[#This Row],[Category No]],Table8[Category No],Table8[Chapter List],FALSE)</f>
        <v>0</v>
      </c>
      <c r="D987" s="51"/>
    </row>
    <row r="988" spans="1:4" x14ac:dyDescent="0.25">
      <c r="A988" s="50">
        <v>987</v>
      </c>
      <c r="B988" s="32"/>
      <c r="C988" s="32" t="b">
        <f>_xlfn.XLOOKUP(Table6[[#This Row],[Category No]],Table8[Category No],Table8[Chapter List],FALSE)</f>
        <v>0</v>
      </c>
      <c r="D988" s="51"/>
    </row>
    <row r="989" spans="1:4" x14ac:dyDescent="0.25">
      <c r="A989" s="50">
        <v>988</v>
      </c>
      <c r="B989" s="32"/>
      <c r="C989" s="32" t="b">
        <f>_xlfn.XLOOKUP(Table6[[#This Row],[Category No]],Table8[Category No],Table8[Chapter List],FALSE)</f>
        <v>0</v>
      </c>
      <c r="D989" s="51"/>
    </row>
    <row r="990" spans="1:4" x14ac:dyDescent="0.25">
      <c r="A990" s="50">
        <v>989</v>
      </c>
      <c r="B990" s="32"/>
      <c r="C990" s="32" t="b">
        <f>_xlfn.XLOOKUP(Table6[[#This Row],[Category No]],Table8[Category No],Table8[Chapter List],FALSE)</f>
        <v>0</v>
      </c>
      <c r="D990" s="51"/>
    </row>
    <row r="991" spans="1:4" x14ac:dyDescent="0.25">
      <c r="A991" s="50">
        <v>990</v>
      </c>
      <c r="B991" s="32"/>
      <c r="C991" s="32" t="b">
        <f>_xlfn.XLOOKUP(Table6[[#This Row],[Category No]],Table8[Category No],Table8[Chapter List],FALSE)</f>
        <v>0</v>
      </c>
      <c r="D991" s="51"/>
    </row>
    <row r="992" spans="1:4" x14ac:dyDescent="0.25">
      <c r="A992" s="50">
        <v>991</v>
      </c>
      <c r="B992" s="32"/>
      <c r="C992" s="32" t="b">
        <f>_xlfn.XLOOKUP(Table6[[#This Row],[Category No]],Table8[Category No],Table8[Chapter List],FALSE)</f>
        <v>0</v>
      </c>
      <c r="D992" s="51"/>
    </row>
    <row r="993" spans="1:4" x14ac:dyDescent="0.25">
      <c r="A993" s="50">
        <v>992</v>
      </c>
      <c r="B993" s="32"/>
      <c r="C993" s="32" t="b">
        <f>_xlfn.XLOOKUP(Table6[[#This Row],[Category No]],Table8[Category No],Table8[Chapter List],FALSE)</f>
        <v>0</v>
      </c>
      <c r="D993" s="51"/>
    </row>
    <row r="994" spans="1:4" x14ac:dyDescent="0.25">
      <c r="A994" s="50">
        <v>993</v>
      </c>
      <c r="B994" s="32"/>
      <c r="C994" s="32" t="b">
        <f>_xlfn.XLOOKUP(Table6[[#This Row],[Category No]],Table8[Category No],Table8[Chapter List],FALSE)</f>
        <v>0</v>
      </c>
      <c r="D994" s="51"/>
    </row>
    <row r="995" spans="1:4" x14ac:dyDescent="0.25">
      <c r="A995" s="50">
        <v>994</v>
      </c>
      <c r="B995" s="32"/>
      <c r="C995" s="32" t="b">
        <f>_xlfn.XLOOKUP(Table6[[#This Row],[Category No]],Table8[Category No],Table8[Chapter List],FALSE)</f>
        <v>0</v>
      </c>
      <c r="D995" s="51"/>
    </row>
    <row r="996" spans="1:4" x14ac:dyDescent="0.25">
      <c r="A996" s="50">
        <v>995</v>
      </c>
      <c r="B996" s="32"/>
      <c r="C996" s="32" t="b">
        <f>_xlfn.XLOOKUP(Table6[[#This Row],[Category No]],Table8[Category No],Table8[Chapter List],FALSE)</f>
        <v>0</v>
      </c>
      <c r="D996" s="51"/>
    </row>
    <row r="997" spans="1:4" x14ac:dyDescent="0.25">
      <c r="A997" s="50">
        <v>996</v>
      </c>
      <c r="B997" s="32"/>
      <c r="C997" s="32" t="b">
        <f>_xlfn.XLOOKUP(Table6[[#This Row],[Category No]],Table8[Category No],Table8[Chapter List],FALSE)</f>
        <v>0</v>
      </c>
      <c r="D997" s="51"/>
    </row>
    <row r="998" spans="1:4" x14ac:dyDescent="0.25">
      <c r="A998" s="50">
        <v>997</v>
      </c>
      <c r="B998" s="32"/>
      <c r="C998" s="32" t="b">
        <f>_xlfn.XLOOKUP(Table6[[#This Row],[Category No]],Table8[Category No],Table8[Chapter List],FALSE)</f>
        <v>0</v>
      </c>
      <c r="D998" s="51"/>
    </row>
    <row r="999" spans="1:4" x14ac:dyDescent="0.25">
      <c r="A999" s="50">
        <v>998</v>
      </c>
      <c r="B999" s="32"/>
      <c r="C999" s="32" t="b">
        <f>_xlfn.XLOOKUP(Table6[[#This Row],[Category No]],Table8[Category No],Table8[Chapter List],FALSE)</f>
        <v>0</v>
      </c>
      <c r="D999" s="51"/>
    </row>
    <row r="1000" spans="1:4" x14ac:dyDescent="0.25">
      <c r="A1000" s="50">
        <v>999</v>
      </c>
      <c r="B1000" s="49"/>
      <c r="C1000" s="49" t="b">
        <f>_xlfn.XLOOKUP(Table6[[#This Row],[Category No]],Table8[Category No],Table8[Chapter List],FALSE)</f>
        <v>0</v>
      </c>
      <c r="D1000" s="5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A7A0-8CE3-471C-B3F5-C15324B693C4}">
  <dimension ref="A1:F1001"/>
  <sheetViews>
    <sheetView topLeftCell="A109" workbookViewId="0">
      <selection activeCell="F130" sqref="F130:F133"/>
    </sheetView>
  </sheetViews>
  <sheetFormatPr defaultRowHeight="13.8" x14ac:dyDescent="0.25"/>
  <cols>
    <col min="1" max="1" width="9.33203125" style="1" bestFit="1" customWidth="1"/>
    <col min="2" max="2" width="14.21875" style="1" bestFit="1" customWidth="1"/>
    <col min="3" max="3" width="54.88671875" style="1" bestFit="1" customWidth="1"/>
    <col min="4" max="4" width="25.109375" style="1" bestFit="1" customWidth="1"/>
    <col min="5" max="5" width="48.33203125" style="1" bestFit="1" customWidth="1"/>
    <col min="6" max="6" width="21" style="41" bestFit="1" customWidth="1"/>
    <col min="7" max="16384" width="8.88671875" style="1"/>
  </cols>
  <sheetData>
    <row r="1" spans="1:5" x14ac:dyDescent="0.25">
      <c r="A1" s="28" t="s">
        <v>1</v>
      </c>
      <c r="B1" s="29" t="s">
        <v>125</v>
      </c>
      <c r="C1" s="29" t="s">
        <v>126</v>
      </c>
      <c r="D1" s="30" t="s">
        <v>130</v>
      </c>
      <c r="E1" s="29" t="s">
        <v>158</v>
      </c>
    </row>
    <row r="2" spans="1:5" x14ac:dyDescent="0.25">
      <c r="A2" s="8">
        <v>1</v>
      </c>
      <c r="B2" s="8" t="s">
        <v>60</v>
      </c>
      <c r="C2" s="8" t="str">
        <f>_xlfn.XLOOKUP(Table610[[#This Row],[Category No]],Table8[Category No],Table8[Chapter List],FALSE)</f>
        <v>Prehistoric Phase of India</v>
      </c>
      <c r="D2" s="8" t="s">
        <v>162</v>
      </c>
      <c r="E2" s="31" t="s">
        <v>143</v>
      </c>
    </row>
    <row r="3" spans="1:5" x14ac:dyDescent="0.25">
      <c r="A3" s="8">
        <v>2</v>
      </c>
      <c r="B3" s="8" t="s">
        <v>60</v>
      </c>
      <c r="C3" s="8" t="str">
        <f>_xlfn.XLOOKUP(Table610[[#This Row],[Category No]],Table8[Category No],Table8[Chapter List],FALSE)</f>
        <v>Prehistoric Phase of India</v>
      </c>
      <c r="D3" s="8" t="s">
        <v>159</v>
      </c>
      <c r="E3" s="31" t="s">
        <v>144</v>
      </c>
    </row>
    <row r="4" spans="1:5" x14ac:dyDescent="0.25">
      <c r="A4" s="8">
        <v>3</v>
      </c>
      <c r="B4" s="8" t="s">
        <v>60</v>
      </c>
      <c r="C4" s="8" t="str">
        <f>_xlfn.XLOOKUP(Table610[[#This Row],[Category No]],Table8[Category No],Table8[Chapter List],FALSE)</f>
        <v>Prehistoric Phase of India</v>
      </c>
      <c r="D4" s="8" t="s">
        <v>160</v>
      </c>
      <c r="E4" s="31" t="s">
        <v>145</v>
      </c>
    </row>
    <row r="5" spans="1:5" x14ac:dyDescent="0.25">
      <c r="A5" s="8">
        <v>4</v>
      </c>
      <c r="B5" s="8" t="s">
        <v>60</v>
      </c>
      <c r="C5" s="8" t="str">
        <f>_xlfn.XLOOKUP(Table610[[#This Row],[Category No]],Table8[Category No],Table8[Chapter List],FALSE)</f>
        <v>Prehistoric Phase of India</v>
      </c>
      <c r="D5" s="8" t="s">
        <v>161</v>
      </c>
      <c r="E5" s="31" t="s">
        <v>146</v>
      </c>
    </row>
    <row r="6" spans="1:5" x14ac:dyDescent="0.25">
      <c r="A6" s="8">
        <v>5</v>
      </c>
      <c r="B6" s="8" t="s">
        <v>60</v>
      </c>
      <c r="C6" s="8" t="str">
        <f>_xlfn.XLOOKUP(Table610[[#This Row],[Category No]],Table8[Category No],Table8[Chapter List],FALSE)</f>
        <v>Prehistoric Phase of India</v>
      </c>
      <c r="D6" s="8" t="s">
        <v>163</v>
      </c>
      <c r="E6" s="31" t="s">
        <v>148</v>
      </c>
    </row>
    <row r="7" spans="1:5" x14ac:dyDescent="0.25">
      <c r="A7" s="8">
        <v>6</v>
      </c>
      <c r="B7" s="8" t="s">
        <v>60</v>
      </c>
      <c r="C7" s="8" t="str">
        <f>_xlfn.XLOOKUP(Table610[[#This Row],[Category No]],Table8[Category No],Table8[Chapter List],FALSE)</f>
        <v>Prehistoric Phase of India</v>
      </c>
      <c r="D7" s="8" t="s">
        <v>164</v>
      </c>
      <c r="E7" s="31" t="s">
        <v>150</v>
      </c>
    </row>
    <row r="8" spans="1:5" x14ac:dyDescent="0.25">
      <c r="A8" s="8">
        <v>7</v>
      </c>
      <c r="B8" s="8" t="s">
        <v>60</v>
      </c>
      <c r="C8" s="8" t="str">
        <f>_xlfn.XLOOKUP(Table610[[#This Row],[Category No]],Table8[Category No],Table8[Chapter List],FALSE)</f>
        <v>Prehistoric Phase of India</v>
      </c>
      <c r="D8" s="8" t="s">
        <v>165</v>
      </c>
      <c r="E8" s="31" t="s">
        <v>152</v>
      </c>
    </row>
    <row r="9" spans="1:5" x14ac:dyDescent="0.25">
      <c r="A9" s="8">
        <v>8</v>
      </c>
      <c r="B9" s="8" t="s">
        <v>61</v>
      </c>
      <c r="C9" s="8" t="str">
        <f>_xlfn.XLOOKUP(Table610[[#This Row],[Category No]],Table8[Category No],Table8[Chapter List],FALSE)</f>
        <v>Indus Valley Civilization</v>
      </c>
      <c r="D9" s="8" t="s">
        <v>220</v>
      </c>
      <c r="E9" s="31" t="s">
        <v>223</v>
      </c>
    </row>
    <row r="10" spans="1:5" x14ac:dyDescent="0.25">
      <c r="A10" s="8">
        <v>9</v>
      </c>
      <c r="B10" s="8" t="s">
        <v>61</v>
      </c>
      <c r="C10" s="8" t="str">
        <f>_xlfn.XLOOKUP(Table610[[#This Row],[Category No]],Table8[Category No],Table8[Chapter List],FALSE)</f>
        <v>Indus Valley Civilization</v>
      </c>
      <c r="D10" s="8" t="s">
        <v>221</v>
      </c>
      <c r="E10" s="31" t="s">
        <v>224</v>
      </c>
    </row>
    <row r="11" spans="1:5" x14ac:dyDescent="0.25">
      <c r="A11" s="8">
        <v>10</v>
      </c>
      <c r="B11" s="8" t="s">
        <v>61</v>
      </c>
      <c r="C11" s="8" t="str">
        <f>_xlfn.XLOOKUP(Table610[[#This Row],[Category No]],Table8[Category No],Table8[Chapter List],FALSE)</f>
        <v>Indus Valley Civilization</v>
      </c>
      <c r="D11" s="8" t="s">
        <v>222</v>
      </c>
      <c r="E11" s="31" t="s">
        <v>225</v>
      </c>
    </row>
    <row r="12" spans="1:5" x14ac:dyDescent="0.25">
      <c r="A12" s="8">
        <v>11</v>
      </c>
      <c r="B12" s="8" t="s">
        <v>62</v>
      </c>
      <c r="C12" s="8" t="str">
        <f>_xlfn.XLOOKUP(Table610[[#This Row],[Category No]],Table8[Category No],Table8[Chapter List],FALSE)</f>
        <v>Rig Vedic Period</v>
      </c>
      <c r="D12" s="8" t="s">
        <v>296</v>
      </c>
      <c r="E12" s="31" t="s">
        <v>297</v>
      </c>
    </row>
    <row r="13" spans="1:5" x14ac:dyDescent="0.25">
      <c r="A13" s="8">
        <v>12</v>
      </c>
      <c r="B13" s="8" t="s">
        <v>63</v>
      </c>
      <c r="C13" s="8" t="str">
        <f>_xlfn.XLOOKUP(Table610[[#This Row],[Category No]],Table8[Category No],Table8[Chapter List],FALSE)</f>
        <v>Later Vedic Period</v>
      </c>
      <c r="D13" s="8" t="s">
        <v>494</v>
      </c>
      <c r="E13" s="31" t="s">
        <v>168</v>
      </c>
    </row>
    <row r="14" spans="1:5" x14ac:dyDescent="0.25">
      <c r="A14" s="8">
        <v>13</v>
      </c>
      <c r="B14" s="8" t="s">
        <v>64</v>
      </c>
      <c r="C14" s="8" t="str">
        <f>_xlfn.XLOOKUP(Table610[[#This Row],[Category No]],Table8[Category No],Table8[Chapter List],FALSE)</f>
        <v>Evolution of Jainism and Buddhism</v>
      </c>
      <c r="D14" s="8" t="s">
        <v>664</v>
      </c>
      <c r="E14" s="31" t="s">
        <v>665</v>
      </c>
    </row>
    <row r="15" spans="1:5" x14ac:dyDescent="0.25">
      <c r="A15" s="8">
        <v>14</v>
      </c>
      <c r="B15" s="8" t="s">
        <v>64</v>
      </c>
      <c r="C15" s="8" t="str">
        <f>_xlfn.XLOOKUP(Table610[[#This Row],[Category No]],Table8[Category No],Table8[Chapter List],FALSE)</f>
        <v>Evolution of Jainism and Buddhism</v>
      </c>
      <c r="D15" s="8" t="s">
        <v>666</v>
      </c>
      <c r="E15" s="31" t="s">
        <v>667</v>
      </c>
    </row>
    <row r="16" spans="1:5" x14ac:dyDescent="0.25">
      <c r="A16" s="8">
        <v>15</v>
      </c>
      <c r="B16" s="8" t="s">
        <v>64</v>
      </c>
      <c r="C16" s="8" t="str">
        <f>_xlfn.XLOOKUP(Table610[[#This Row],[Category No]],Table8[Category No],Table8[Chapter List],FALSE)</f>
        <v>Evolution of Jainism and Buddhism</v>
      </c>
      <c r="D16" s="8" t="s">
        <v>668</v>
      </c>
      <c r="E16" s="31" t="s">
        <v>669</v>
      </c>
    </row>
    <row r="17" spans="1:5" x14ac:dyDescent="0.25">
      <c r="A17" s="8">
        <v>16</v>
      </c>
      <c r="B17" s="8" t="s">
        <v>64</v>
      </c>
      <c r="C17" s="8" t="str">
        <f>_xlfn.XLOOKUP(Table610[[#This Row],[Category No]],Table8[Category No],Table8[Chapter List],FALSE)</f>
        <v>Evolution of Jainism and Buddhism</v>
      </c>
      <c r="D17" s="8" t="s">
        <v>670</v>
      </c>
      <c r="E17" s="31" t="s">
        <v>671</v>
      </c>
    </row>
    <row r="18" spans="1:5" x14ac:dyDescent="0.25">
      <c r="A18" s="8">
        <v>17</v>
      </c>
      <c r="B18" s="8" t="s">
        <v>64</v>
      </c>
      <c r="C18" s="8" t="str">
        <f>_xlfn.XLOOKUP(Table610[[#This Row],[Category No]],Table8[Category No],Table8[Chapter List],FALSE)</f>
        <v>Evolution of Jainism and Buddhism</v>
      </c>
      <c r="D18" s="8" t="s">
        <v>672</v>
      </c>
      <c r="E18" s="31" t="s">
        <v>673</v>
      </c>
    </row>
    <row r="19" spans="1:5" x14ac:dyDescent="0.25">
      <c r="A19" s="8">
        <v>18</v>
      </c>
      <c r="B19" s="8" t="s">
        <v>64</v>
      </c>
      <c r="C19" s="8" t="str">
        <f>_xlfn.XLOOKUP(Table610[[#This Row],[Category No]],Table8[Category No],Table8[Chapter List],FALSE)</f>
        <v>Evolution of Jainism and Buddhism</v>
      </c>
      <c r="D19" s="8" t="s">
        <v>674</v>
      </c>
      <c r="E19" s="31" t="s">
        <v>675</v>
      </c>
    </row>
    <row r="20" spans="1:5" x14ac:dyDescent="0.25">
      <c r="A20" s="8">
        <v>19</v>
      </c>
      <c r="B20" s="8" t="s">
        <v>64</v>
      </c>
      <c r="C20" s="8" t="str">
        <f>_xlfn.XLOOKUP(Table610[[#This Row],[Category No]],Table8[Category No],Table8[Chapter List],FALSE)</f>
        <v>Evolution of Jainism and Buddhism</v>
      </c>
      <c r="D20" s="8" t="s">
        <v>668</v>
      </c>
      <c r="E20" s="31" t="s">
        <v>676</v>
      </c>
    </row>
    <row r="21" spans="1:5" x14ac:dyDescent="0.25">
      <c r="A21" s="8">
        <v>20</v>
      </c>
      <c r="B21" s="8" t="s">
        <v>64</v>
      </c>
      <c r="C21" s="8" t="str">
        <f>_xlfn.XLOOKUP(Table610[[#This Row],[Category No]],Table8[Category No],Table8[Chapter List],FALSE)</f>
        <v>Evolution of Jainism and Buddhism</v>
      </c>
      <c r="D21" s="8" t="s">
        <v>677</v>
      </c>
      <c r="E21" s="31" t="s">
        <v>678</v>
      </c>
    </row>
    <row r="22" spans="1:5" x14ac:dyDescent="0.25">
      <c r="A22" s="8">
        <v>21</v>
      </c>
      <c r="B22" s="8" t="s">
        <v>64</v>
      </c>
      <c r="C22" s="8" t="str">
        <f>_xlfn.XLOOKUP(Table610[[#This Row],[Category No]],Table8[Category No],Table8[Chapter List],FALSE)</f>
        <v>Evolution of Jainism and Buddhism</v>
      </c>
      <c r="D22" s="8" t="s">
        <v>679</v>
      </c>
      <c r="E22" s="31" t="s">
        <v>680</v>
      </c>
    </row>
    <row r="23" spans="1:5" x14ac:dyDescent="0.25">
      <c r="A23" s="8">
        <v>22</v>
      </c>
      <c r="B23" s="8" t="s">
        <v>64</v>
      </c>
      <c r="C23" s="8" t="str">
        <f>_xlfn.XLOOKUP(Table610[[#This Row],[Category No]],Table8[Category No],Table8[Chapter List],FALSE)</f>
        <v>Evolution of Jainism and Buddhism</v>
      </c>
      <c r="D23" s="8" t="s">
        <v>681</v>
      </c>
      <c r="E23" s="31" t="s">
        <v>682</v>
      </c>
    </row>
    <row r="24" spans="1:5" x14ac:dyDescent="0.25">
      <c r="A24" s="8">
        <v>23</v>
      </c>
      <c r="B24" s="8" t="s">
        <v>65</v>
      </c>
      <c r="C24" s="8" t="str">
        <f>_xlfn.XLOOKUP(Table610[[#This Row],[Category No]],Table8[Category No],Table8[Chapter List],FALSE)</f>
        <v>MahajanapCEa, Iranian &amp; Macedonian Invasion</v>
      </c>
      <c r="D24" s="8" t="s">
        <v>967</v>
      </c>
      <c r="E24" s="31" t="s">
        <v>968</v>
      </c>
    </row>
    <row r="25" spans="1:5" x14ac:dyDescent="0.25">
      <c r="A25" s="8">
        <v>24</v>
      </c>
      <c r="B25" s="8" t="s">
        <v>65</v>
      </c>
      <c r="C25" s="8" t="str">
        <f>_xlfn.XLOOKUP(Table610[[#This Row],[Category No]],Table8[Category No],Table8[Chapter List],FALSE)</f>
        <v>MahajanapCEa, Iranian &amp; Macedonian Invasion</v>
      </c>
      <c r="D25" s="8" t="s">
        <v>969</v>
      </c>
      <c r="E25" s="31" t="s">
        <v>970</v>
      </c>
    </row>
    <row r="26" spans="1:5" x14ac:dyDescent="0.25">
      <c r="A26" s="8">
        <v>25</v>
      </c>
      <c r="B26" s="8" t="s">
        <v>65</v>
      </c>
      <c r="C26" s="8" t="str">
        <f>_xlfn.XLOOKUP(Table610[[#This Row],[Category No]],Table8[Category No],Table8[Chapter List],FALSE)</f>
        <v>MahajanapCEa, Iranian &amp; Macedonian Invasion</v>
      </c>
      <c r="D26" s="8" t="s">
        <v>971</v>
      </c>
      <c r="E26" s="31" t="s">
        <v>972</v>
      </c>
    </row>
    <row r="27" spans="1:5" x14ac:dyDescent="0.25">
      <c r="A27" s="8">
        <v>26</v>
      </c>
      <c r="B27" s="8" t="s">
        <v>65</v>
      </c>
      <c r="C27" s="8" t="str">
        <f>_xlfn.XLOOKUP(Table610[[#This Row],[Category No]],Table8[Category No],Table8[Chapter List],FALSE)</f>
        <v>MahajanapCEa, Iranian &amp; Macedonian Invasion</v>
      </c>
      <c r="D27" s="8" t="s">
        <v>973</v>
      </c>
      <c r="E27" s="31" t="s">
        <v>974</v>
      </c>
    </row>
    <row r="28" spans="1:5" x14ac:dyDescent="0.25">
      <c r="A28" s="8">
        <v>27</v>
      </c>
      <c r="B28" s="8" t="s">
        <v>65</v>
      </c>
      <c r="C28" s="8" t="str">
        <f>_xlfn.XLOOKUP(Table610[[#This Row],[Category No]],Table8[Category No],Table8[Chapter List],FALSE)</f>
        <v>MahajanapCEa, Iranian &amp; Macedonian Invasion</v>
      </c>
      <c r="D28" s="8" t="s">
        <v>975</v>
      </c>
      <c r="E28" s="31" t="s">
        <v>976</v>
      </c>
    </row>
    <row r="29" spans="1:5" x14ac:dyDescent="0.25">
      <c r="A29" s="8">
        <v>28</v>
      </c>
      <c r="B29" s="8" t="s">
        <v>65</v>
      </c>
      <c r="C29" s="8" t="str">
        <f>_xlfn.XLOOKUP(Table610[[#This Row],[Category No]],Table8[Category No],Table8[Chapter List],FALSE)</f>
        <v>MahajanapCEa, Iranian &amp; Macedonian Invasion</v>
      </c>
      <c r="D29" s="8" t="s">
        <v>977</v>
      </c>
      <c r="E29" s="31" t="s">
        <v>978</v>
      </c>
    </row>
    <row r="30" spans="1:5" x14ac:dyDescent="0.25">
      <c r="A30" s="8">
        <v>29</v>
      </c>
      <c r="B30" s="8" t="s">
        <v>65</v>
      </c>
      <c r="C30" s="8" t="str">
        <f>_xlfn.XLOOKUP(Table610[[#This Row],[Category No]],Table8[Category No],Table8[Chapter List],FALSE)</f>
        <v>MahajanapCEa, Iranian &amp; Macedonian Invasion</v>
      </c>
      <c r="D30" s="8" t="s">
        <v>981</v>
      </c>
      <c r="E30" s="31" t="s">
        <v>982</v>
      </c>
    </row>
    <row r="31" spans="1:5" x14ac:dyDescent="0.25">
      <c r="A31" s="8">
        <v>30</v>
      </c>
      <c r="B31" s="8" t="s">
        <v>65</v>
      </c>
      <c r="C31" s="8" t="str">
        <f>_xlfn.XLOOKUP(Table610[[#This Row],[Category No]],Table8[Category No],Table8[Chapter List],FALSE)</f>
        <v>MahajanapCEa, Iranian &amp; Macedonian Invasion</v>
      </c>
      <c r="D31" s="8" t="s">
        <v>983</v>
      </c>
      <c r="E31" s="31" t="s">
        <v>984</v>
      </c>
    </row>
    <row r="32" spans="1:5" x14ac:dyDescent="0.25">
      <c r="A32" s="8">
        <v>31</v>
      </c>
      <c r="B32" s="8" t="s">
        <v>65</v>
      </c>
      <c r="C32" s="8" t="str">
        <f>_xlfn.XLOOKUP(Table610[[#This Row],[Category No]],Table8[Category No],Table8[Chapter List],FALSE)</f>
        <v>MahajanapCEa, Iranian &amp; Macedonian Invasion</v>
      </c>
      <c r="D32" s="8" t="s">
        <v>985</v>
      </c>
      <c r="E32" s="31" t="s">
        <v>986</v>
      </c>
    </row>
    <row r="33" spans="1:5" x14ac:dyDescent="0.25">
      <c r="A33" s="8">
        <v>32</v>
      </c>
      <c r="B33" s="8" t="s">
        <v>65</v>
      </c>
      <c r="C33" s="8" t="str">
        <f>_xlfn.XLOOKUP(Table610[[#This Row],[Category No]],Table8[Category No],Table8[Chapter List],FALSE)</f>
        <v>MahajanapCEa, Iranian &amp; Macedonian Invasion</v>
      </c>
      <c r="D33" s="8" t="s">
        <v>979</v>
      </c>
      <c r="E33" s="31" t="s">
        <v>965</v>
      </c>
    </row>
    <row r="34" spans="1:5" x14ac:dyDescent="0.25">
      <c r="A34" s="8">
        <v>33</v>
      </c>
      <c r="B34" s="8" t="s">
        <v>65</v>
      </c>
      <c r="C34" s="8" t="str">
        <f>_xlfn.XLOOKUP(Table610[[#This Row],[Category No]],Table8[Category No],Table8[Chapter List],FALSE)</f>
        <v>MahajanapCEa, Iranian &amp; Macedonian Invasion</v>
      </c>
      <c r="D34" s="8" t="s">
        <v>980</v>
      </c>
      <c r="E34" s="31" t="s">
        <v>966</v>
      </c>
    </row>
    <row r="35" spans="1:5" x14ac:dyDescent="0.25">
      <c r="A35" s="8">
        <v>34</v>
      </c>
      <c r="B35" s="8" t="s">
        <v>65</v>
      </c>
      <c r="C35" s="8" t="str">
        <f>_xlfn.XLOOKUP(Table610[[#This Row],[Category No]],Table8[Category No],Table8[Chapter List],FALSE)</f>
        <v>MahajanapCEa, Iranian &amp; Macedonian Invasion</v>
      </c>
      <c r="D35" s="8" t="s">
        <v>1037</v>
      </c>
      <c r="E35" s="31" t="s">
        <v>1038</v>
      </c>
    </row>
    <row r="36" spans="1:5" x14ac:dyDescent="0.25">
      <c r="A36" s="8">
        <v>35</v>
      </c>
      <c r="B36" s="8" t="s">
        <v>65</v>
      </c>
      <c r="C36" s="8" t="str">
        <f>_xlfn.XLOOKUP(Table610[[#This Row],[Category No]],Table8[Category No],Table8[Chapter List],FALSE)</f>
        <v>MahajanapCEa, Iranian &amp; Macedonian Invasion</v>
      </c>
      <c r="D36" s="8" t="s">
        <v>1039</v>
      </c>
      <c r="E36" s="31" t="s">
        <v>1040</v>
      </c>
    </row>
    <row r="37" spans="1:5" x14ac:dyDescent="0.25">
      <c r="A37" s="8">
        <v>36</v>
      </c>
      <c r="B37" s="8" t="s">
        <v>65</v>
      </c>
      <c r="C37" s="8" t="str">
        <f>_xlfn.XLOOKUP(Table610[[#This Row],[Category No]],Table8[Category No],Table8[Chapter List],FALSE)</f>
        <v>MahajanapCEa, Iranian &amp; Macedonian Invasion</v>
      </c>
      <c r="D37" s="8" t="s">
        <v>1041</v>
      </c>
      <c r="E37" s="31" t="s">
        <v>1042</v>
      </c>
    </row>
    <row r="38" spans="1:5" x14ac:dyDescent="0.25">
      <c r="A38" s="8">
        <v>37</v>
      </c>
      <c r="B38" s="8" t="s">
        <v>65</v>
      </c>
      <c r="C38" s="8" t="str">
        <f>_xlfn.XLOOKUP(Table610[[#This Row],[Category No]],Table8[Category No],Table8[Chapter List],FALSE)</f>
        <v>MahajanapCEa, Iranian &amp; Macedonian Invasion</v>
      </c>
      <c r="D38" s="8" t="s">
        <v>1043</v>
      </c>
      <c r="E38" s="31" t="s">
        <v>1044</v>
      </c>
    </row>
    <row r="39" spans="1:5" x14ac:dyDescent="0.25">
      <c r="A39" s="8">
        <v>38</v>
      </c>
      <c r="B39" s="8" t="s">
        <v>65</v>
      </c>
      <c r="C39" s="8" t="str">
        <f>_xlfn.XLOOKUP(Table610[[#This Row],[Category No]],Table8[Category No],Table8[Chapter List],FALSE)</f>
        <v>MahajanapCEa, Iranian &amp; Macedonian Invasion</v>
      </c>
      <c r="D39" s="8" t="s">
        <v>1045</v>
      </c>
      <c r="E39" s="31" t="s">
        <v>1046</v>
      </c>
    </row>
    <row r="40" spans="1:5" x14ac:dyDescent="0.25">
      <c r="A40" s="8">
        <v>39</v>
      </c>
      <c r="B40" s="8" t="s">
        <v>65</v>
      </c>
      <c r="C40" s="8" t="str">
        <f>_xlfn.XLOOKUP(Table610[[#This Row],[Category No]],Table8[Category No],Table8[Chapter List],FALSE)</f>
        <v>MahajanapCEa, Iranian &amp; Macedonian Invasion</v>
      </c>
      <c r="D40" s="8" t="s">
        <v>1047</v>
      </c>
      <c r="E40" s="31" t="s">
        <v>1048</v>
      </c>
    </row>
    <row r="41" spans="1:5" x14ac:dyDescent="0.25">
      <c r="A41" s="8">
        <v>40</v>
      </c>
      <c r="B41" s="8" t="s">
        <v>65</v>
      </c>
      <c r="C41" s="8" t="str">
        <f>_xlfn.XLOOKUP(Table610[[#This Row],[Category No]],Table8[Category No],Table8[Chapter List],FALSE)</f>
        <v>MahajanapCEa, Iranian &amp; Macedonian Invasion</v>
      </c>
      <c r="D41" s="8" t="s">
        <v>1049</v>
      </c>
      <c r="E41" s="31" t="s">
        <v>1050</v>
      </c>
    </row>
    <row r="42" spans="1:5" x14ac:dyDescent="0.25">
      <c r="A42" s="8">
        <v>41</v>
      </c>
      <c r="B42" s="8" t="s">
        <v>65</v>
      </c>
      <c r="C42" s="8" t="str">
        <f>_xlfn.XLOOKUP(Table610[[#This Row],[Category No]],Table8[Category No],Table8[Chapter List],FALSE)</f>
        <v>MahajanapCEa, Iranian &amp; Macedonian Invasion</v>
      </c>
      <c r="D42" s="8" t="s">
        <v>1051</v>
      </c>
      <c r="E42" s="31" t="s">
        <v>1052</v>
      </c>
    </row>
    <row r="43" spans="1:5" x14ac:dyDescent="0.25">
      <c r="A43" s="8">
        <v>42</v>
      </c>
      <c r="B43" s="8" t="s">
        <v>66</v>
      </c>
      <c r="C43" s="8" t="str">
        <f>_xlfn.XLOOKUP(Table610[[#This Row],[Category No]],Table8[Category No],Table8[Chapter List],FALSE)</f>
        <v>The Mauryan Empire</v>
      </c>
      <c r="D43" s="8" t="s">
        <v>1089</v>
      </c>
      <c r="E43" s="31" t="s">
        <v>1090</v>
      </c>
    </row>
    <row r="44" spans="1:5" x14ac:dyDescent="0.25">
      <c r="A44" s="8">
        <v>43</v>
      </c>
      <c r="B44" s="8" t="s">
        <v>66</v>
      </c>
      <c r="C44" s="8" t="str">
        <f>_xlfn.XLOOKUP(Table610[[#This Row],[Category No]],Table8[Category No],Table8[Chapter List],FALSE)</f>
        <v>The Mauryan Empire</v>
      </c>
      <c r="D44" s="8" t="s">
        <v>1091</v>
      </c>
      <c r="E44" s="31" t="s">
        <v>1092</v>
      </c>
    </row>
    <row r="45" spans="1:5" x14ac:dyDescent="0.25">
      <c r="A45" s="8">
        <v>44</v>
      </c>
      <c r="B45" s="8" t="s">
        <v>66</v>
      </c>
      <c r="C45" s="8" t="str">
        <f>_xlfn.XLOOKUP(Table610[[#This Row],[Category No]],Table8[Category No],Table8[Chapter List],FALSE)</f>
        <v>The Mauryan Empire</v>
      </c>
      <c r="D45" s="8" t="s">
        <v>1093</v>
      </c>
      <c r="E45" s="31" t="s">
        <v>1094</v>
      </c>
    </row>
    <row r="46" spans="1:5" x14ac:dyDescent="0.25">
      <c r="A46" s="8">
        <v>45</v>
      </c>
      <c r="B46" s="8" t="s">
        <v>67</v>
      </c>
      <c r="C46" s="8" t="str">
        <f>_xlfn.XLOOKUP(Table610[[#This Row],[Category No]],Table8[Category No],Table8[Chapter List],FALSE)</f>
        <v>Post-Mauryan India (200 BC - 300 CE)</v>
      </c>
      <c r="D46" s="8" t="s">
        <v>1228</v>
      </c>
      <c r="E46" s="31" t="s">
        <v>1215</v>
      </c>
    </row>
    <row r="47" spans="1:5" x14ac:dyDescent="0.25">
      <c r="A47" s="8">
        <v>46</v>
      </c>
      <c r="B47" s="8" t="s">
        <v>67</v>
      </c>
      <c r="C47" s="8" t="str">
        <f>_xlfn.XLOOKUP(Table610[[#This Row],[Category No]],Table8[Category No],Table8[Chapter List],FALSE)</f>
        <v>Post-Mauryan India (200 BC - 300 CE)</v>
      </c>
      <c r="D47" s="8" t="s">
        <v>1265</v>
      </c>
      <c r="E47" s="31" t="s">
        <v>1216</v>
      </c>
    </row>
    <row r="48" spans="1:5" x14ac:dyDescent="0.25">
      <c r="A48" s="8">
        <v>47</v>
      </c>
      <c r="B48" s="8" t="s">
        <v>67</v>
      </c>
      <c r="C48" s="8" t="str">
        <f>_xlfn.XLOOKUP(Table610[[#This Row],[Category No]],Table8[Category No],Table8[Chapter List],FALSE)</f>
        <v>Post-Mauryan India (200 BC - 300 CE)</v>
      </c>
      <c r="D48" s="8" t="s">
        <v>1229</v>
      </c>
      <c r="E48" s="31" t="s">
        <v>1217</v>
      </c>
    </row>
    <row r="49" spans="1:5" x14ac:dyDescent="0.25">
      <c r="A49" s="8">
        <v>48</v>
      </c>
      <c r="B49" s="8" t="s">
        <v>67</v>
      </c>
      <c r="C49" s="8" t="str">
        <f>_xlfn.XLOOKUP(Table610[[#This Row],[Category No]],Table8[Category No],Table8[Chapter List],FALSE)</f>
        <v>Post-Mauryan India (200 BC - 300 CE)</v>
      </c>
      <c r="D49" s="8" t="s">
        <v>1230</v>
      </c>
      <c r="E49" s="31" t="s">
        <v>1218</v>
      </c>
    </row>
    <row r="50" spans="1:5" x14ac:dyDescent="0.25">
      <c r="A50" s="8">
        <v>49</v>
      </c>
      <c r="B50" s="8" t="s">
        <v>67</v>
      </c>
      <c r="C50" s="8" t="str">
        <f>_xlfn.XLOOKUP(Table610[[#This Row],[Category No]],Table8[Category No],Table8[Chapter List],FALSE)</f>
        <v>Post-Mauryan India (200 BC - 300 CE)</v>
      </c>
      <c r="D50" s="8" t="s">
        <v>1231</v>
      </c>
      <c r="E50" s="31" t="s">
        <v>1219</v>
      </c>
    </row>
    <row r="51" spans="1:5" x14ac:dyDescent="0.25">
      <c r="A51" s="8">
        <v>50</v>
      </c>
      <c r="B51" s="8" t="s">
        <v>67</v>
      </c>
      <c r="C51" s="8" t="str">
        <f>_xlfn.XLOOKUP(Table610[[#This Row],[Category No]],Table8[Category No],Table8[Chapter List],FALSE)</f>
        <v>Post-Mauryan India (200 BC - 300 CE)</v>
      </c>
      <c r="D51" s="8" t="s">
        <v>1232</v>
      </c>
      <c r="E51" s="31" t="s">
        <v>1220</v>
      </c>
    </row>
    <row r="52" spans="1:5" x14ac:dyDescent="0.25">
      <c r="A52" s="8">
        <v>51</v>
      </c>
      <c r="B52" s="8" t="s">
        <v>67</v>
      </c>
      <c r="C52" s="8" t="str">
        <f>_xlfn.XLOOKUP(Table610[[#This Row],[Category No]],Table8[Category No],Table8[Chapter List],FALSE)</f>
        <v>Post-Mauryan India (200 BC - 300 CE)</v>
      </c>
      <c r="D52" s="8" t="s">
        <v>1233</v>
      </c>
      <c r="E52" s="31" t="s">
        <v>1221</v>
      </c>
    </row>
    <row r="53" spans="1:5" x14ac:dyDescent="0.25">
      <c r="A53" s="8">
        <v>52</v>
      </c>
      <c r="B53" s="8" t="s">
        <v>67</v>
      </c>
      <c r="C53" s="8" t="str">
        <f>_xlfn.XLOOKUP(Table610[[#This Row],[Category No]],Table8[Category No],Table8[Chapter List],FALSE)</f>
        <v>Post-Mauryan India (200 BC - 300 CE)</v>
      </c>
      <c r="D53" s="8" t="s">
        <v>1234</v>
      </c>
      <c r="E53" s="31" t="s">
        <v>1222</v>
      </c>
    </row>
    <row r="54" spans="1:5" x14ac:dyDescent="0.25">
      <c r="A54" s="8">
        <v>53</v>
      </c>
      <c r="B54" s="8" t="s">
        <v>67</v>
      </c>
      <c r="C54" s="8" t="str">
        <f>_xlfn.XLOOKUP(Table610[[#This Row],[Category No]],Table8[Category No],Table8[Chapter List],FALSE)</f>
        <v>Post-Mauryan India (200 BC - 300 CE)</v>
      </c>
      <c r="D54" s="8" t="s">
        <v>1235</v>
      </c>
      <c r="E54" s="31" t="s">
        <v>1223</v>
      </c>
    </row>
    <row r="55" spans="1:5" x14ac:dyDescent="0.25">
      <c r="A55" s="8">
        <v>54</v>
      </c>
      <c r="B55" s="8" t="s">
        <v>68</v>
      </c>
      <c r="C55" s="8" t="str">
        <f>_xlfn.XLOOKUP(Table610[[#This Row],[Category No]],Table8[Category No],Table8[Chapter List],FALSE)</f>
        <v>Sangam Period (South Indian Dynasties)</v>
      </c>
      <c r="D55" s="8" t="s">
        <v>1462</v>
      </c>
      <c r="E55" s="31" t="s">
        <v>1463</v>
      </c>
    </row>
    <row r="56" spans="1:5" x14ac:dyDescent="0.25">
      <c r="A56" s="8">
        <v>55</v>
      </c>
      <c r="B56" s="8" t="s">
        <v>69</v>
      </c>
      <c r="C56" s="8" t="str">
        <f>_xlfn.XLOOKUP(Table610[[#This Row],[Category No]],Table8[Category No],Table8[Chapter List],FALSE)</f>
        <v>Imperial Guptas &amp; Vakataks, Post Gupta Empire</v>
      </c>
      <c r="D56" s="8" t="s">
        <v>1929</v>
      </c>
      <c r="E56" s="8" t="s">
        <v>1626</v>
      </c>
    </row>
    <row r="57" spans="1:5" x14ac:dyDescent="0.25">
      <c r="A57" s="8">
        <v>56</v>
      </c>
      <c r="B57" s="8" t="s">
        <v>69</v>
      </c>
      <c r="C57" s="8" t="str">
        <f>_xlfn.XLOOKUP(Table610[[#This Row],[Category No]],Table8[Category No],Table8[Chapter List],FALSE)</f>
        <v>Imperial Guptas &amp; Vakataks, Post Gupta Empire</v>
      </c>
      <c r="D57" s="8" t="s">
        <v>1930</v>
      </c>
      <c r="E57" s="31" t="s">
        <v>1931</v>
      </c>
    </row>
    <row r="58" spans="1:5" x14ac:dyDescent="0.25">
      <c r="A58" s="8">
        <v>57</v>
      </c>
      <c r="B58" s="8" t="s">
        <v>69</v>
      </c>
      <c r="C58" s="8" t="str">
        <f>_xlfn.XLOOKUP(Table610[[#This Row],[Category No]],Table8[Category No],Table8[Chapter List],FALSE)</f>
        <v>Imperial Guptas &amp; Vakataks, Post Gupta Empire</v>
      </c>
      <c r="D58" s="8" t="s">
        <v>1932</v>
      </c>
      <c r="E58" s="31" t="s">
        <v>1628</v>
      </c>
    </row>
    <row r="59" spans="1:5" x14ac:dyDescent="0.25">
      <c r="A59" s="8">
        <v>58</v>
      </c>
      <c r="B59" s="8" t="s">
        <v>70</v>
      </c>
      <c r="C59" s="8" t="str">
        <f>_xlfn.XLOOKUP(Table610[[#This Row],[Category No]],Table8[Category No],Table8[Chapter List],FALSE)</f>
        <v>Harshavardhana/ Vardhan Dynasty/ Pushyabhuti Dynasty</v>
      </c>
      <c r="D59" s="8" t="s">
        <v>1933</v>
      </c>
      <c r="E59" s="31" t="s">
        <v>1938</v>
      </c>
    </row>
    <row r="60" spans="1:5" x14ac:dyDescent="0.25">
      <c r="A60" s="8">
        <v>59</v>
      </c>
      <c r="B60" s="8" t="s">
        <v>70</v>
      </c>
      <c r="C60" s="8" t="str">
        <f>_xlfn.XLOOKUP(Table610[[#This Row],[Category No]],Table8[Category No],Table8[Chapter List],FALSE)</f>
        <v>Harshavardhana/ Vardhan Dynasty/ Pushyabhuti Dynasty</v>
      </c>
      <c r="D60" s="8" t="s">
        <v>1937</v>
      </c>
      <c r="E60" s="31" t="s">
        <v>1939</v>
      </c>
    </row>
    <row r="61" spans="1:5" x14ac:dyDescent="0.25">
      <c r="A61" s="8">
        <v>60</v>
      </c>
      <c r="B61" s="8" t="s">
        <v>74</v>
      </c>
      <c r="C61" s="8" t="str">
        <f>_xlfn.XLOOKUP(Table610[[#This Row],[Category No]],Table8[Category No],Table8[Chapter List],FALSE)</f>
        <v>Early Medieval India's Major Dynasties Part 1 - (550 - 750)CE</v>
      </c>
      <c r="D61" s="8" t="s">
        <v>1942</v>
      </c>
      <c r="E61" s="31" t="s">
        <v>1943</v>
      </c>
    </row>
    <row r="62" spans="1:5" x14ac:dyDescent="0.25">
      <c r="A62" s="8">
        <v>61</v>
      </c>
      <c r="B62" s="8" t="s">
        <v>74</v>
      </c>
      <c r="C62" s="8" t="str">
        <f>_xlfn.XLOOKUP(Table610[[#This Row],[Category No]],Table8[Category No],Table8[Chapter List],FALSE)</f>
        <v>Early Medieval India's Major Dynasties Part 1 - (550 - 750)CE</v>
      </c>
      <c r="D62" s="8" t="s">
        <v>1944</v>
      </c>
      <c r="E62" s="31" t="s">
        <v>1945</v>
      </c>
    </row>
    <row r="63" spans="1:5" x14ac:dyDescent="0.25">
      <c r="A63" s="8">
        <v>62</v>
      </c>
      <c r="B63" s="8" t="s">
        <v>74</v>
      </c>
      <c r="C63" s="8" t="str">
        <f>_xlfn.XLOOKUP(Table610[[#This Row],[Category No]],Table8[Category No],Table8[Chapter List],FALSE)</f>
        <v>Early Medieval India's Major Dynasties Part 1 - (550 - 750)CE</v>
      </c>
      <c r="D63" s="8" t="s">
        <v>1946</v>
      </c>
      <c r="E63" s="31" t="s">
        <v>1947</v>
      </c>
    </row>
    <row r="64" spans="1:5" x14ac:dyDescent="0.25">
      <c r="A64" s="8">
        <v>63</v>
      </c>
      <c r="B64" s="8" t="s">
        <v>74</v>
      </c>
      <c r="C64" s="8" t="str">
        <f>_xlfn.XLOOKUP(Table610[[#This Row],[Category No]],Table8[Category No],Table8[Chapter List],FALSE)</f>
        <v>Early Medieval India's Major Dynasties Part 1 - (550 - 750)CE</v>
      </c>
      <c r="D64" s="8" t="s">
        <v>1949</v>
      </c>
      <c r="E64" s="31" t="s">
        <v>1948</v>
      </c>
    </row>
    <row r="65" spans="1:6" x14ac:dyDescent="0.25">
      <c r="A65" s="8">
        <v>64</v>
      </c>
      <c r="B65" s="8" t="s">
        <v>74</v>
      </c>
      <c r="C65" s="8" t="str">
        <f>_xlfn.XLOOKUP(Table610[[#This Row],[Category No]],Table8[Category No],Table8[Chapter List],FALSE)</f>
        <v>Early Medieval India's Major Dynasties Part 1 - (550 - 750)CE</v>
      </c>
      <c r="D65" s="8" t="s">
        <v>1956</v>
      </c>
      <c r="E65" s="31" t="s">
        <v>1950</v>
      </c>
      <c r="F65" s="57" t="s">
        <v>1962</v>
      </c>
    </row>
    <row r="66" spans="1:6" x14ac:dyDescent="0.25">
      <c r="A66" s="8">
        <v>65</v>
      </c>
      <c r="B66" s="8" t="s">
        <v>74</v>
      </c>
      <c r="C66" s="8" t="str">
        <f>_xlfn.XLOOKUP(Table610[[#This Row],[Category No]],Table8[Category No],Table8[Chapter List],FALSE)</f>
        <v>Early Medieval India's Major Dynasties Part 1 - (550 - 750)CE</v>
      </c>
      <c r="D66" s="8" t="s">
        <v>1957</v>
      </c>
      <c r="E66" s="31" t="s">
        <v>1951</v>
      </c>
      <c r="F66" s="57"/>
    </row>
    <row r="67" spans="1:6" x14ac:dyDescent="0.25">
      <c r="A67" s="8">
        <v>66</v>
      </c>
      <c r="B67" s="8" t="s">
        <v>74</v>
      </c>
      <c r="C67" s="8" t="str">
        <f>_xlfn.XLOOKUP(Table610[[#This Row],[Category No]],Table8[Category No],Table8[Chapter List],FALSE)</f>
        <v>Early Medieval India's Major Dynasties Part 1 - (550 - 750)CE</v>
      </c>
      <c r="D67" s="8" t="s">
        <v>1958</v>
      </c>
      <c r="E67" s="31" t="s">
        <v>1952</v>
      </c>
      <c r="F67" s="57"/>
    </row>
    <row r="68" spans="1:6" x14ac:dyDescent="0.25">
      <c r="A68" s="8">
        <v>67</v>
      </c>
      <c r="B68" s="8" t="s">
        <v>74</v>
      </c>
      <c r="C68" s="8" t="str">
        <f>_xlfn.XLOOKUP(Table610[[#This Row],[Category No]],Table8[Category No],Table8[Chapter List],FALSE)</f>
        <v>Early Medieval India's Major Dynasties Part 1 - (550 - 750)CE</v>
      </c>
      <c r="D68" s="8" t="s">
        <v>1959</v>
      </c>
      <c r="E68" s="31" t="s">
        <v>1953</v>
      </c>
      <c r="F68" s="57"/>
    </row>
    <row r="69" spans="1:6" x14ac:dyDescent="0.25">
      <c r="A69" s="8">
        <v>68</v>
      </c>
      <c r="B69" s="8" t="s">
        <v>74</v>
      </c>
      <c r="C69" s="8" t="str">
        <f>_xlfn.XLOOKUP(Table610[[#This Row],[Category No]],Table8[Category No],Table8[Chapter List],FALSE)</f>
        <v>Early Medieval India's Major Dynasties Part 1 - (550 - 750)CE</v>
      </c>
      <c r="D69" s="8" t="s">
        <v>1960</v>
      </c>
      <c r="E69" s="31" t="s">
        <v>1954</v>
      </c>
      <c r="F69" s="57"/>
    </row>
    <row r="70" spans="1:6" x14ac:dyDescent="0.25">
      <c r="A70" s="8">
        <v>69</v>
      </c>
      <c r="B70" s="8" t="s">
        <v>74</v>
      </c>
      <c r="C70" s="8" t="str">
        <f>_xlfn.XLOOKUP(Table610[[#This Row],[Category No]],Table8[Category No],Table8[Chapter List],FALSE)</f>
        <v>Early Medieval India's Major Dynasties Part 1 - (550 - 750)CE</v>
      </c>
      <c r="D70" s="8" t="s">
        <v>1961</v>
      </c>
      <c r="E70" s="31" t="s">
        <v>1955</v>
      </c>
      <c r="F70" s="57"/>
    </row>
    <row r="71" spans="1:6" x14ac:dyDescent="0.25">
      <c r="A71" s="8">
        <v>70</v>
      </c>
      <c r="B71" s="8" t="s">
        <v>74</v>
      </c>
      <c r="C71" s="8" t="str">
        <f>_xlfn.XLOOKUP(Table610[[#This Row],[Category No]],Table8[Category No],Table8[Chapter List],FALSE)</f>
        <v>Early Medieval India's Major Dynasties Part 1 - (550 - 750)CE</v>
      </c>
      <c r="D71" s="8" t="s">
        <v>1963</v>
      </c>
      <c r="E71" s="31" t="s">
        <v>1964</v>
      </c>
      <c r="F71" s="42" t="s">
        <v>1965</v>
      </c>
    </row>
    <row r="72" spans="1:6" x14ac:dyDescent="0.25">
      <c r="A72" s="8"/>
      <c r="B72" s="8" t="s">
        <v>74</v>
      </c>
      <c r="C72" s="8" t="str">
        <f>_xlfn.XLOOKUP(Table610[[#This Row],[Category No]],Table8[Category No],Table8[Chapter List],FALSE)</f>
        <v>Early Medieval India's Major Dynasties Part 1 - (550 - 750)CE</v>
      </c>
      <c r="D72" s="8" t="s">
        <v>2101</v>
      </c>
      <c r="E72" s="31" t="s">
        <v>2102</v>
      </c>
      <c r="F72" s="57" t="s">
        <v>2035</v>
      </c>
    </row>
    <row r="73" spans="1:6" x14ac:dyDescent="0.25">
      <c r="A73" s="8">
        <v>71</v>
      </c>
      <c r="B73" s="8" t="s">
        <v>74</v>
      </c>
      <c r="C73" s="8" t="str">
        <f>_xlfn.XLOOKUP(Table610[[#This Row],[Category No]],Table8[Category No],Table8[Chapter List],FALSE)</f>
        <v>Early Medieval India's Major Dynasties Part 1 - (550 - 750)CE</v>
      </c>
      <c r="D73" s="8" t="s">
        <v>2105</v>
      </c>
      <c r="E73" s="31" t="s">
        <v>2024</v>
      </c>
      <c r="F73" s="57"/>
    </row>
    <row r="74" spans="1:6" x14ac:dyDescent="0.25">
      <c r="A74" s="8">
        <v>72</v>
      </c>
      <c r="B74" s="8" t="s">
        <v>74</v>
      </c>
      <c r="C74" s="8" t="str">
        <f>_xlfn.XLOOKUP(Table610[[#This Row],[Category No]],Table8[Category No],Table8[Chapter List],FALSE)</f>
        <v>Early Medieval India's Major Dynasties Part 1 - (550 - 750)CE</v>
      </c>
      <c r="D74" s="8" t="s">
        <v>2025</v>
      </c>
      <c r="E74" s="31" t="s">
        <v>2026</v>
      </c>
      <c r="F74" s="57"/>
    </row>
    <row r="75" spans="1:6" x14ac:dyDescent="0.25">
      <c r="A75" s="8">
        <v>73</v>
      </c>
      <c r="B75" s="8" t="s">
        <v>74</v>
      </c>
      <c r="C75" s="8" t="str">
        <f>_xlfn.XLOOKUP(Table610[[#This Row],[Category No]],Table8[Category No],Table8[Chapter List],FALSE)</f>
        <v>Early Medieval India's Major Dynasties Part 1 - (550 - 750)CE</v>
      </c>
      <c r="D75" s="8" t="s">
        <v>2027</v>
      </c>
      <c r="E75" s="31" t="s">
        <v>2028</v>
      </c>
      <c r="F75" s="57"/>
    </row>
    <row r="76" spans="1:6" x14ac:dyDescent="0.25">
      <c r="A76" s="8">
        <v>74</v>
      </c>
      <c r="B76" s="8" t="s">
        <v>74</v>
      </c>
      <c r="C76" s="8" t="str">
        <f>_xlfn.XLOOKUP(Table610[[#This Row],[Category No]],Table8[Category No],Table8[Chapter List],FALSE)</f>
        <v>Early Medieval India's Major Dynasties Part 1 - (550 - 750)CE</v>
      </c>
      <c r="D76" s="8" t="s">
        <v>2030</v>
      </c>
      <c r="E76" s="31" t="s">
        <v>2029</v>
      </c>
      <c r="F76" s="57"/>
    </row>
    <row r="77" spans="1:6" x14ac:dyDescent="0.25">
      <c r="A77" s="8">
        <v>75</v>
      </c>
      <c r="B77" s="8" t="s">
        <v>74</v>
      </c>
      <c r="C77" s="8" t="str">
        <f>_xlfn.XLOOKUP(Table610[[#This Row],[Category No]],Table8[Category No],Table8[Chapter List],FALSE)</f>
        <v>Early Medieval India's Major Dynasties Part 1 - (550 - 750)CE</v>
      </c>
      <c r="D77" s="8" t="s">
        <v>2031</v>
      </c>
      <c r="E77" s="31" t="s">
        <v>2032</v>
      </c>
      <c r="F77" s="57"/>
    </row>
    <row r="78" spans="1:6" x14ac:dyDescent="0.25">
      <c r="A78" s="8">
        <v>76</v>
      </c>
      <c r="B78" s="8" t="s">
        <v>74</v>
      </c>
      <c r="C78" s="8" t="str">
        <f>_xlfn.XLOOKUP(Table610[[#This Row],[Category No]],Table8[Category No],Table8[Chapter List],FALSE)</f>
        <v>Early Medieval India's Major Dynasties Part 1 - (550 - 750)CE</v>
      </c>
      <c r="D78" s="8" t="s">
        <v>2033</v>
      </c>
      <c r="E78" s="31" t="s">
        <v>2034</v>
      </c>
      <c r="F78" s="57"/>
    </row>
    <row r="79" spans="1:6" x14ac:dyDescent="0.25">
      <c r="A79" s="8">
        <v>77</v>
      </c>
      <c r="B79" s="8" t="s">
        <v>75</v>
      </c>
      <c r="C79" s="8" t="str">
        <f>_xlfn.XLOOKUP(Table610[[#This Row],[Category No]],Table8[Category No],Table8[Chapter List],FALSE)</f>
        <v>Early Medieval India's Major Dynasties Part 2 - (750 - 1000)CE</v>
      </c>
      <c r="D79" s="8" t="s">
        <v>2103</v>
      </c>
      <c r="E79" s="31" t="s">
        <v>2104</v>
      </c>
      <c r="F79" s="57" t="s">
        <v>2122</v>
      </c>
    </row>
    <row r="80" spans="1:6" x14ac:dyDescent="0.25">
      <c r="A80" s="8">
        <v>78</v>
      </c>
      <c r="B80" s="8" t="s">
        <v>75</v>
      </c>
      <c r="C80" s="8" t="str">
        <f>_xlfn.XLOOKUP(Table610[[#This Row],[Category No]],Table8[Category No],Table8[Chapter List],FALSE)</f>
        <v>Early Medieval India's Major Dynasties Part 2 - (750 - 1000)CE</v>
      </c>
      <c r="D80" s="8" t="s">
        <v>2106</v>
      </c>
      <c r="E80" s="31" t="s">
        <v>2107</v>
      </c>
      <c r="F80" s="57"/>
    </row>
    <row r="81" spans="1:6" x14ac:dyDescent="0.25">
      <c r="A81" s="8">
        <v>79</v>
      </c>
      <c r="B81" s="8" t="s">
        <v>75</v>
      </c>
      <c r="C81" s="8" t="str">
        <f>_xlfn.XLOOKUP(Table610[[#This Row],[Category No]],Table8[Category No],Table8[Chapter List],FALSE)</f>
        <v>Early Medieval India's Major Dynasties Part 2 - (750 - 1000)CE</v>
      </c>
      <c r="D81" s="8" t="s">
        <v>2108</v>
      </c>
      <c r="E81" s="31" t="s">
        <v>2109</v>
      </c>
      <c r="F81" s="57"/>
    </row>
    <row r="82" spans="1:6" x14ac:dyDescent="0.25">
      <c r="A82" s="8">
        <v>80</v>
      </c>
      <c r="B82" s="8" t="s">
        <v>75</v>
      </c>
      <c r="C82" s="8" t="str">
        <f>_xlfn.XLOOKUP(Table610[[#This Row],[Category No]],Table8[Category No],Table8[Chapter List],FALSE)</f>
        <v>Early Medieval India's Major Dynasties Part 2 - (750 - 1000)CE</v>
      </c>
      <c r="D82" s="8" t="s">
        <v>2110</v>
      </c>
      <c r="E82" s="31" t="s">
        <v>2111</v>
      </c>
      <c r="F82" s="57"/>
    </row>
    <row r="83" spans="1:6" x14ac:dyDescent="0.25">
      <c r="A83" s="8">
        <v>81</v>
      </c>
      <c r="B83" s="8" t="s">
        <v>75</v>
      </c>
      <c r="C83" s="8" t="str">
        <f>_xlfn.XLOOKUP(Table610[[#This Row],[Category No]],Table8[Category No],Table8[Chapter List],FALSE)</f>
        <v>Early Medieval India's Major Dynasties Part 2 - (750 - 1000)CE</v>
      </c>
      <c r="D83" s="8" t="s">
        <v>2112</v>
      </c>
      <c r="E83" s="31" t="s">
        <v>2113</v>
      </c>
      <c r="F83" s="57"/>
    </row>
    <row r="84" spans="1:6" x14ac:dyDescent="0.25">
      <c r="A84" s="8">
        <v>82</v>
      </c>
      <c r="B84" s="8" t="s">
        <v>75</v>
      </c>
      <c r="C84" s="8" t="str">
        <f>_xlfn.XLOOKUP(Table610[[#This Row],[Category No]],Table8[Category No],Table8[Chapter List],FALSE)</f>
        <v>Early Medieval India's Major Dynasties Part 2 - (750 - 1000)CE</v>
      </c>
      <c r="D84" s="8" t="s">
        <v>2114</v>
      </c>
      <c r="E84" s="31" t="s">
        <v>2115</v>
      </c>
      <c r="F84" s="57"/>
    </row>
    <row r="85" spans="1:6" x14ac:dyDescent="0.25">
      <c r="A85" s="8">
        <v>83</v>
      </c>
      <c r="B85" s="8" t="s">
        <v>75</v>
      </c>
      <c r="C85" s="8" t="str">
        <f>_xlfn.XLOOKUP(Table610[[#This Row],[Category No]],Table8[Category No],Table8[Chapter List],FALSE)</f>
        <v>Early Medieval India's Major Dynasties Part 2 - (750 - 1000)CE</v>
      </c>
      <c r="D85" s="8" t="s">
        <v>2116</v>
      </c>
      <c r="E85" s="31" t="s">
        <v>2117</v>
      </c>
      <c r="F85" s="57"/>
    </row>
    <row r="86" spans="1:6" x14ac:dyDescent="0.25">
      <c r="A86" s="8">
        <v>84</v>
      </c>
      <c r="B86" s="8" t="s">
        <v>75</v>
      </c>
      <c r="C86" s="8" t="str">
        <f>_xlfn.XLOOKUP(Table610[[#This Row],[Category No]],Table8[Category No],Table8[Chapter List],FALSE)</f>
        <v>Early Medieval India's Major Dynasties Part 2 - (750 - 1000)CE</v>
      </c>
      <c r="D86" s="8" t="s">
        <v>2118</v>
      </c>
      <c r="E86" s="31" t="s">
        <v>2119</v>
      </c>
      <c r="F86" s="57"/>
    </row>
    <row r="87" spans="1:6" x14ac:dyDescent="0.25">
      <c r="A87" s="8">
        <v>85</v>
      </c>
      <c r="B87" s="8" t="s">
        <v>75</v>
      </c>
      <c r="C87" s="8" t="str">
        <f>_xlfn.XLOOKUP(Table610[[#This Row],[Category No]],Table8[Category No],Table8[Chapter List],FALSE)</f>
        <v>Early Medieval India's Major Dynasties Part 2 - (750 - 1000)CE</v>
      </c>
      <c r="D87" s="8" t="s">
        <v>2193</v>
      </c>
      <c r="E87" s="55" t="s">
        <v>2192</v>
      </c>
      <c r="F87" s="57" t="s">
        <v>2204</v>
      </c>
    </row>
    <row r="88" spans="1:6" x14ac:dyDescent="0.25">
      <c r="A88" s="8">
        <v>86</v>
      </c>
      <c r="B88" s="8" t="s">
        <v>75</v>
      </c>
      <c r="C88" s="8" t="str">
        <f>_xlfn.XLOOKUP(Table610[[#This Row],[Category No]],Table8[Category No],Table8[Chapter List],FALSE)</f>
        <v>Early Medieval India's Major Dynasties Part 2 - (750 - 1000)CE</v>
      </c>
      <c r="D88" s="8" t="s">
        <v>2194</v>
      </c>
      <c r="E88" s="1" t="s">
        <v>2195</v>
      </c>
      <c r="F88" s="57"/>
    </row>
    <row r="89" spans="1:6" x14ac:dyDescent="0.25">
      <c r="A89" s="8">
        <v>87</v>
      </c>
      <c r="B89" s="8" t="s">
        <v>75</v>
      </c>
      <c r="C89" s="8" t="str">
        <f>_xlfn.XLOOKUP(Table610[[#This Row],[Category No]],Table8[Category No],Table8[Chapter List],FALSE)</f>
        <v>Early Medieval India's Major Dynasties Part 2 - (750 - 1000)CE</v>
      </c>
      <c r="D89" s="8" t="s">
        <v>2197</v>
      </c>
      <c r="E89" s="1" t="s">
        <v>2196</v>
      </c>
      <c r="F89" s="57"/>
    </row>
    <row r="90" spans="1:6" x14ac:dyDescent="0.25">
      <c r="A90" s="8">
        <v>88</v>
      </c>
      <c r="B90" s="8" t="s">
        <v>75</v>
      </c>
      <c r="C90" s="8" t="str">
        <f>_xlfn.XLOOKUP(Table610[[#This Row],[Category No]],Table8[Category No],Table8[Chapter List],FALSE)</f>
        <v>Early Medieval India's Major Dynasties Part 2 - (750 - 1000)CE</v>
      </c>
      <c r="D90" s="8" t="s">
        <v>2199</v>
      </c>
      <c r="E90" s="1" t="s">
        <v>2198</v>
      </c>
      <c r="F90" s="57"/>
    </row>
    <row r="91" spans="1:6" x14ac:dyDescent="0.25">
      <c r="A91" s="8">
        <v>89</v>
      </c>
      <c r="B91" s="8" t="s">
        <v>75</v>
      </c>
      <c r="C91" s="8" t="str">
        <f>_xlfn.XLOOKUP(Table610[[#This Row],[Category No]],Table8[Category No],Table8[Chapter List],FALSE)</f>
        <v>Early Medieval India's Major Dynasties Part 2 - (750 - 1000)CE</v>
      </c>
      <c r="D91" s="8" t="s">
        <v>2200</v>
      </c>
      <c r="E91" s="1" t="s">
        <v>2201</v>
      </c>
      <c r="F91" s="57"/>
    </row>
    <row r="92" spans="1:6" x14ac:dyDescent="0.25">
      <c r="A92" s="8">
        <v>90</v>
      </c>
      <c r="B92" s="8" t="s">
        <v>75</v>
      </c>
      <c r="C92" s="8" t="str">
        <f>_xlfn.XLOOKUP(Table610[[#This Row],[Category No]],Table8[Category No],Table8[Chapter List],FALSE)</f>
        <v>Early Medieval India's Major Dynasties Part 2 - (750 - 1000)CE</v>
      </c>
      <c r="D92" s="8" t="s">
        <v>2202</v>
      </c>
      <c r="E92" s="1" t="s">
        <v>2203</v>
      </c>
      <c r="F92" s="57"/>
    </row>
    <row r="93" spans="1:6" x14ac:dyDescent="0.25">
      <c r="A93" s="8">
        <v>91</v>
      </c>
      <c r="B93" s="8" t="s">
        <v>75</v>
      </c>
      <c r="C93" s="8" t="str">
        <f>_xlfn.XLOOKUP(Table610[[#This Row],[Category No]],Table8[Category No],Table8[Chapter List],FALSE)</f>
        <v>Early Medieval India's Major Dynasties Part 2 - (750 - 1000)CE</v>
      </c>
      <c r="D93" s="8" t="s">
        <v>2236</v>
      </c>
      <c r="E93" s="31" t="s">
        <v>2237</v>
      </c>
      <c r="F93" s="57" t="s">
        <v>2244</v>
      </c>
    </row>
    <row r="94" spans="1:6" x14ac:dyDescent="0.25">
      <c r="A94" s="8">
        <v>92</v>
      </c>
      <c r="B94" s="8" t="s">
        <v>75</v>
      </c>
      <c r="C94" s="8" t="str">
        <f>_xlfn.XLOOKUP(Table610[[#This Row],[Category No]],Table8[Category No],Table8[Chapter List],FALSE)</f>
        <v>Early Medieval India's Major Dynasties Part 2 - (750 - 1000)CE</v>
      </c>
      <c r="D94" s="8" t="s">
        <v>2238</v>
      </c>
      <c r="E94" s="31" t="s">
        <v>2241</v>
      </c>
      <c r="F94" s="57"/>
    </row>
    <row r="95" spans="1:6" x14ac:dyDescent="0.25">
      <c r="A95" s="8">
        <v>93</v>
      </c>
      <c r="B95" s="8" t="s">
        <v>75</v>
      </c>
      <c r="C95" s="8" t="str">
        <f>_xlfn.XLOOKUP(Table610[[#This Row],[Category No]],Table8[Category No],Table8[Chapter List],FALSE)</f>
        <v>Early Medieval India's Major Dynasties Part 2 - (750 - 1000)CE</v>
      </c>
      <c r="D95" s="8" t="s">
        <v>2239</v>
      </c>
      <c r="E95" s="31" t="s">
        <v>2242</v>
      </c>
      <c r="F95" s="57"/>
    </row>
    <row r="96" spans="1:6" x14ac:dyDescent="0.25">
      <c r="A96" s="8">
        <v>94</v>
      </c>
      <c r="B96" s="8" t="s">
        <v>75</v>
      </c>
      <c r="C96" s="8" t="str">
        <f>_xlfn.XLOOKUP(Table610[[#This Row],[Category No]],Table8[Category No],Table8[Chapter List],FALSE)</f>
        <v>Early Medieval India's Major Dynasties Part 2 - (750 - 1000)CE</v>
      </c>
      <c r="D96" s="8" t="s">
        <v>2240</v>
      </c>
      <c r="E96" s="31" t="s">
        <v>2243</v>
      </c>
      <c r="F96" s="57"/>
    </row>
    <row r="97" spans="1:6" x14ac:dyDescent="0.25">
      <c r="A97" s="8">
        <v>95</v>
      </c>
      <c r="B97" s="8" t="s">
        <v>76</v>
      </c>
      <c r="C97" s="8" t="str">
        <f>_xlfn.XLOOKUP(Table610[[#This Row],[Category No]],Table8[Category No],Table8[Chapter List],FALSE)</f>
        <v>Early Medieval India's Major Dynasties Part 3 - (1000 - 1200) CE</v>
      </c>
      <c r="D97" s="8" t="s">
        <v>2297</v>
      </c>
      <c r="E97" s="31" t="s">
        <v>2298</v>
      </c>
      <c r="F97" s="57" t="s">
        <v>2307</v>
      </c>
    </row>
    <row r="98" spans="1:6" x14ac:dyDescent="0.25">
      <c r="A98" s="8">
        <v>96</v>
      </c>
      <c r="B98" s="8" t="s">
        <v>76</v>
      </c>
      <c r="C98" s="8" t="str">
        <f>_xlfn.XLOOKUP(Table610[[#This Row],[Category No]],Table8[Category No],Table8[Chapter List],FALSE)</f>
        <v>Early Medieval India's Major Dynasties Part 3 - (1000 - 1200) CE</v>
      </c>
      <c r="D98" s="8" t="s">
        <v>2299</v>
      </c>
      <c r="E98" s="31" t="s">
        <v>2300</v>
      </c>
      <c r="F98" s="57"/>
    </row>
    <row r="99" spans="1:6" x14ac:dyDescent="0.25">
      <c r="A99" s="8">
        <v>97</v>
      </c>
      <c r="B99" s="8" t="s">
        <v>76</v>
      </c>
      <c r="C99" s="8" t="str">
        <f>_xlfn.XLOOKUP(Table610[[#This Row],[Category No]],Table8[Category No],Table8[Chapter List],FALSE)</f>
        <v>Early Medieval India's Major Dynasties Part 3 - (1000 - 1200) CE</v>
      </c>
      <c r="D99" s="8" t="s">
        <v>2301</v>
      </c>
      <c r="E99" s="31" t="s">
        <v>2302</v>
      </c>
      <c r="F99" s="57"/>
    </row>
    <row r="100" spans="1:6" x14ac:dyDescent="0.25">
      <c r="A100" s="8">
        <v>98</v>
      </c>
      <c r="B100" s="8" t="s">
        <v>76</v>
      </c>
      <c r="C100" s="8" t="str">
        <f>_xlfn.XLOOKUP(Table610[[#This Row],[Category No]],Table8[Category No],Table8[Chapter List],FALSE)</f>
        <v>Early Medieval India's Major Dynasties Part 3 - (1000 - 1200) CE</v>
      </c>
      <c r="D100" s="8" t="s">
        <v>2303</v>
      </c>
      <c r="E100" s="31" t="s">
        <v>2304</v>
      </c>
      <c r="F100" s="57"/>
    </row>
    <row r="101" spans="1:6" x14ac:dyDescent="0.25">
      <c r="A101" s="8">
        <v>99</v>
      </c>
      <c r="B101" s="8" t="s">
        <v>76</v>
      </c>
      <c r="C101" s="8" t="str">
        <f>_xlfn.XLOOKUP(Table610[[#This Row],[Category No]],Table8[Category No],Table8[Chapter List],FALSE)</f>
        <v>Early Medieval India's Major Dynasties Part 3 - (1000 - 1200) CE</v>
      </c>
      <c r="D101" s="8" t="s">
        <v>2305</v>
      </c>
      <c r="E101" s="31" t="s">
        <v>2306</v>
      </c>
      <c r="F101" s="57"/>
    </row>
    <row r="102" spans="1:6" x14ac:dyDescent="0.25">
      <c r="A102" s="8">
        <v>100</v>
      </c>
      <c r="B102" s="8" t="s">
        <v>76</v>
      </c>
      <c r="C102" s="8" t="str">
        <f>_xlfn.XLOOKUP(Table610[[#This Row],[Category No]],Table8[Category No],Table8[Chapter List],FALSE)</f>
        <v>Early Medieval India's Major Dynasties Part 3 - (1000 - 1200) CE</v>
      </c>
      <c r="D102" s="8" t="s">
        <v>2331</v>
      </c>
      <c r="E102" s="31" t="s">
        <v>2332</v>
      </c>
      <c r="F102" s="57" t="s">
        <v>2365</v>
      </c>
    </row>
    <row r="103" spans="1:6" x14ac:dyDescent="0.25">
      <c r="A103" s="8">
        <v>101</v>
      </c>
      <c r="B103" s="8" t="s">
        <v>76</v>
      </c>
      <c r="C103" s="8" t="str">
        <f>_xlfn.XLOOKUP(Table610[[#This Row],[Category No]],Table8[Category No],Table8[Chapter List],FALSE)</f>
        <v>Early Medieval India's Major Dynasties Part 3 - (1000 - 1200) CE</v>
      </c>
      <c r="D103" s="8" t="s">
        <v>2333</v>
      </c>
      <c r="E103" s="31" t="s">
        <v>2336</v>
      </c>
      <c r="F103" s="57"/>
    </row>
    <row r="104" spans="1:6" x14ac:dyDescent="0.25">
      <c r="A104" s="8">
        <v>102</v>
      </c>
      <c r="B104" s="8" t="s">
        <v>76</v>
      </c>
      <c r="C104" s="8" t="str">
        <f>_xlfn.XLOOKUP(Table610[[#This Row],[Category No]],Table8[Category No],Table8[Chapter List],FALSE)</f>
        <v>Early Medieval India's Major Dynasties Part 3 - (1000 - 1200) CE</v>
      </c>
      <c r="D104" s="8" t="s">
        <v>2334</v>
      </c>
      <c r="E104" s="31" t="s">
        <v>2337</v>
      </c>
      <c r="F104" s="57"/>
    </row>
    <row r="105" spans="1:6" x14ac:dyDescent="0.25">
      <c r="A105" s="8">
        <v>103</v>
      </c>
      <c r="B105" s="8" t="s">
        <v>76</v>
      </c>
      <c r="C105" s="8" t="str">
        <f>_xlfn.XLOOKUP(Table610[[#This Row],[Category No]],Table8[Category No],Table8[Chapter List],FALSE)</f>
        <v>Early Medieval India's Major Dynasties Part 3 - (1000 - 1200) CE</v>
      </c>
      <c r="D105" s="8" t="s">
        <v>2335</v>
      </c>
      <c r="E105" s="31" t="s">
        <v>2338</v>
      </c>
      <c r="F105" s="57"/>
    </row>
    <row r="106" spans="1:6" x14ac:dyDescent="0.25">
      <c r="A106" s="8">
        <v>104</v>
      </c>
      <c r="B106" s="8" t="s">
        <v>76</v>
      </c>
      <c r="C106" s="8" t="str">
        <f>_xlfn.XLOOKUP(Table610[[#This Row],[Category No]],Table8[Category No],Table8[Chapter List],FALSE)</f>
        <v>Early Medieval India's Major Dynasties Part 3 - (1000 - 1200) CE</v>
      </c>
      <c r="D106" s="8" t="s">
        <v>2366</v>
      </c>
      <c r="E106" s="31" t="s">
        <v>2367</v>
      </c>
      <c r="F106" s="57" t="s">
        <v>2380</v>
      </c>
    </row>
    <row r="107" spans="1:6" x14ac:dyDescent="0.25">
      <c r="A107" s="8">
        <v>105</v>
      </c>
      <c r="B107" s="8" t="s">
        <v>76</v>
      </c>
      <c r="C107" s="8" t="str">
        <f>_xlfn.XLOOKUP(Table610[[#This Row],[Category No]],Table8[Category No],Table8[Chapter List],FALSE)</f>
        <v>Early Medieval India's Major Dynasties Part 3 - (1000 - 1200) CE</v>
      </c>
      <c r="D107" s="8" t="s">
        <v>2368</v>
      </c>
      <c r="E107" s="31" t="s">
        <v>2379</v>
      </c>
      <c r="F107" s="57"/>
    </row>
    <row r="108" spans="1:6" x14ac:dyDescent="0.25">
      <c r="A108" s="8">
        <v>106</v>
      </c>
      <c r="B108" s="8" t="s">
        <v>76</v>
      </c>
      <c r="C108" s="8" t="str">
        <f>_xlfn.XLOOKUP(Table610[[#This Row],[Category No]],Table8[Category No],Table8[Chapter List],FALSE)</f>
        <v>Early Medieval India's Major Dynasties Part 3 - (1000 - 1200) CE</v>
      </c>
      <c r="D108" s="8" t="s">
        <v>2369</v>
      </c>
      <c r="E108" s="31" t="s">
        <v>2373</v>
      </c>
      <c r="F108" s="57"/>
    </row>
    <row r="109" spans="1:6" x14ac:dyDescent="0.25">
      <c r="A109" s="8">
        <v>107</v>
      </c>
      <c r="B109" s="8" t="s">
        <v>76</v>
      </c>
      <c r="C109" s="8" t="str">
        <f>_xlfn.XLOOKUP(Table610[[#This Row],[Category No]],Table8[Category No],Table8[Chapter List],FALSE)</f>
        <v>Early Medieval India's Major Dynasties Part 3 - (1000 - 1200) CE</v>
      </c>
      <c r="D109" s="8" t="s">
        <v>2370</v>
      </c>
      <c r="E109" s="31" t="s">
        <v>2374</v>
      </c>
      <c r="F109" s="57"/>
    </row>
    <row r="110" spans="1:6" x14ac:dyDescent="0.25">
      <c r="A110" s="8">
        <v>108</v>
      </c>
      <c r="B110" s="8" t="s">
        <v>76</v>
      </c>
      <c r="C110" s="8" t="str">
        <f>_xlfn.XLOOKUP(Table610[[#This Row],[Category No]],Table8[Category No],Table8[Chapter List],FALSE)</f>
        <v>Early Medieval India's Major Dynasties Part 3 - (1000 - 1200) CE</v>
      </c>
      <c r="D110" s="8" t="s">
        <v>2371</v>
      </c>
      <c r="E110" s="31" t="s">
        <v>2375</v>
      </c>
      <c r="F110" s="57"/>
    </row>
    <row r="111" spans="1:6" x14ac:dyDescent="0.25">
      <c r="A111" s="8">
        <v>109</v>
      </c>
      <c r="B111" s="8" t="s">
        <v>76</v>
      </c>
      <c r="C111" s="8" t="str">
        <f>_xlfn.XLOOKUP(Table610[[#This Row],[Category No]],Table8[Category No],Table8[Chapter List],FALSE)</f>
        <v>Early Medieval India's Major Dynasties Part 3 - (1000 - 1200) CE</v>
      </c>
      <c r="D111" s="8" t="s">
        <v>2372</v>
      </c>
      <c r="E111" s="31" t="s">
        <v>2377</v>
      </c>
      <c r="F111" s="57"/>
    </row>
    <row r="112" spans="1:6" x14ac:dyDescent="0.25">
      <c r="A112" s="8">
        <v>110</v>
      </c>
      <c r="B112" s="8" t="s">
        <v>76</v>
      </c>
      <c r="C112" s="8" t="str">
        <f>_xlfn.XLOOKUP(Table610[[#This Row],[Category No]],Table8[Category No],Table8[Chapter List],FALSE)</f>
        <v>Early Medieval India's Major Dynasties Part 3 - (1000 - 1200) CE</v>
      </c>
      <c r="D112" s="8" t="s">
        <v>2406</v>
      </c>
      <c r="E112" s="31" t="s">
        <v>2412</v>
      </c>
      <c r="F112" s="57" t="s">
        <v>2418</v>
      </c>
    </row>
    <row r="113" spans="1:6" x14ac:dyDescent="0.25">
      <c r="A113" s="8">
        <v>111</v>
      </c>
      <c r="B113" s="8" t="s">
        <v>76</v>
      </c>
      <c r="C113" s="8" t="str">
        <f>_xlfn.XLOOKUP(Table610[[#This Row],[Category No]],Table8[Category No],Table8[Chapter List],FALSE)</f>
        <v>Early Medieval India's Major Dynasties Part 3 - (1000 - 1200) CE</v>
      </c>
      <c r="D113" s="8" t="s">
        <v>2407</v>
      </c>
      <c r="E113" s="31" t="s">
        <v>2413</v>
      </c>
      <c r="F113" s="57"/>
    </row>
    <row r="114" spans="1:6" x14ac:dyDescent="0.25">
      <c r="A114" s="8">
        <v>112</v>
      </c>
      <c r="B114" s="8" t="s">
        <v>76</v>
      </c>
      <c r="C114" s="8" t="str">
        <f>_xlfn.XLOOKUP(Table610[[#This Row],[Category No]],Table8[Category No],Table8[Chapter List],FALSE)</f>
        <v>Early Medieval India's Major Dynasties Part 3 - (1000 - 1200) CE</v>
      </c>
      <c r="D114" s="8" t="s">
        <v>2409</v>
      </c>
      <c r="E114" s="31" t="s">
        <v>2414</v>
      </c>
      <c r="F114" s="57"/>
    </row>
    <row r="115" spans="1:6" x14ac:dyDescent="0.25">
      <c r="A115" s="8">
        <v>113</v>
      </c>
      <c r="B115" s="8" t="s">
        <v>76</v>
      </c>
      <c r="C115" s="8" t="str">
        <f>_xlfn.XLOOKUP(Table610[[#This Row],[Category No]],Table8[Category No],Table8[Chapter List],FALSE)</f>
        <v>Early Medieval India's Major Dynasties Part 3 - (1000 - 1200) CE</v>
      </c>
      <c r="D115" s="8" t="s">
        <v>2408</v>
      </c>
      <c r="E115" s="31" t="s">
        <v>2415</v>
      </c>
      <c r="F115" s="57"/>
    </row>
    <row r="116" spans="1:6" x14ac:dyDescent="0.25">
      <c r="A116" s="8">
        <v>114</v>
      </c>
      <c r="B116" s="8" t="s">
        <v>76</v>
      </c>
      <c r="C116" s="8" t="str">
        <f>_xlfn.XLOOKUP(Table610[[#This Row],[Category No]],Table8[Category No],Table8[Chapter List],FALSE)</f>
        <v>Early Medieval India's Major Dynasties Part 3 - (1000 - 1200) CE</v>
      </c>
      <c r="D116" s="8" t="s">
        <v>2410</v>
      </c>
      <c r="E116" s="31" t="s">
        <v>2416</v>
      </c>
      <c r="F116" s="57"/>
    </row>
    <row r="117" spans="1:6" x14ac:dyDescent="0.25">
      <c r="A117" s="8">
        <v>115</v>
      </c>
      <c r="B117" s="8" t="s">
        <v>76</v>
      </c>
      <c r="C117" s="8" t="str">
        <f>_xlfn.XLOOKUP(Table610[[#This Row],[Category No]],Table8[Category No],Table8[Chapter List],FALSE)</f>
        <v>Early Medieval India's Major Dynasties Part 3 - (1000 - 1200) CE</v>
      </c>
      <c r="D117" s="8" t="s">
        <v>2411</v>
      </c>
      <c r="E117" s="31" t="s">
        <v>2417</v>
      </c>
      <c r="F117" s="57"/>
    </row>
    <row r="118" spans="1:6" x14ac:dyDescent="0.25">
      <c r="A118" s="8">
        <v>116</v>
      </c>
      <c r="B118" s="8" t="s">
        <v>76</v>
      </c>
      <c r="C118" s="8" t="str">
        <f>_xlfn.XLOOKUP(Table610[[#This Row],[Category No]],Table8[Category No],Table8[Chapter List],FALSE)</f>
        <v>Early Medieval India's Major Dynasties Part 3 - (1000 - 1200) CE</v>
      </c>
      <c r="D118" s="8" t="s">
        <v>2468</v>
      </c>
      <c r="E118" s="31" t="s">
        <v>2472</v>
      </c>
      <c r="F118" s="57" t="s">
        <v>2476</v>
      </c>
    </row>
    <row r="119" spans="1:6" x14ac:dyDescent="0.25">
      <c r="A119" s="8">
        <v>117</v>
      </c>
      <c r="B119" s="8" t="s">
        <v>76</v>
      </c>
      <c r="C119" s="8" t="str">
        <f>_xlfn.XLOOKUP(Table610[[#This Row],[Category No]],Table8[Category No],Table8[Chapter List],FALSE)</f>
        <v>Early Medieval India's Major Dynasties Part 3 - (1000 - 1200) CE</v>
      </c>
      <c r="D119" s="8" t="s">
        <v>2469</v>
      </c>
      <c r="E119" s="31" t="s">
        <v>2473</v>
      </c>
      <c r="F119" s="57"/>
    </row>
    <row r="120" spans="1:6" x14ac:dyDescent="0.25">
      <c r="A120" s="8">
        <v>118</v>
      </c>
      <c r="B120" s="8" t="s">
        <v>76</v>
      </c>
      <c r="C120" s="8" t="str">
        <f>_xlfn.XLOOKUP(Table610[[#This Row],[Category No]],Table8[Category No],Table8[Chapter List],FALSE)</f>
        <v>Early Medieval India's Major Dynasties Part 3 - (1000 - 1200) CE</v>
      </c>
      <c r="D120" s="8" t="s">
        <v>2470</v>
      </c>
      <c r="E120" s="31" t="s">
        <v>2474</v>
      </c>
      <c r="F120" s="57"/>
    </row>
    <row r="121" spans="1:6" x14ac:dyDescent="0.25">
      <c r="A121" s="8">
        <v>119</v>
      </c>
      <c r="B121" s="8" t="s">
        <v>76</v>
      </c>
      <c r="C121" s="8" t="str">
        <f>_xlfn.XLOOKUP(Table610[[#This Row],[Category No]],Table8[Category No],Table8[Chapter List],FALSE)</f>
        <v>Early Medieval India's Major Dynasties Part 3 - (1000 - 1200) CE</v>
      </c>
      <c r="D121" s="8" t="s">
        <v>2471</v>
      </c>
      <c r="E121" s="31" t="s">
        <v>2475</v>
      </c>
      <c r="F121" s="57"/>
    </row>
    <row r="122" spans="1:6" x14ac:dyDescent="0.25">
      <c r="A122" s="8">
        <v>120</v>
      </c>
      <c r="B122" s="8" t="s">
        <v>76</v>
      </c>
      <c r="C122" s="8" t="str">
        <f>_xlfn.XLOOKUP(Table610[[#This Row],[Category No]],Table8[Category No],Table8[Chapter List],FALSE)</f>
        <v>Early Medieval India's Major Dynasties Part 3 - (1000 - 1200) CE</v>
      </c>
      <c r="D122" s="8" t="s">
        <v>2485</v>
      </c>
      <c r="E122" s="31" t="s">
        <v>2489</v>
      </c>
      <c r="F122" s="63" t="s">
        <v>2510</v>
      </c>
    </row>
    <row r="123" spans="1:6" x14ac:dyDescent="0.25">
      <c r="A123" s="8">
        <v>121</v>
      </c>
      <c r="B123" s="8" t="s">
        <v>76</v>
      </c>
      <c r="C123" s="8" t="str">
        <f>_xlfn.XLOOKUP(Table610[[#This Row],[Category No]],Table8[Category No],Table8[Chapter List],FALSE)</f>
        <v>Early Medieval India's Major Dynasties Part 3 - (1000 - 1200) CE</v>
      </c>
      <c r="D123" s="8" t="s">
        <v>2486</v>
      </c>
      <c r="E123" s="31" t="s">
        <v>2490</v>
      </c>
      <c r="F123" s="57"/>
    </row>
    <row r="124" spans="1:6" x14ac:dyDescent="0.25">
      <c r="A124" s="8">
        <v>122</v>
      </c>
      <c r="B124" s="8" t="s">
        <v>76</v>
      </c>
      <c r="C124" s="8" t="str">
        <f>_xlfn.XLOOKUP(Table610[[#This Row],[Category No]],Table8[Category No],Table8[Chapter List],FALSE)</f>
        <v>Early Medieval India's Major Dynasties Part 3 - (1000 - 1200) CE</v>
      </c>
      <c r="D124" s="8" t="s">
        <v>2487</v>
      </c>
      <c r="E124" s="31" t="s">
        <v>2491</v>
      </c>
      <c r="F124" s="57"/>
    </row>
    <row r="125" spans="1:6" x14ac:dyDescent="0.25">
      <c r="A125" s="8">
        <v>123</v>
      </c>
      <c r="B125" s="8" t="s">
        <v>76</v>
      </c>
      <c r="C125" s="8" t="str">
        <f>_xlfn.XLOOKUP(Table610[[#This Row],[Category No]],Table8[Category No],Table8[Chapter List],FALSE)</f>
        <v>Early Medieval India's Major Dynasties Part 3 - (1000 - 1200) CE</v>
      </c>
      <c r="D125" s="8" t="s">
        <v>2488</v>
      </c>
      <c r="E125" s="31" t="s">
        <v>2492</v>
      </c>
      <c r="F125" s="57"/>
    </row>
    <row r="126" spans="1:6" x14ac:dyDescent="0.25">
      <c r="A126" s="8">
        <v>124</v>
      </c>
      <c r="B126" s="8" t="s">
        <v>76</v>
      </c>
      <c r="C126" s="8" t="str">
        <f>_xlfn.XLOOKUP(Table610[[#This Row],[Category No]],Table8[Category No],Table8[Chapter List],FALSE)</f>
        <v>Early Medieval India's Major Dynasties Part 3 - (1000 - 1200) CE</v>
      </c>
      <c r="D126" s="8" t="s">
        <v>2517</v>
      </c>
      <c r="E126" s="31" t="s">
        <v>2518</v>
      </c>
    </row>
    <row r="127" spans="1:6" x14ac:dyDescent="0.25">
      <c r="A127" s="8">
        <v>125</v>
      </c>
      <c r="B127" s="8" t="s">
        <v>76</v>
      </c>
      <c r="C127" s="8" t="str">
        <f>_xlfn.XLOOKUP(Table610[[#This Row],[Category No]],Table8[Category No],Table8[Chapter List],FALSE)</f>
        <v>Early Medieval India's Major Dynasties Part 3 - (1000 - 1200) CE</v>
      </c>
      <c r="D127" s="8" t="s">
        <v>2523</v>
      </c>
      <c r="E127" s="31" t="s">
        <v>2522</v>
      </c>
      <c r="F127" s="57" t="s">
        <v>2542</v>
      </c>
    </row>
    <row r="128" spans="1:6" x14ac:dyDescent="0.25">
      <c r="A128" s="8">
        <v>126</v>
      </c>
      <c r="B128" s="8" t="s">
        <v>76</v>
      </c>
      <c r="C128" s="8" t="str">
        <f>_xlfn.XLOOKUP(Table610[[#This Row],[Category No]],Table8[Category No],Table8[Chapter List],FALSE)</f>
        <v>Early Medieval India's Major Dynasties Part 3 - (1000 - 1200) CE</v>
      </c>
      <c r="D128" s="8" t="s">
        <v>2523</v>
      </c>
      <c r="E128" s="31" t="s">
        <v>2524</v>
      </c>
      <c r="F128" s="57"/>
    </row>
    <row r="129" spans="1:6" x14ac:dyDescent="0.25">
      <c r="A129" s="8">
        <v>127</v>
      </c>
      <c r="B129" s="8" t="s">
        <v>76</v>
      </c>
      <c r="C129" s="8" t="str">
        <f>_xlfn.XLOOKUP(Table610[[#This Row],[Category No]],Table8[Category No],Table8[Chapter List],FALSE)</f>
        <v>Early Medieval India's Major Dynasties Part 3 - (1000 - 1200) CE</v>
      </c>
      <c r="D129" s="8" t="s">
        <v>2526</v>
      </c>
      <c r="E129" s="31" t="s">
        <v>2525</v>
      </c>
      <c r="F129" s="57"/>
    </row>
    <row r="130" spans="1:6" x14ac:dyDescent="0.25">
      <c r="A130" s="8">
        <v>128</v>
      </c>
      <c r="B130" s="8" t="s">
        <v>76</v>
      </c>
      <c r="C130" s="8" t="str">
        <f>_xlfn.XLOOKUP(Table610[[#This Row],[Category No]],Table8[Category No],Table8[Chapter List],FALSE)</f>
        <v>Early Medieval India's Major Dynasties Part 3 - (1000 - 1200) CE</v>
      </c>
      <c r="D130" s="8" t="s">
        <v>2523</v>
      </c>
      <c r="E130" s="31" t="s">
        <v>2540</v>
      </c>
      <c r="F130" s="72" t="s">
        <v>2548</v>
      </c>
    </row>
    <row r="131" spans="1:6" x14ac:dyDescent="0.25">
      <c r="A131" s="8">
        <v>129</v>
      </c>
      <c r="B131" s="8" t="s">
        <v>76</v>
      </c>
      <c r="C131" s="8" t="str">
        <f>_xlfn.XLOOKUP(Table610[[#This Row],[Category No]],Table8[Category No],Table8[Chapter List],FALSE)</f>
        <v>Early Medieval India's Major Dynasties Part 3 - (1000 - 1200) CE</v>
      </c>
      <c r="D131" s="8" t="s">
        <v>2543</v>
      </c>
      <c r="E131" s="31" t="s">
        <v>2546</v>
      </c>
      <c r="F131" s="62"/>
    </row>
    <row r="132" spans="1:6" x14ac:dyDescent="0.25">
      <c r="A132" s="8">
        <v>130</v>
      </c>
      <c r="B132" s="8" t="s">
        <v>76</v>
      </c>
      <c r="C132" s="8" t="str">
        <f>_xlfn.XLOOKUP(Table610[[#This Row],[Category No]],Table8[Category No],Table8[Chapter List],FALSE)</f>
        <v>Early Medieval India's Major Dynasties Part 3 - (1000 - 1200) CE</v>
      </c>
      <c r="D132" s="8" t="s">
        <v>2541</v>
      </c>
      <c r="E132" s="31" t="s">
        <v>2547</v>
      </c>
      <c r="F132" s="62"/>
    </row>
    <row r="133" spans="1:6" x14ac:dyDescent="0.25">
      <c r="A133" s="8">
        <v>131</v>
      </c>
      <c r="B133" s="8" t="s">
        <v>76</v>
      </c>
      <c r="C133" s="8" t="str">
        <f>_xlfn.XLOOKUP(Table610[[#This Row],[Category No]],Table8[Category No],Table8[Chapter List],FALSE)</f>
        <v>Early Medieval India's Major Dynasties Part 3 - (1000 - 1200) CE</v>
      </c>
      <c r="D133" s="8" t="s">
        <v>2544</v>
      </c>
      <c r="E133" s="31" t="s">
        <v>2545</v>
      </c>
      <c r="F133" s="62"/>
    </row>
    <row r="134" spans="1:6" x14ac:dyDescent="0.25">
      <c r="A134" s="8">
        <v>132</v>
      </c>
      <c r="B134" s="8"/>
      <c r="C134" s="8" t="b">
        <f>_xlfn.XLOOKUP(Table610[[#This Row],[Category No]],Table8[Category No],Table8[Chapter List],FALSE)</f>
        <v>0</v>
      </c>
      <c r="D134" s="8"/>
      <c r="E134" s="31"/>
    </row>
    <row r="135" spans="1:6" x14ac:dyDescent="0.25">
      <c r="A135" s="8">
        <v>133</v>
      </c>
      <c r="B135" s="8"/>
      <c r="C135" s="8" t="b">
        <f>_xlfn.XLOOKUP(Table610[[#This Row],[Category No]],Table8[Category No],Table8[Chapter List],FALSE)</f>
        <v>0</v>
      </c>
      <c r="D135" s="8"/>
      <c r="E135" s="31"/>
    </row>
    <row r="136" spans="1:6" x14ac:dyDescent="0.25">
      <c r="A136" s="8">
        <v>134</v>
      </c>
      <c r="B136" s="8"/>
      <c r="C136" s="8" t="b">
        <f>_xlfn.XLOOKUP(Table610[[#This Row],[Category No]],Table8[Category No],Table8[Chapter List],FALSE)</f>
        <v>0</v>
      </c>
      <c r="D136" s="8"/>
      <c r="E136" s="31"/>
    </row>
    <row r="137" spans="1:6" x14ac:dyDescent="0.25">
      <c r="A137" s="8">
        <v>135</v>
      </c>
      <c r="B137" s="8"/>
      <c r="C137" s="8" t="b">
        <f>_xlfn.XLOOKUP(Table610[[#This Row],[Category No]],Table8[Category No],Table8[Chapter List],FALSE)</f>
        <v>0</v>
      </c>
      <c r="D137" s="8"/>
      <c r="E137" s="31"/>
    </row>
    <row r="138" spans="1:6" x14ac:dyDescent="0.25">
      <c r="A138" s="8">
        <v>136</v>
      </c>
      <c r="B138" s="8"/>
      <c r="C138" s="8" t="b">
        <f>_xlfn.XLOOKUP(Table610[[#This Row],[Category No]],Table8[Category No],Table8[Chapter List],FALSE)</f>
        <v>0</v>
      </c>
      <c r="D138" s="8"/>
      <c r="E138" s="31"/>
    </row>
    <row r="139" spans="1:6" x14ac:dyDescent="0.25">
      <c r="A139" s="8">
        <v>137</v>
      </c>
      <c r="B139" s="8"/>
      <c r="C139" s="8" t="b">
        <f>_xlfn.XLOOKUP(Table610[[#This Row],[Category No]],Table8[Category No],Table8[Chapter List],FALSE)</f>
        <v>0</v>
      </c>
      <c r="D139" s="8"/>
      <c r="E139" s="31"/>
    </row>
    <row r="140" spans="1:6" x14ac:dyDescent="0.25">
      <c r="A140" s="8">
        <v>138</v>
      </c>
      <c r="B140" s="8"/>
      <c r="C140" s="8" t="b">
        <f>_xlfn.XLOOKUP(Table610[[#This Row],[Category No]],Table8[Category No],Table8[Chapter List],FALSE)</f>
        <v>0</v>
      </c>
      <c r="D140" s="8"/>
      <c r="E140" s="31"/>
    </row>
    <row r="141" spans="1:6" x14ac:dyDescent="0.25">
      <c r="A141" s="8">
        <v>139</v>
      </c>
      <c r="B141" s="8"/>
      <c r="C141" s="8" t="b">
        <f>_xlfn.XLOOKUP(Table610[[#This Row],[Category No]],Table8[Category No],Table8[Chapter List],FALSE)</f>
        <v>0</v>
      </c>
      <c r="D141" s="8"/>
      <c r="E141" s="31"/>
    </row>
    <row r="142" spans="1:6" x14ac:dyDescent="0.25">
      <c r="A142" s="8">
        <v>140</v>
      </c>
      <c r="B142" s="8"/>
      <c r="C142" s="8" t="b">
        <f>_xlfn.XLOOKUP(Table610[[#This Row],[Category No]],Table8[Category No],Table8[Chapter List],FALSE)</f>
        <v>0</v>
      </c>
      <c r="D142" s="8"/>
      <c r="E142" s="31"/>
    </row>
    <row r="143" spans="1:6" x14ac:dyDescent="0.25">
      <c r="A143" s="8">
        <v>141</v>
      </c>
      <c r="B143" s="8"/>
      <c r="C143" s="8" t="b">
        <f>_xlfn.XLOOKUP(Table610[[#This Row],[Category No]],Table8[Category No],Table8[Chapter List],FALSE)</f>
        <v>0</v>
      </c>
      <c r="D143" s="8"/>
      <c r="E143" s="31"/>
    </row>
    <row r="144" spans="1:6" x14ac:dyDescent="0.25">
      <c r="A144" s="8">
        <v>142</v>
      </c>
      <c r="B144" s="8"/>
      <c r="C144" s="8" t="b">
        <f>_xlfn.XLOOKUP(Table610[[#This Row],[Category No]],Table8[Category No],Table8[Chapter List],FALSE)</f>
        <v>0</v>
      </c>
      <c r="D144" s="8"/>
      <c r="E144" s="31"/>
    </row>
    <row r="145" spans="1:5" x14ac:dyDescent="0.25">
      <c r="A145" s="8">
        <v>143</v>
      </c>
      <c r="B145" s="8"/>
      <c r="C145" s="8" t="b">
        <f>_xlfn.XLOOKUP(Table610[[#This Row],[Category No]],Table8[Category No],Table8[Chapter List],FALSE)</f>
        <v>0</v>
      </c>
      <c r="D145" s="8"/>
      <c r="E145" s="31"/>
    </row>
    <row r="146" spans="1:5" x14ac:dyDescent="0.25">
      <c r="A146" s="8">
        <v>144</v>
      </c>
      <c r="B146" s="8"/>
      <c r="C146" s="8" t="b">
        <f>_xlfn.XLOOKUP(Table610[[#This Row],[Category No]],Table8[Category No],Table8[Chapter List],FALSE)</f>
        <v>0</v>
      </c>
      <c r="D146" s="8"/>
      <c r="E146" s="31"/>
    </row>
    <row r="147" spans="1:5" x14ac:dyDescent="0.25">
      <c r="A147" s="8">
        <v>145</v>
      </c>
      <c r="B147" s="8"/>
      <c r="C147" s="8" t="b">
        <f>_xlfn.XLOOKUP(Table610[[#This Row],[Category No]],Table8[Category No],Table8[Chapter List],FALSE)</f>
        <v>0</v>
      </c>
      <c r="D147" s="8"/>
      <c r="E147" s="31"/>
    </row>
    <row r="148" spans="1:5" x14ac:dyDescent="0.25">
      <c r="A148" s="8">
        <v>146</v>
      </c>
      <c r="B148" s="8"/>
      <c r="C148" s="8" t="b">
        <f>_xlfn.XLOOKUP(Table610[[#This Row],[Category No]],Table8[Category No],Table8[Chapter List],FALSE)</f>
        <v>0</v>
      </c>
      <c r="D148" s="8"/>
      <c r="E148" s="31"/>
    </row>
    <row r="149" spans="1:5" x14ac:dyDescent="0.25">
      <c r="A149" s="8">
        <v>147</v>
      </c>
      <c r="B149" s="8"/>
      <c r="C149" s="8" t="b">
        <f>_xlfn.XLOOKUP(Table610[[#This Row],[Category No]],Table8[Category No],Table8[Chapter List],FALSE)</f>
        <v>0</v>
      </c>
      <c r="D149" s="8"/>
      <c r="E149" s="31"/>
    </row>
    <row r="150" spans="1:5" x14ac:dyDescent="0.25">
      <c r="A150" s="8">
        <v>148</v>
      </c>
      <c r="B150" s="8"/>
      <c r="C150" s="8" t="b">
        <f>_xlfn.XLOOKUP(Table610[[#This Row],[Category No]],Table8[Category No],Table8[Chapter List],FALSE)</f>
        <v>0</v>
      </c>
      <c r="D150" s="8"/>
      <c r="E150" s="31"/>
    </row>
    <row r="151" spans="1:5" x14ac:dyDescent="0.25">
      <c r="A151" s="8">
        <v>149</v>
      </c>
      <c r="B151" s="8"/>
      <c r="C151" s="8" t="b">
        <f>_xlfn.XLOOKUP(Table610[[#This Row],[Category No]],Table8[Category No],Table8[Chapter List],FALSE)</f>
        <v>0</v>
      </c>
      <c r="D151" s="8"/>
      <c r="E151" s="31"/>
    </row>
    <row r="152" spans="1:5" x14ac:dyDescent="0.25">
      <c r="A152" s="8">
        <v>150</v>
      </c>
      <c r="B152" s="8"/>
      <c r="C152" s="8" t="b">
        <f>_xlfn.XLOOKUP(Table610[[#This Row],[Category No]],Table8[Category No],Table8[Chapter List],FALSE)</f>
        <v>0</v>
      </c>
      <c r="D152" s="8"/>
      <c r="E152" s="31"/>
    </row>
    <row r="153" spans="1:5" x14ac:dyDescent="0.25">
      <c r="A153" s="8">
        <v>151</v>
      </c>
      <c r="B153" s="8"/>
      <c r="C153" s="8" t="b">
        <f>_xlfn.XLOOKUP(Table610[[#This Row],[Category No]],Table8[Category No],Table8[Chapter List],FALSE)</f>
        <v>0</v>
      </c>
      <c r="D153" s="8"/>
      <c r="E153" s="31"/>
    </row>
    <row r="154" spans="1:5" x14ac:dyDescent="0.25">
      <c r="A154" s="8">
        <v>152</v>
      </c>
      <c r="B154" s="8"/>
      <c r="C154" s="8" t="b">
        <f>_xlfn.XLOOKUP(Table610[[#This Row],[Category No]],Table8[Category No],Table8[Chapter List],FALSE)</f>
        <v>0</v>
      </c>
      <c r="D154" s="8"/>
      <c r="E154" s="31"/>
    </row>
    <row r="155" spans="1:5" x14ac:dyDescent="0.25">
      <c r="A155" s="8">
        <v>153</v>
      </c>
      <c r="B155" s="8"/>
      <c r="C155" s="8" t="b">
        <f>_xlfn.XLOOKUP(Table610[[#This Row],[Category No]],Table8[Category No],Table8[Chapter List],FALSE)</f>
        <v>0</v>
      </c>
      <c r="D155" s="8"/>
      <c r="E155" s="31"/>
    </row>
    <row r="156" spans="1:5" x14ac:dyDescent="0.25">
      <c r="A156" s="8">
        <v>154</v>
      </c>
      <c r="B156" s="8"/>
      <c r="C156" s="8" t="b">
        <f>_xlfn.XLOOKUP(Table610[[#This Row],[Category No]],Table8[Category No],Table8[Chapter List],FALSE)</f>
        <v>0</v>
      </c>
      <c r="D156" s="8"/>
      <c r="E156" s="31"/>
    </row>
    <row r="157" spans="1:5" x14ac:dyDescent="0.25">
      <c r="A157" s="8">
        <v>155</v>
      </c>
      <c r="B157" s="8"/>
      <c r="C157" s="8" t="b">
        <f>_xlfn.XLOOKUP(Table610[[#This Row],[Category No]],Table8[Category No],Table8[Chapter List],FALSE)</f>
        <v>0</v>
      </c>
      <c r="D157" s="8"/>
      <c r="E157" s="31"/>
    </row>
    <row r="158" spans="1:5" x14ac:dyDescent="0.25">
      <c r="A158" s="8">
        <v>156</v>
      </c>
      <c r="B158" s="8"/>
      <c r="C158" s="8" t="b">
        <f>_xlfn.XLOOKUP(Table610[[#This Row],[Category No]],Table8[Category No],Table8[Chapter List],FALSE)</f>
        <v>0</v>
      </c>
      <c r="D158" s="8"/>
      <c r="E158" s="31"/>
    </row>
    <row r="159" spans="1:5" x14ac:dyDescent="0.25">
      <c r="A159" s="8">
        <v>157</v>
      </c>
      <c r="B159" s="8"/>
      <c r="C159" s="8" t="b">
        <f>_xlfn.XLOOKUP(Table610[[#This Row],[Category No]],Table8[Category No],Table8[Chapter List],FALSE)</f>
        <v>0</v>
      </c>
      <c r="D159" s="8"/>
      <c r="E159" s="31"/>
    </row>
    <row r="160" spans="1:5" x14ac:dyDescent="0.25">
      <c r="A160" s="8">
        <v>158</v>
      </c>
      <c r="B160" s="8"/>
      <c r="C160" s="8" t="b">
        <f>_xlfn.XLOOKUP(Table610[[#This Row],[Category No]],Table8[Category No],Table8[Chapter List],FALSE)</f>
        <v>0</v>
      </c>
      <c r="D160" s="8"/>
      <c r="E160" s="31"/>
    </row>
    <row r="161" spans="1:5" x14ac:dyDescent="0.25">
      <c r="A161" s="8">
        <v>159</v>
      </c>
      <c r="B161" s="8"/>
      <c r="C161" s="8" t="b">
        <f>_xlfn.XLOOKUP(Table610[[#This Row],[Category No]],Table8[Category No],Table8[Chapter List],FALSE)</f>
        <v>0</v>
      </c>
      <c r="D161" s="8"/>
      <c r="E161" s="31"/>
    </row>
    <row r="162" spans="1:5" x14ac:dyDescent="0.25">
      <c r="A162" s="8">
        <v>160</v>
      </c>
      <c r="B162" s="8"/>
      <c r="C162" s="8" t="b">
        <f>_xlfn.XLOOKUP(Table610[[#This Row],[Category No]],Table8[Category No],Table8[Chapter List],FALSE)</f>
        <v>0</v>
      </c>
      <c r="D162" s="8"/>
      <c r="E162" s="31"/>
    </row>
    <row r="163" spans="1:5" x14ac:dyDescent="0.25">
      <c r="A163" s="8">
        <v>161</v>
      </c>
      <c r="B163" s="8"/>
      <c r="C163" s="8" t="b">
        <f>_xlfn.XLOOKUP(Table610[[#This Row],[Category No]],Table8[Category No],Table8[Chapter List],FALSE)</f>
        <v>0</v>
      </c>
      <c r="D163" s="8"/>
      <c r="E163" s="31"/>
    </row>
    <row r="164" spans="1:5" x14ac:dyDescent="0.25">
      <c r="A164" s="8">
        <v>162</v>
      </c>
      <c r="B164" s="8"/>
      <c r="C164" s="8" t="b">
        <f>_xlfn.XLOOKUP(Table610[[#This Row],[Category No]],Table8[Category No],Table8[Chapter List],FALSE)</f>
        <v>0</v>
      </c>
      <c r="D164" s="8"/>
      <c r="E164" s="31"/>
    </row>
    <row r="165" spans="1:5" x14ac:dyDescent="0.25">
      <c r="A165" s="8">
        <v>163</v>
      </c>
      <c r="B165" s="8"/>
      <c r="C165" s="8" t="b">
        <f>_xlfn.XLOOKUP(Table610[[#This Row],[Category No]],Table8[Category No],Table8[Chapter List],FALSE)</f>
        <v>0</v>
      </c>
      <c r="D165" s="8"/>
      <c r="E165" s="31"/>
    </row>
    <row r="166" spans="1:5" x14ac:dyDescent="0.25">
      <c r="A166" s="8">
        <v>164</v>
      </c>
      <c r="B166" s="8"/>
      <c r="C166" s="8" t="b">
        <f>_xlfn.XLOOKUP(Table610[[#This Row],[Category No]],Table8[Category No],Table8[Chapter List],FALSE)</f>
        <v>0</v>
      </c>
      <c r="D166" s="8"/>
      <c r="E166" s="31"/>
    </row>
    <row r="167" spans="1:5" x14ac:dyDescent="0.25">
      <c r="A167" s="8">
        <v>165</v>
      </c>
      <c r="B167" s="8"/>
      <c r="C167" s="8" t="b">
        <f>_xlfn.XLOOKUP(Table610[[#This Row],[Category No]],Table8[Category No],Table8[Chapter List],FALSE)</f>
        <v>0</v>
      </c>
      <c r="D167" s="8"/>
      <c r="E167" s="31"/>
    </row>
    <row r="168" spans="1:5" x14ac:dyDescent="0.25">
      <c r="A168" s="8">
        <v>166</v>
      </c>
      <c r="B168" s="8"/>
      <c r="C168" s="8" t="b">
        <f>_xlfn.XLOOKUP(Table610[[#This Row],[Category No]],Table8[Category No],Table8[Chapter List],FALSE)</f>
        <v>0</v>
      </c>
      <c r="D168" s="8"/>
      <c r="E168" s="31"/>
    </row>
    <row r="169" spans="1:5" x14ac:dyDescent="0.25">
      <c r="A169" s="8">
        <v>167</v>
      </c>
      <c r="B169" s="8"/>
      <c r="C169" s="8" t="b">
        <f>_xlfn.XLOOKUP(Table610[[#This Row],[Category No]],Table8[Category No],Table8[Chapter List],FALSE)</f>
        <v>0</v>
      </c>
      <c r="D169" s="8"/>
      <c r="E169" s="31"/>
    </row>
    <row r="170" spans="1:5" x14ac:dyDescent="0.25">
      <c r="A170" s="8">
        <v>168</v>
      </c>
      <c r="B170" s="8"/>
      <c r="C170" s="8" t="b">
        <f>_xlfn.XLOOKUP(Table610[[#This Row],[Category No]],Table8[Category No],Table8[Chapter List],FALSE)</f>
        <v>0</v>
      </c>
      <c r="D170" s="8"/>
      <c r="E170" s="31"/>
    </row>
    <row r="171" spans="1:5" x14ac:dyDescent="0.25">
      <c r="A171" s="8">
        <v>169</v>
      </c>
      <c r="B171" s="8"/>
      <c r="C171" s="8" t="b">
        <f>_xlfn.XLOOKUP(Table610[[#This Row],[Category No]],Table8[Category No],Table8[Chapter List],FALSE)</f>
        <v>0</v>
      </c>
      <c r="D171" s="8"/>
      <c r="E171" s="31"/>
    </row>
    <row r="172" spans="1:5" x14ac:dyDescent="0.25">
      <c r="A172" s="8">
        <v>170</v>
      </c>
      <c r="B172" s="8"/>
      <c r="C172" s="8" t="b">
        <f>_xlfn.XLOOKUP(Table610[[#This Row],[Category No]],Table8[Category No],Table8[Chapter List],FALSE)</f>
        <v>0</v>
      </c>
      <c r="D172" s="8"/>
      <c r="E172" s="31"/>
    </row>
    <row r="173" spans="1:5" x14ac:dyDescent="0.25">
      <c r="A173" s="8">
        <v>171</v>
      </c>
      <c r="B173" s="8"/>
      <c r="C173" s="8" t="b">
        <f>_xlfn.XLOOKUP(Table610[[#This Row],[Category No]],Table8[Category No],Table8[Chapter List],FALSE)</f>
        <v>0</v>
      </c>
      <c r="D173" s="8"/>
      <c r="E173" s="31"/>
    </row>
    <row r="174" spans="1:5" x14ac:dyDescent="0.25">
      <c r="A174" s="8">
        <v>172</v>
      </c>
      <c r="B174" s="8"/>
      <c r="C174" s="8" t="b">
        <f>_xlfn.XLOOKUP(Table610[[#This Row],[Category No]],Table8[Category No],Table8[Chapter List],FALSE)</f>
        <v>0</v>
      </c>
      <c r="D174" s="8"/>
      <c r="E174" s="31"/>
    </row>
    <row r="175" spans="1:5" x14ac:dyDescent="0.25">
      <c r="A175" s="8">
        <v>173</v>
      </c>
      <c r="B175" s="8"/>
      <c r="C175" s="8" t="b">
        <f>_xlfn.XLOOKUP(Table610[[#This Row],[Category No]],Table8[Category No],Table8[Chapter List],FALSE)</f>
        <v>0</v>
      </c>
      <c r="D175" s="8"/>
      <c r="E175" s="31"/>
    </row>
    <row r="176" spans="1:5" x14ac:dyDescent="0.25">
      <c r="A176" s="8">
        <v>174</v>
      </c>
      <c r="B176" s="8"/>
      <c r="C176" s="8" t="b">
        <f>_xlfn.XLOOKUP(Table610[[#This Row],[Category No]],Table8[Category No],Table8[Chapter List],FALSE)</f>
        <v>0</v>
      </c>
      <c r="D176" s="8"/>
      <c r="E176" s="31"/>
    </row>
    <row r="177" spans="1:5" x14ac:dyDescent="0.25">
      <c r="A177" s="8">
        <v>175</v>
      </c>
      <c r="B177" s="8"/>
      <c r="C177" s="8" t="b">
        <f>_xlfn.XLOOKUP(Table610[[#This Row],[Category No]],Table8[Category No],Table8[Chapter List],FALSE)</f>
        <v>0</v>
      </c>
      <c r="D177" s="8"/>
      <c r="E177" s="31"/>
    </row>
    <row r="178" spans="1:5" x14ac:dyDescent="0.25">
      <c r="A178" s="8">
        <v>176</v>
      </c>
      <c r="B178" s="8"/>
      <c r="C178" s="8" t="b">
        <f>_xlfn.XLOOKUP(Table610[[#This Row],[Category No]],Table8[Category No],Table8[Chapter List],FALSE)</f>
        <v>0</v>
      </c>
      <c r="D178" s="8"/>
      <c r="E178" s="31"/>
    </row>
    <row r="179" spans="1:5" x14ac:dyDescent="0.25">
      <c r="A179" s="8">
        <v>177</v>
      </c>
      <c r="B179" s="8"/>
      <c r="C179" s="8" t="b">
        <f>_xlfn.XLOOKUP(Table610[[#This Row],[Category No]],Table8[Category No],Table8[Chapter List],FALSE)</f>
        <v>0</v>
      </c>
      <c r="D179" s="8"/>
      <c r="E179" s="31"/>
    </row>
    <row r="180" spans="1:5" x14ac:dyDescent="0.25">
      <c r="A180" s="8">
        <v>178</v>
      </c>
      <c r="B180" s="8"/>
      <c r="C180" s="8" t="b">
        <f>_xlfn.XLOOKUP(Table610[[#This Row],[Category No]],Table8[Category No],Table8[Chapter List],FALSE)</f>
        <v>0</v>
      </c>
      <c r="D180" s="8"/>
      <c r="E180" s="31"/>
    </row>
    <row r="181" spans="1:5" x14ac:dyDescent="0.25">
      <c r="A181" s="8">
        <v>179</v>
      </c>
      <c r="B181" s="8"/>
      <c r="C181" s="8" t="b">
        <f>_xlfn.XLOOKUP(Table610[[#This Row],[Category No]],Table8[Category No],Table8[Chapter List],FALSE)</f>
        <v>0</v>
      </c>
      <c r="D181" s="8"/>
      <c r="E181" s="31"/>
    </row>
    <row r="182" spans="1:5" x14ac:dyDescent="0.25">
      <c r="A182" s="8">
        <v>180</v>
      </c>
      <c r="B182" s="8"/>
      <c r="C182" s="8" t="b">
        <f>_xlfn.XLOOKUP(Table610[[#This Row],[Category No]],Table8[Category No],Table8[Chapter List],FALSE)</f>
        <v>0</v>
      </c>
      <c r="D182" s="8"/>
      <c r="E182" s="31"/>
    </row>
    <row r="183" spans="1:5" x14ac:dyDescent="0.25">
      <c r="A183" s="8">
        <v>181</v>
      </c>
      <c r="B183" s="8"/>
      <c r="C183" s="8" t="b">
        <f>_xlfn.XLOOKUP(Table610[[#This Row],[Category No]],Table8[Category No],Table8[Chapter List],FALSE)</f>
        <v>0</v>
      </c>
      <c r="D183" s="8"/>
      <c r="E183" s="31"/>
    </row>
    <row r="184" spans="1:5" x14ac:dyDescent="0.25">
      <c r="A184" s="8">
        <v>182</v>
      </c>
      <c r="B184" s="8"/>
      <c r="C184" s="8" t="b">
        <f>_xlfn.XLOOKUP(Table610[[#This Row],[Category No]],Table8[Category No],Table8[Chapter List],FALSE)</f>
        <v>0</v>
      </c>
      <c r="D184" s="8"/>
      <c r="E184" s="31"/>
    </row>
    <row r="185" spans="1:5" x14ac:dyDescent="0.25">
      <c r="A185" s="8">
        <v>183</v>
      </c>
      <c r="B185" s="8"/>
      <c r="C185" s="8" t="b">
        <f>_xlfn.XLOOKUP(Table610[[#This Row],[Category No]],Table8[Category No],Table8[Chapter List],FALSE)</f>
        <v>0</v>
      </c>
      <c r="D185" s="8"/>
      <c r="E185" s="31"/>
    </row>
    <row r="186" spans="1:5" x14ac:dyDescent="0.25">
      <c r="A186" s="8">
        <v>184</v>
      </c>
      <c r="B186" s="8"/>
      <c r="C186" s="8" t="b">
        <f>_xlfn.XLOOKUP(Table610[[#This Row],[Category No]],Table8[Category No],Table8[Chapter List],FALSE)</f>
        <v>0</v>
      </c>
      <c r="D186" s="8"/>
      <c r="E186" s="31"/>
    </row>
    <row r="187" spans="1:5" x14ac:dyDescent="0.25">
      <c r="A187" s="8">
        <v>185</v>
      </c>
      <c r="B187" s="8"/>
      <c r="C187" s="8" t="b">
        <f>_xlfn.XLOOKUP(Table610[[#This Row],[Category No]],Table8[Category No],Table8[Chapter List],FALSE)</f>
        <v>0</v>
      </c>
      <c r="D187" s="8"/>
      <c r="E187" s="31"/>
    </row>
    <row r="188" spans="1:5" x14ac:dyDescent="0.25">
      <c r="A188" s="8">
        <v>186</v>
      </c>
      <c r="B188" s="8"/>
      <c r="C188" s="8" t="b">
        <f>_xlfn.XLOOKUP(Table610[[#This Row],[Category No]],Table8[Category No],Table8[Chapter List],FALSE)</f>
        <v>0</v>
      </c>
      <c r="D188" s="8"/>
      <c r="E188" s="31"/>
    </row>
    <row r="189" spans="1:5" x14ac:dyDescent="0.25">
      <c r="A189" s="8">
        <v>187</v>
      </c>
      <c r="B189" s="8"/>
      <c r="C189" s="8" t="b">
        <f>_xlfn.XLOOKUP(Table610[[#This Row],[Category No]],Table8[Category No],Table8[Chapter List],FALSE)</f>
        <v>0</v>
      </c>
      <c r="D189" s="8"/>
      <c r="E189" s="31"/>
    </row>
    <row r="190" spans="1:5" x14ac:dyDescent="0.25">
      <c r="A190" s="8">
        <v>188</v>
      </c>
      <c r="B190" s="8"/>
      <c r="C190" s="8" t="b">
        <f>_xlfn.XLOOKUP(Table610[[#This Row],[Category No]],Table8[Category No],Table8[Chapter List],FALSE)</f>
        <v>0</v>
      </c>
      <c r="D190" s="8"/>
      <c r="E190" s="31"/>
    </row>
    <row r="191" spans="1:5" x14ac:dyDescent="0.25">
      <c r="A191" s="8">
        <v>189</v>
      </c>
      <c r="B191" s="8"/>
      <c r="C191" s="8" t="b">
        <f>_xlfn.XLOOKUP(Table610[[#This Row],[Category No]],Table8[Category No],Table8[Chapter List],FALSE)</f>
        <v>0</v>
      </c>
      <c r="D191" s="8"/>
      <c r="E191" s="31"/>
    </row>
    <row r="192" spans="1:5" x14ac:dyDescent="0.25">
      <c r="A192" s="8">
        <v>190</v>
      </c>
      <c r="B192" s="8"/>
      <c r="C192" s="8" t="b">
        <f>_xlfn.XLOOKUP(Table610[[#This Row],[Category No]],Table8[Category No],Table8[Chapter List],FALSE)</f>
        <v>0</v>
      </c>
      <c r="D192" s="8"/>
      <c r="E192" s="31"/>
    </row>
    <row r="193" spans="1:5" x14ac:dyDescent="0.25">
      <c r="A193" s="8">
        <v>191</v>
      </c>
      <c r="B193" s="8"/>
      <c r="C193" s="8" t="b">
        <f>_xlfn.XLOOKUP(Table610[[#This Row],[Category No]],Table8[Category No],Table8[Chapter List],FALSE)</f>
        <v>0</v>
      </c>
      <c r="D193" s="8"/>
      <c r="E193" s="31"/>
    </row>
    <row r="194" spans="1:5" x14ac:dyDescent="0.25">
      <c r="A194" s="8">
        <v>192</v>
      </c>
      <c r="B194" s="8"/>
      <c r="C194" s="8" t="b">
        <f>_xlfn.XLOOKUP(Table610[[#This Row],[Category No]],Table8[Category No],Table8[Chapter List],FALSE)</f>
        <v>0</v>
      </c>
      <c r="D194" s="8"/>
      <c r="E194" s="31"/>
    </row>
    <row r="195" spans="1:5" x14ac:dyDescent="0.25">
      <c r="A195" s="8">
        <v>193</v>
      </c>
      <c r="B195" s="8"/>
      <c r="C195" s="8" t="b">
        <f>_xlfn.XLOOKUP(Table610[[#This Row],[Category No]],Table8[Category No],Table8[Chapter List],FALSE)</f>
        <v>0</v>
      </c>
      <c r="D195" s="8"/>
      <c r="E195" s="31"/>
    </row>
    <row r="196" spans="1:5" x14ac:dyDescent="0.25">
      <c r="A196" s="8">
        <v>194</v>
      </c>
      <c r="B196" s="8"/>
      <c r="C196" s="8" t="b">
        <f>_xlfn.XLOOKUP(Table610[[#This Row],[Category No]],Table8[Category No],Table8[Chapter List],FALSE)</f>
        <v>0</v>
      </c>
      <c r="D196" s="8"/>
      <c r="E196" s="31"/>
    </row>
    <row r="197" spans="1:5" x14ac:dyDescent="0.25">
      <c r="A197" s="8">
        <v>195</v>
      </c>
      <c r="B197" s="8"/>
      <c r="C197" s="8" t="b">
        <f>_xlfn.XLOOKUP(Table610[[#This Row],[Category No]],Table8[Category No],Table8[Chapter List],FALSE)</f>
        <v>0</v>
      </c>
      <c r="D197" s="8"/>
      <c r="E197" s="31"/>
    </row>
    <row r="198" spans="1:5" x14ac:dyDescent="0.25">
      <c r="A198" s="8">
        <v>196</v>
      </c>
      <c r="B198" s="8"/>
      <c r="C198" s="8" t="b">
        <f>_xlfn.XLOOKUP(Table610[[#This Row],[Category No]],Table8[Category No],Table8[Chapter List],FALSE)</f>
        <v>0</v>
      </c>
      <c r="D198" s="8"/>
      <c r="E198" s="31"/>
    </row>
    <row r="199" spans="1:5" x14ac:dyDescent="0.25">
      <c r="A199" s="8">
        <v>197</v>
      </c>
      <c r="B199" s="8"/>
      <c r="C199" s="8" t="b">
        <f>_xlfn.XLOOKUP(Table610[[#This Row],[Category No]],Table8[Category No],Table8[Chapter List],FALSE)</f>
        <v>0</v>
      </c>
      <c r="D199" s="8"/>
      <c r="E199" s="31"/>
    </row>
    <row r="200" spans="1:5" x14ac:dyDescent="0.25">
      <c r="A200" s="8">
        <v>198</v>
      </c>
      <c r="B200" s="8"/>
      <c r="C200" s="8" t="b">
        <f>_xlfn.XLOOKUP(Table610[[#This Row],[Category No]],Table8[Category No],Table8[Chapter List],FALSE)</f>
        <v>0</v>
      </c>
      <c r="D200" s="8"/>
      <c r="E200" s="31"/>
    </row>
    <row r="201" spans="1:5" x14ac:dyDescent="0.25">
      <c r="A201" s="8">
        <v>199</v>
      </c>
      <c r="B201" s="8"/>
      <c r="C201" s="8" t="b">
        <f>_xlfn.XLOOKUP(Table610[[#This Row],[Category No]],Table8[Category No],Table8[Chapter List],FALSE)</f>
        <v>0</v>
      </c>
      <c r="D201" s="8"/>
      <c r="E201" s="31"/>
    </row>
    <row r="202" spans="1:5" x14ac:dyDescent="0.25">
      <c r="A202" s="8">
        <v>200</v>
      </c>
      <c r="B202" s="8"/>
      <c r="C202" s="8" t="b">
        <f>_xlfn.XLOOKUP(Table610[[#This Row],[Category No]],Table8[Category No],Table8[Chapter List],FALSE)</f>
        <v>0</v>
      </c>
      <c r="D202" s="8"/>
      <c r="E202" s="31"/>
    </row>
    <row r="203" spans="1:5" x14ac:dyDescent="0.25">
      <c r="A203" s="8">
        <v>201</v>
      </c>
      <c r="B203" s="8"/>
      <c r="C203" s="8" t="b">
        <f>_xlfn.XLOOKUP(Table610[[#This Row],[Category No]],Table8[Category No],Table8[Chapter List],FALSE)</f>
        <v>0</v>
      </c>
      <c r="D203" s="8"/>
      <c r="E203" s="31"/>
    </row>
    <row r="204" spans="1:5" x14ac:dyDescent="0.25">
      <c r="A204" s="8">
        <v>202</v>
      </c>
      <c r="B204" s="8"/>
      <c r="C204" s="8" t="b">
        <f>_xlfn.XLOOKUP(Table610[[#This Row],[Category No]],Table8[Category No],Table8[Chapter List],FALSE)</f>
        <v>0</v>
      </c>
      <c r="D204" s="8"/>
      <c r="E204" s="31"/>
    </row>
    <row r="205" spans="1:5" x14ac:dyDescent="0.25">
      <c r="A205" s="8">
        <v>203</v>
      </c>
      <c r="B205" s="8"/>
      <c r="C205" s="8" t="b">
        <f>_xlfn.XLOOKUP(Table610[[#This Row],[Category No]],Table8[Category No],Table8[Chapter List],FALSE)</f>
        <v>0</v>
      </c>
      <c r="D205" s="8"/>
      <c r="E205" s="31"/>
    </row>
    <row r="206" spans="1:5" x14ac:dyDescent="0.25">
      <c r="A206" s="8">
        <v>204</v>
      </c>
      <c r="B206" s="8"/>
      <c r="C206" s="8" t="b">
        <f>_xlfn.XLOOKUP(Table610[[#This Row],[Category No]],Table8[Category No],Table8[Chapter List],FALSE)</f>
        <v>0</v>
      </c>
      <c r="D206" s="8"/>
      <c r="E206" s="31"/>
    </row>
    <row r="207" spans="1:5" x14ac:dyDescent="0.25">
      <c r="A207" s="8">
        <v>205</v>
      </c>
      <c r="B207" s="8"/>
      <c r="C207" s="8" t="b">
        <f>_xlfn.XLOOKUP(Table610[[#This Row],[Category No]],Table8[Category No],Table8[Chapter List],FALSE)</f>
        <v>0</v>
      </c>
      <c r="D207" s="8"/>
      <c r="E207" s="31"/>
    </row>
    <row r="208" spans="1:5" x14ac:dyDescent="0.25">
      <c r="A208" s="8">
        <v>206</v>
      </c>
      <c r="B208" s="8"/>
      <c r="C208" s="8" t="b">
        <f>_xlfn.XLOOKUP(Table610[[#This Row],[Category No]],Table8[Category No],Table8[Chapter List],FALSE)</f>
        <v>0</v>
      </c>
      <c r="D208" s="8"/>
      <c r="E208" s="31"/>
    </row>
    <row r="209" spans="1:5" x14ac:dyDescent="0.25">
      <c r="A209" s="8">
        <v>207</v>
      </c>
      <c r="B209" s="8"/>
      <c r="C209" s="8" t="b">
        <f>_xlfn.XLOOKUP(Table610[[#This Row],[Category No]],Table8[Category No],Table8[Chapter List],FALSE)</f>
        <v>0</v>
      </c>
      <c r="D209" s="8"/>
      <c r="E209" s="31"/>
    </row>
    <row r="210" spans="1:5" x14ac:dyDescent="0.25">
      <c r="A210" s="8">
        <v>208</v>
      </c>
      <c r="B210" s="8"/>
      <c r="C210" s="8" t="b">
        <f>_xlfn.XLOOKUP(Table610[[#This Row],[Category No]],Table8[Category No],Table8[Chapter List],FALSE)</f>
        <v>0</v>
      </c>
      <c r="D210" s="8"/>
      <c r="E210" s="31"/>
    </row>
    <row r="211" spans="1:5" x14ac:dyDescent="0.25">
      <c r="A211" s="8">
        <v>209</v>
      </c>
      <c r="B211" s="8"/>
      <c r="C211" s="8" t="b">
        <f>_xlfn.XLOOKUP(Table610[[#This Row],[Category No]],Table8[Category No],Table8[Chapter List],FALSE)</f>
        <v>0</v>
      </c>
      <c r="D211" s="8"/>
      <c r="E211" s="31"/>
    </row>
    <row r="212" spans="1:5" x14ac:dyDescent="0.25">
      <c r="A212" s="8">
        <v>210</v>
      </c>
      <c r="B212" s="8"/>
      <c r="C212" s="8" t="b">
        <f>_xlfn.XLOOKUP(Table610[[#This Row],[Category No]],Table8[Category No],Table8[Chapter List],FALSE)</f>
        <v>0</v>
      </c>
      <c r="D212" s="8"/>
      <c r="E212" s="31"/>
    </row>
    <row r="213" spans="1:5" x14ac:dyDescent="0.25">
      <c r="A213" s="8">
        <v>211</v>
      </c>
      <c r="B213" s="8"/>
      <c r="C213" s="8" t="b">
        <f>_xlfn.XLOOKUP(Table610[[#This Row],[Category No]],Table8[Category No],Table8[Chapter List],FALSE)</f>
        <v>0</v>
      </c>
      <c r="D213" s="8"/>
      <c r="E213" s="31"/>
    </row>
    <row r="214" spans="1:5" x14ac:dyDescent="0.25">
      <c r="A214" s="8">
        <v>212</v>
      </c>
      <c r="B214" s="8"/>
      <c r="C214" s="8" t="b">
        <f>_xlfn.XLOOKUP(Table610[[#This Row],[Category No]],Table8[Category No],Table8[Chapter List],FALSE)</f>
        <v>0</v>
      </c>
      <c r="D214" s="8"/>
      <c r="E214" s="31"/>
    </row>
    <row r="215" spans="1:5" x14ac:dyDescent="0.25">
      <c r="A215" s="8">
        <v>213</v>
      </c>
      <c r="B215" s="8"/>
      <c r="C215" s="8" t="b">
        <f>_xlfn.XLOOKUP(Table610[[#This Row],[Category No]],Table8[Category No],Table8[Chapter List],FALSE)</f>
        <v>0</v>
      </c>
      <c r="D215" s="8"/>
      <c r="E215" s="31"/>
    </row>
    <row r="216" spans="1:5" x14ac:dyDescent="0.25">
      <c r="A216" s="8">
        <v>214</v>
      </c>
      <c r="B216" s="8"/>
      <c r="C216" s="8" t="b">
        <f>_xlfn.XLOOKUP(Table610[[#This Row],[Category No]],Table8[Category No],Table8[Chapter List],FALSE)</f>
        <v>0</v>
      </c>
      <c r="D216" s="8"/>
      <c r="E216" s="31"/>
    </row>
    <row r="217" spans="1:5" x14ac:dyDescent="0.25">
      <c r="A217" s="8">
        <v>215</v>
      </c>
      <c r="B217" s="8"/>
      <c r="C217" s="8" t="b">
        <f>_xlfn.XLOOKUP(Table610[[#This Row],[Category No]],Table8[Category No],Table8[Chapter List],FALSE)</f>
        <v>0</v>
      </c>
      <c r="D217" s="8"/>
      <c r="E217" s="31"/>
    </row>
    <row r="218" spans="1:5" x14ac:dyDescent="0.25">
      <c r="A218" s="8">
        <v>216</v>
      </c>
      <c r="B218" s="8"/>
      <c r="C218" s="8" t="b">
        <f>_xlfn.XLOOKUP(Table610[[#This Row],[Category No]],Table8[Category No],Table8[Chapter List],FALSE)</f>
        <v>0</v>
      </c>
      <c r="D218" s="8"/>
      <c r="E218" s="31"/>
    </row>
    <row r="219" spans="1:5" x14ac:dyDescent="0.25">
      <c r="A219" s="8">
        <v>217</v>
      </c>
      <c r="B219" s="8"/>
      <c r="C219" s="8" t="b">
        <f>_xlfn.XLOOKUP(Table610[[#This Row],[Category No]],Table8[Category No],Table8[Chapter List],FALSE)</f>
        <v>0</v>
      </c>
      <c r="D219" s="8"/>
      <c r="E219" s="31"/>
    </row>
    <row r="220" spans="1:5" x14ac:dyDescent="0.25">
      <c r="A220" s="8">
        <v>218</v>
      </c>
      <c r="B220" s="8"/>
      <c r="C220" s="8" t="b">
        <f>_xlfn.XLOOKUP(Table610[[#This Row],[Category No]],Table8[Category No],Table8[Chapter List],FALSE)</f>
        <v>0</v>
      </c>
      <c r="D220" s="8"/>
      <c r="E220" s="31"/>
    </row>
    <row r="221" spans="1:5" x14ac:dyDescent="0.25">
      <c r="A221" s="8">
        <v>219</v>
      </c>
      <c r="B221" s="8"/>
      <c r="C221" s="8" t="b">
        <f>_xlfn.XLOOKUP(Table610[[#This Row],[Category No]],Table8[Category No],Table8[Chapter List],FALSE)</f>
        <v>0</v>
      </c>
      <c r="D221" s="8"/>
      <c r="E221" s="31"/>
    </row>
    <row r="222" spans="1:5" x14ac:dyDescent="0.25">
      <c r="A222" s="8">
        <v>220</v>
      </c>
      <c r="B222" s="8"/>
      <c r="C222" s="8" t="b">
        <f>_xlfn.XLOOKUP(Table610[[#This Row],[Category No]],Table8[Category No],Table8[Chapter List],FALSE)</f>
        <v>0</v>
      </c>
      <c r="D222" s="8"/>
      <c r="E222" s="31"/>
    </row>
    <row r="223" spans="1:5" x14ac:dyDescent="0.25">
      <c r="A223" s="8">
        <v>221</v>
      </c>
      <c r="B223" s="8"/>
      <c r="C223" s="8" t="b">
        <f>_xlfn.XLOOKUP(Table610[[#This Row],[Category No]],Table8[Category No],Table8[Chapter List],FALSE)</f>
        <v>0</v>
      </c>
      <c r="D223" s="8"/>
      <c r="E223" s="31"/>
    </row>
    <row r="224" spans="1:5" x14ac:dyDescent="0.25">
      <c r="A224" s="8">
        <v>222</v>
      </c>
      <c r="B224" s="8"/>
      <c r="C224" s="8" t="b">
        <f>_xlfn.XLOOKUP(Table610[[#This Row],[Category No]],Table8[Category No],Table8[Chapter List],FALSE)</f>
        <v>0</v>
      </c>
      <c r="D224" s="8"/>
      <c r="E224" s="31"/>
    </row>
    <row r="225" spans="1:5" x14ac:dyDescent="0.25">
      <c r="A225" s="8">
        <v>223</v>
      </c>
      <c r="B225" s="8"/>
      <c r="C225" s="8" t="b">
        <f>_xlfn.XLOOKUP(Table610[[#This Row],[Category No]],Table8[Category No],Table8[Chapter List],FALSE)</f>
        <v>0</v>
      </c>
      <c r="D225" s="8"/>
      <c r="E225" s="31"/>
    </row>
    <row r="226" spans="1:5" x14ac:dyDescent="0.25">
      <c r="A226" s="8">
        <v>224</v>
      </c>
      <c r="B226" s="8"/>
      <c r="C226" s="8" t="b">
        <f>_xlfn.XLOOKUP(Table610[[#This Row],[Category No]],Table8[Category No],Table8[Chapter List],FALSE)</f>
        <v>0</v>
      </c>
      <c r="D226" s="8"/>
      <c r="E226" s="31"/>
    </row>
    <row r="227" spans="1:5" x14ac:dyDescent="0.25">
      <c r="A227" s="8">
        <v>225</v>
      </c>
      <c r="B227" s="8"/>
      <c r="C227" s="8" t="b">
        <f>_xlfn.XLOOKUP(Table610[[#This Row],[Category No]],Table8[Category No],Table8[Chapter List],FALSE)</f>
        <v>0</v>
      </c>
      <c r="D227" s="8"/>
      <c r="E227" s="31"/>
    </row>
    <row r="228" spans="1:5" x14ac:dyDescent="0.25">
      <c r="A228" s="8">
        <v>226</v>
      </c>
      <c r="B228" s="8"/>
      <c r="C228" s="8" t="b">
        <f>_xlfn.XLOOKUP(Table610[[#This Row],[Category No]],Table8[Category No],Table8[Chapter List],FALSE)</f>
        <v>0</v>
      </c>
      <c r="D228" s="8"/>
      <c r="E228" s="31"/>
    </row>
    <row r="229" spans="1:5" x14ac:dyDescent="0.25">
      <c r="A229" s="8">
        <v>227</v>
      </c>
      <c r="B229" s="8"/>
      <c r="C229" s="8" t="b">
        <f>_xlfn.XLOOKUP(Table610[[#This Row],[Category No]],Table8[Category No],Table8[Chapter List],FALSE)</f>
        <v>0</v>
      </c>
      <c r="D229" s="8"/>
      <c r="E229" s="31"/>
    </row>
    <row r="230" spans="1:5" x14ac:dyDescent="0.25">
      <c r="A230" s="8">
        <v>228</v>
      </c>
      <c r="B230" s="8"/>
      <c r="C230" s="8" t="b">
        <f>_xlfn.XLOOKUP(Table610[[#This Row],[Category No]],Table8[Category No],Table8[Chapter List],FALSE)</f>
        <v>0</v>
      </c>
      <c r="D230" s="8"/>
      <c r="E230" s="31"/>
    </row>
    <row r="231" spans="1:5" x14ac:dyDescent="0.25">
      <c r="A231" s="8">
        <v>229</v>
      </c>
      <c r="B231" s="8"/>
      <c r="C231" s="8" t="b">
        <f>_xlfn.XLOOKUP(Table610[[#This Row],[Category No]],Table8[Category No],Table8[Chapter List],FALSE)</f>
        <v>0</v>
      </c>
      <c r="D231" s="8"/>
      <c r="E231" s="31"/>
    </row>
    <row r="232" spans="1:5" x14ac:dyDescent="0.25">
      <c r="A232" s="8">
        <v>230</v>
      </c>
      <c r="B232" s="8"/>
      <c r="C232" s="8" t="b">
        <f>_xlfn.XLOOKUP(Table610[[#This Row],[Category No]],Table8[Category No],Table8[Chapter List],FALSE)</f>
        <v>0</v>
      </c>
      <c r="D232" s="8"/>
      <c r="E232" s="31"/>
    </row>
    <row r="233" spans="1:5" x14ac:dyDescent="0.25">
      <c r="A233" s="8">
        <v>231</v>
      </c>
      <c r="B233" s="8"/>
      <c r="C233" s="8" t="b">
        <f>_xlfn.XLOOKUP(Table610[[#This Row],[Category No]],Table8[Category No],Table8[Chapter List],FALSE)</f>
        <v>0</v>
      </c>
      <c r="D233" s="8"/>
      <c r="E233" s="31"/>
    </row>
    <row r="234" spans="1:5" x14ac:dyDescent="0.25">
      <c r="A234" s="8">
        <v>232</v>
      </c>
      <c r="B234" s="8"/>
      <c r="C234" s="8" t="b">
        <f>_xlfn.XLOOKUP(Table610[[#This Row],[Category No]],Table8[Category No],Table8[Chapter List],FALSE)</f>
        <v>0</v>
      </c>
      <c r="D234" s="8"/>
      <c r="E234" s="31"/>
    </row>
    <row r="235" spans="1:5" x14ac:dyDescent="0.25">
      <c r="A235" s="8">
        <v>233</v>
      </c>
      <c r="B235" s="8"/>
      <c r="C235" s="8" t="b">
        <f>_xlfn.XLOOKUP(Table610[[#This Row],[Category No]],Table8[Category No],Table8[Chapter List],FALSE)</f>
        <v>0</v>
      </c>
      <c r="D235" s="8"/>
      <c r="E235" s="31"/>
    </row>
    <row r="236" spans="1:5" x14ac:dyDescent="0.25">
      <c r="A236" s="8">
        <v>234</v>
      </c>
      <c r="B236" s="8"/>
      <c r="C236" s="8" t="b">
        <f>_xlfn.XLOOKUP(Table610[[#This Row],[Category No]],Table8[Category No],Table8[Chapter List],FALSE)</f>
        <v>0</v>
      </c>
      <c r="D236" s="8"/>
      <c r="E236" s="31"/>
    </row>
    <row r="237" spans="1:5" x14ac:dyDescent="0.25">
      <c r="A237" s="8">
        <v>235</v>
      </c>
      <c r="B237" s="8"/>
      <c r="C237" s="8" t="b">
        <f>_xlfn.XLOOKUP(Table610[[#This Row],[Category No]],Table8[Category No],Table8[Chapter List],FALSE)</f>
        <v>0</v>
      </c>
      <c r="D237" s="8"/>
      <c r="E237" s="31"/>
    </row>
    <row r="238" spans="1:5" x14ac:dyDescent="0.25">
      <c r="A238" s="8">
        <v>236</v>
      </c>
      <c r="B238" s="8"/>
      <c r="C238" s="8" t="b">
        <f>_xlfn.XLOOKUP(Table610[[#This Row],[Category No]],Table8[Category No],Table8[Chapter List],FALSE)</f>
        <v>0</v>
      </c>
      <c r="D238" s="8"/>
      <c r="E238" s="31"/>
    </row>
    <row r="239" spans="1:5" x14ac:dyDescent="0.25">
      <c r="A239" s="8">
        <v>237</v>
      </c>
      <c r="B239" s="8"/>
      <c r="C239" s="8" t="b">
        <f>_xlfn.XLOOKUP(Table610[[#This Row],[Category No]],Table8[Category No],Table8[Chapter List],FALSE)</f>
        <v>0</v>
      </c>
      <c r="D239" s="8"/>
      <c r="E239" s="31"/>
    </row>
    <row r="240" spans="1:5" x14ac:dyDescent="0.25">
      <c r="A240" s="8">
        <v>238</v>
      </c>
      <c r="B240" s="8"/>
      <c r="C240" s="8" t="b">
        <f>_xlfn.XLOOKUP(Table610[[#This Row],[Category No]],Table8[Category No],Table8[Chapter List],FALSE)</f>
        <v>0</v>
      </c>
      <c r="D240" s="8"/>
      <c r="E240" s="31"/>
    </row>
    <row r="241" spans="1:5" x14ac:dyDescent="0.25">
      <c r="A241" s="8">
        <v>239</v>
      </c>
      <c r="B241" s="8"/>
      <c r="C241" s="8" t="b">
        <f>_xlfn.XLOOKUP(Table610[[#This Row],[Category No]],Table8[Category No],Table8[Chapter List],FALSE)</f>
        <v>0</v>
      </c>
      <c r="D241" s="8"/>
      <c r="E241" s="31"/>
    </row>
    <row r="242" spans="1:5" x14ac:dyDescent="0.25">
      <c r="A242" s="8">
        <v>240</v>
      </c>
      <c r="B242" s="8"/>
      <c r="C242" s="8" t="b">
        <f>_xlfn.XLOOKUP(Table610[[#This Row],[Category No]],Table8[Category No],Table8[Chapter List],FALSE)</f>
        <v>0</v>
      </c>
      <c r="D242" s="8"/>
      <c r="E242" s="31"/>
    </row>
    <row r="243" spans="1:5" x14ac:dyDescent="0.25">
      <c r="A243" s="8">
        <v>241</v>
      </c>
      <c r="B243" s="8"/>
      <c r="C243" s="8" t="b">
        <f>_xlfn.XLOOKUP(Table610[[#This Row],[Category No]],Table8[Category No],Table8[Chapter List],FALSE)</f>
        <v>0</v>
      </c>
      <c r="D243" s="8"/>
      <c r="E243" s="31"/>
    </row>
    <row r="244" spans="1:5" x14ac:dyDescent="0.25">
      <c r="A244" s="8">
        <v>242</v>
      </c>
      <c r="B244" s="8"/>
      <c r="C244" s="8" t="b">
        <f>_xlfn.XLOOKUP(Table610[[#This Row],[Category No]],Table8[Category No],Table8[Chapter List],FALSE)</f>
        <v>0</v>
      </c>
      <c r="D244" s="8"/>
      <c r="E244" s="31"/>
    </row>
    <row r="245" spans="1:5" x14ac:dyDescent="0.25">
      <c r="A245" s="8">
        <v>243</v>
      </c>
      <c r="B245" s="8"/>
      <c r="C245" s="8" t="b">
        <f>_xlfn.XLOOKUP(Table610[[#This Row],[Category No]],Table8[Category No],Table8[Chapter List],FALSE)</f>
        <v>0</v>
      </c>
      <c r="D245" s="8"/>
      <c r="E245" s="31"/>
    </row>
    <row r="246" spans="1:5" x14ac:dyDescent="0.25">
      <c r="A246" s="8">
        <v>244</v>
      </c>
      <c r="B246" s="8"/>
      <c r="C246" s="8" t="b">
        <f>_xlfn.XLOOKUP(Table610[[#This Row],[Category No]],Table8[Category No],Table8[Chapter List],FALSE)</f>
        <v>0</v>
      </c>
      <c r="D246" s="8"/>
      <c r="E246" s="31"/>
    </row>
    <row r="247" spans="1:5" x14ac:dyDescent="0.25">
      <c r="A247" s="8">
        <v>245</v>
      </c>
      <c r="B247" s="8"/>
      <c r="C247" s="8" t="b">
        <f>_xlfn.XLOOKUP(Table610[[#This Row],[Category No]],Table8[Category No],Table8[Chapter List],FALSE)</f>
        <v>0</v>
      </c>
      <c r="D247" s="8"/>
      <c r="E247" s="31"/>
    </row>
    <row r="248" spans="1:5" x14ac:dyDescent="0.25">
      <c r="A248" s="8">
        <v>246</v>
      </c>
      <c r="B248" s="8"/>
      <c r="C248" s="8" t="b">
        <f>_xlfn.XLOOKUP(Table610[[#This Row],[Category No]],Table8[Category No],Table8[Chapter List],FALSE)</f>
        <v>0</v>
      </c>
      <c r="D248" s="8"/>
      <c r="E248" s="31"/>
    </row>
    <row r="249" spans="1:5" x14ac:dyDescent="0.25">
      <c r="A249" s="8">
        <v>247</v>
      </c>
      <c r="B249" s="8"/>
      <c r="C249" s="8" t="b">
        <f>_xlfn.XLOOKUP(Table610[[#This Row],[Category No]],Table8[Category No],Table8[Chapter List],FALSE)</f>
        <v>0</v>
      </c>
      <c r="D249" s="8"/>
      <c r="E249" s="31"/>
    </row>
    <row r="250" spans="1:5" x14ac:dyDescent="0.25">
      <c r="A250" s="8">
        <v>248</v>
      </c>
      <c r="B250" s="8"/>
      <c r="C250" s="8" t="b">
        <f>_xlfn.XLOOKUP(Table610[[#This Row],[Category No]],Table8[Category No],Table8[Chapter List],FALSE)</f>
        <v>0</v>
      </c>
      <c r="D250" s="8"/>
      <c r="E250" s="31"/>
    </row>
    <row r="251" spans="1:5" x14ac:dyDescent="0.25">
      <c r="A251" s="8">
        <v>249</v>
      </c>
      <c r="B251" s="8"/>
      <c r="C251" s="8" t="b">
        <f>_xlfn.XLOOKUP(Table610[[#This Row],[Category No]],Table8[Category No],Table8[Chapter List],FALSE)</f>
        <v>0</v>
      </c>
      <c r="D251" s="8"/>
      <c r="E251" s="31"/>
    </row>
    <row r="252" spans="1:5" x14ac:dyDescent="0.25">
      <c r="A252" s="8">
        <v>250</v>
      </c>
      <c r="B252" s="8"/>
      <c r="C252" s="8" t="b">
        <f>_xlfn.XLOOKUP(Table610[[#This Row],[Category No]],Table8[Category No],Table8[Chapter List],FALSE)</f>
        <v>0</v>
      </c>
      <c r="D252" s="8"/>
      <c r="E252" s="31"/>
    </row>
    <row r="253" spans="1:5" x14ac:dyDescent="0.25">
      <c r="A253" s="8">
        <v>251</v>
      </c>
      <c r="B253" s="8"/>
      <c r="C253" s="8" t="b">
        <f>_xlfn.XLOOKUP(Table610[[#This Row],[Category No]],Table8[Category No],Table8[Chapter List],FALSE)</f>
        <v>0</v>
      </c>
      <c r="D253" s="8"/>
      <c r="E253" s="31"/>
    </row>
    <row r="254" spans="1:5" x14ac:dyDescent="0.25">
      <c r="A254" s="8">
        <v>252</v>
      </c>
      <c r="B254" s="8"/>
      <c r="C254" s="8" t="b">
        <f>_xlfn.XLOOKUP(Table610[[#This Row],[Category No]],Table8[Category No],Table8[Chapter List],FALSE)</f>
        <v>0</v>
      </c>
      <c r="D254" s="8"/>
      <c r="E254" s="31"/>
    </row>
    <row r="255" spans="1:5" x14ac:dyDescent="0.25">
      <c r="A255" s="8">
        <v>253</v>
      </c>
      <c r="B255" s="8"/>
      <c r="C255" s="8" t="b">
        <f>_xlfn.XLOOKUP(Table610[[#This Row],[Category No]],Table8[Category No],Table8[Chapter List],FALSE)</f>
        <v>0</v>
      </c>
      <c r="D255" s="8"/>
      <c r="E255" s="31"/>
    </row>
    <row r="256" spans="1:5" x14ac:dyDescent="0.25">
      <c r="A256" s="8">
        <v>254</v>
      </c>
      <c r="B256" s="8"/>
      <c r="C256" s="8" t="b">
        <f>_xlfn.XLOOKUP(Table610[[#This Row],[Category No]],Table8[Category No],Table8[Chapter List],FALSE)</f>
        <v>0</v>
      </c>
      <c r="D256" s="8"/>
      <c r="E256" s="31"/>
    </row>
    <row r="257" spans="1:5" x14ac:dyDescent="0.25">
      <c r="A257" s="8">
        <v>255</v>
      </c>
      <c r="B257" s="8"/>
      <c r="C257" s="8" t="b">
        <f>_xlfn.XLOOKUP(Table610[[#This Row],[Category No]],Table8[Category No],Table8[Chapter List],FALSE)</f>
        <v>0</v>
      </c>
      <c r="D257" s="8"/>
      <c r="E257" s="31"/>
    </row>
    <row r="258" spans="1:5" x14ac:dyDescent="0.25">
      <c r="A258" s="8">
        <v>256</v>
      </c>
      <c r="B258" s="8"/>
      <c r="C258" s="8" t="b">
        <f>_xlfn.XLOOKUP(Table610[[#This Row],[Category No]],Table8[Category No],Table8[Chapter List],FALSE)</f>
        <v>0</v>
      </c>
      <c r="D258" s="8"/>
      <c r="E258" s="31"/>
    </row>
    <row r="259" spans="1:5" x14ac:dyDescent="0.25">
      <c r="A259" s="8">
        <v>257</v>
      </c>
      <c r="B259" s="8"/>
      <c r="C259" s="8" t="b">
        <f>_xlfn.XLOOKUP(Table610[[#This Row],[Category No]],Table8[Category No],Table8[Chapter List],FALSE)</f>
        <v>0</v>
      </c>
      <c r="D259" s="8"/>
      <c r="E259" s="31"/>
    </row>
    <row r="260" spans="1:5" x14ac:dyDescent="0.25">
      <c r="A260" s="8">
        <v>258</v>
      </c>
      <c r="B260" s="8"/>
      <c r="C260" s="8" t="b">
        <f>_xlfn.XLOOKUP(Table610[[#This Row],[Category No]],Table8[Category No],Table8[Chapter List],FALSE)</f>
        <v>0</v>
      </c>
      <c r="D260" s="8"/>
      <c r="E260" s="31"/>
    </row>
    <row r="261" spans="1:5" x14ac:dyDescent="0.25">
      <c r="A261" s="8">
        <v>259</v>
      </c>
      <c r="B261" s="8"/>
      <c r="C261" s="8" t="b">
        <f>_xlfn.XLOOKUP(Table610[[#This Row],[Category No]],Table8[Category No],Table8[Chapter List],FALSE)</f>
        <v>0</v>
      </c>
      <c r="D261" s="8"/>
      <c r="E261" s="31"/>
    </row>
    <row r="262" spans="1:5" x14ac:dyDescent="0.25">
      <c r="A262" s="8">
        <v>260</v>
      </c>
      <c r="B262" s="8"/>
      <c r="C262" s="8" t="b">
        <f>_xlfn.XLOOKUP(Table610[[#This Row],[Category No]],Table8[Category No],Table8[Chapter List],FALSE)</f>
        <v>0</v>
      </c>
      <c r="D262" s="8"/>
      <c r="E262" s="31"/>
    </row>
    <row r="263" spans="1:5" x14ac:dyDescent="0.25">
      <c r="A263" s="8">
        <v>261</v>
      </c>
      <c r="B263" s="8"/>
      <c r="C263" s="8" t="b">
        <f>_xlfn.XLOOKUP(Table610[[#This Row],[Category No]],Table8[Category No],Table8[Chapter List],FALSE)</f>
        <v>0</v>
      </c>
      <c r="D263" s="8"/>
      <c r="E263" s="31"/>
    </row>
    <row r="264" spans="1:5" x14ac:dyDescent="0.25">
      <c r="A264" s="8">
        <v>262</v>
      </c>
      <c r="B264" s="8"/>
      <c r="C264" s="8" t="b">
        <f>_xlfn.XLOOKUP(Table610[[#This Row],[Category No]],Table8[Category No],Table8[Chapter List],FALSE)</f>
        <v>0</v>
      </c>
      <c r="D264" s="8"/>
      <c r="E264" s="31"/>
    </row>
    <row r="265" spans="1:5" x14ac:dyDescent="0.25">
      <c r="A265" s="8">
        <v>263</v>
      </c>
      <c r="B265" s="8"/>
      <c r="C265" s="8" t="b">
        <f>_xlfn.XLOOKUP(Table610[[#This Row],[Category No]],Table8[Category No],Table8[Chapter List],FALSE)</f>
        <v>0</v>
      </c>
      <c r="D265" s="8"/>
      <c r="E265" s="31"/>
    </row>
    <row r="266" spans="1:5" x14ac:dyDescent="0.25">
      <c r="A266" s="8">
        <v>264</v>
      </c>
      <c r="B266" s="8"/>
      <c r="C266" s="8" t="b">
        <f>_xlfn.XLOOKUP(Table610[[#This Row],[Category No]],Table8[Category No],Table8[Chapter List],FALSE)</f>
        <v>0</v>
      </c>
      <c r="D266" s="8"/>
      <c r="E266" s="31"/>
    </row>
    <row r="267" spans="1:5" x14ac:dyDescent="0.25">
      <c r="A267" s="8">
        <v>265</v>
      </c>
      <c r="B267" s="8"/>
      <c r="C267" s="8" t="b">
        <f>_xlfn.XLOOKUP(Table610[[#This Row],[Category No]],Table8[Category No],Table8[Chapter List],FALSE)</f>
        <v>0</v>
      </c>
      <c r="D267" s="8"/>
      <c r="E267" s="31"/>
    </row>
    <row r="268" spans="1:5" x14ac:dyDescent="0.25">
      <c r="A268" s="8">
        <v>266</v>
      </c>
      <c r="B268" s="8"/>
      <c r="C268" s="8" t="b">
        <f>_xlfn.XLOOKUP(Table610[[#This Row],[Category No]],Table8[Category No],Table8[Chapter List],FALSE)</f>
        <v>0</v>
      </c>
      <c r="D268" s="8"/>
      <c r="E268" s="31"/>
    </row>
    <row r="269" spans="1:5" x14ac:dyDescent="0.25">
      <c r="A269" s="8">
        <v>267</v>
      </c>
      <c r="B269" s="8"/>
      <c r="C269" s="8" t="b">
        <f>_xlfn.XLOOKUP(Table610[[#This Row],[Category No]],Table8[Category No],Table8[Chapter List],FALSE)</f>
        <v>0</v>
      </c>
      <c r="D269" s="8"/>
      <c r="E269" s="31"/>
    </row>
    <row r="270" spans="1:5" x14ac:dyDescent="0.25">
      <c r="A270" s="8">
        <v>268</v>
      </c>
      <c r="B270" s="8"/>
      <c r="C270" s="8" t="b">
        <f>_xlfn.XLOOKUP(Table610[[#This Row],[Category No]],Table8[Category No],Table8[Chapter List],FALSE)</f>
        <v>0</v>
      </c>
      <c r="D270" s="8"/>
      <c r="E270" s="31"/>
    </row>
    <row r="271" spans="1:5" x14ac:dyDescent="0.25">
      <c r="A271" s="8">
        <v>269</v>
      </c>
      <c r="B271" s="8"/>
      <c r="C271" s="8" t="b">
        <f>_xlfn.XLOOKUP(Table610[[#This Row],[Category No]],Table8[Category No],Table8[Chapter List],FALSE)</f>
        <v>0</v>
      </c>
      <c r="D271" s="8"/>
      <c r="E271" s="31"/>
    </row>
    <row r="272" spans="1:5" x14ac:dyDescent="0.25">
      <c r="A272" s="8">
        <v>270</v>
      </c>
      <c r="B272" s="8"/>
      <c r="C272" s="8" t="b">
        <f>_xlfn.XLOOKUP(Table610[[#This Row],[Category No]],Table8[Category No],Table8[Chapter List],FALSE)</f>
        <v>0</v>
      </c>
      <c r="D272" s="8"/>
      <c r="E272" s="31"/>
    </row>
    <row r="273" spans="1:5" x14ac:dyDescent="0.25">
      <c r="A273" s="8">
        <v>271</v>
      </c>
      <c r="B273" s="8"/>
      <c r="C273" s="8" t="b">
        <f>_xlfn.XLOOKUP(Table610[[#This Row],[Category No]],Table8[Category No],Table8[Chapter List],FALSE)</f>
        <v>0</v>
      </c>
      <c r="D273" s="8"/>
      <c r="E273" s="31"/>
    </row>
    <row r="274" spans="1:5" x14ac:dyDescent="0.25">
      <c r="A274" s="8">
        <v>272</v>
      </c>
      <c r="B274" s="8"/>
      <c r="C274" s="8" t="b">
        <f>_xlfn.XLOOKUP(Table610[[#This Row],[Category No]],Table8[Category No],Table8[Chapter List],FALSE)</f>
        <v>0</v>
      </c>
      <c r="D274" s="8"/>
      <c r="E274" s="31"/>
    </row>
    <row r="275" spans="1:5" x14ac:dyDescent="0.25">
      <c r="A275" s="8">
        <v>273</v>
      </c>
      <c r="B275" s="8"/>
      <c r="C275" s="8" t="b">
        <f>_xlfn.XLOOKUP(Table610[[#This Row],[Category No]],Table8[Category No],Table8[Chapter List],FALSE)</f>
        <v>0</v>
      </c>
      <c r="D275" s="8"/>
      <c r="E275" s="31"/>
    </row>
    <row r="276" spans="1:5" x14ac:dyDescent="0.25">
      <c r="A276" s="8">
        <v>274</v>
      </c>
      <c r="B276" s="8"/>
      <c r="C276" s="8" t="b">
        <f>_xlfn.XLOOKUP(Table610[[#This Row],[Category No]],Table8[Category No],Table8[Chapter List],FALSE)</f>
        <v>0</v>
      </c>
      <c r="D276" s="8"/>
      <c r="E276" s="31"/>
    </row>
    <row r="277" spans="1:5" x14ac:dyDescent="0.25">
      <c r="A277" s="8">
        <v>275</v>
      </c>
      <c r="B277" s="8"/>
      <c r="C277" s="8" t="b">
        <f>_xlfn.XLOOKUP(Table610[[#This Row],[Category No]],Table8[Category No],Table8[Chapter List],FALSE)</f>
        <v>0</v>
      </c>
      <c r="D277" s="8"/>
      <c r="E277" s="31"/>
    </row>
    <row r="278" spans="1:5" x14ac:dyDescent="0.25">
      <c r="A278" s="8">
        <v>276</v>
      </c>
      <c r="B278" s="8"/>
      <c r="C278" s="8" t="b">
        <f>_xlfn.XLOOKUP(Table610[[#This Row],[Category No]],Table8[Category No],Table8[Chapter List],FALSE)</f>
        <v>0</v>
      </c>
      <c r="D278" s="8"/>
      <c r="E278" s="31"/>
    </row>
    <row r="279" spans="1:5" x14ac:dyDescent="0.25">
      <c r="A279" s="8">
        <v>277</v>
      </c>
      <c r="B279" s="8"/>
      <c r="C279" s="8" t="b">
        <f>_xlfn.XLOOKUP(Table610[[#This Row],[Category No]],Table8[Category No],Table8[Chapter List],FALSE)</f>
        <v>0</v>
      </c>
      <c r="D279" s="8"/>
      <c r="E279" s="31"/>
    </row>
    <row r="280" spans="1:5" x14ac:dyDescent="0.25">
      <c r="A280" s="8">
        <v>278</v>
      </c>
      <c r="B280" s="8"/>
      <c r="C280" s="8" t="b">
        <f>_xlfn.XLOOKUP(Table610[[#This Row],[Category No]],Table8[Category No],Table8[Chapter List],FALSE)</f>
        <v>0</v>
      </c>
      <c r="D280" s="8"/>
      <c r="E280" s="31"/>
    </row>
    <row r="281" spans="1:5" x14ac:dyDescent="0.25">
      <c r="A281" s="8">
        <v>279</v>
      </c>
      <c r="B281" s="8"/>
      <c r="C281" s="8" t="b">
        <f>_xlfn.XLOOKUP(Table610[[#This Row],[Category No]],Table8[Category No],Table8[Chapter List],FALSE)</f>
        <v>0</v>
      </c>
      <c r="D281" s="8"/>
      <c r="E281" s="31"/>
    </row>
    <row r="282" spans="1:5" x14ac:dyDescent="0.25">
      <c r="A282" s="8">
        <v>280</v>
      </c>
      <c r="B282" s="8"/>
      <c r="C282" s="8" t="b">
        <f>_xlfn.XLOOKUP(Table610[[#This Row],[Category No]],Table8[Category No],Table8[Chapter List],FALSE)</f>
        <v>0</v>
      </c>
      <c r="D282" s="8"/>
      <c r="E282" s="31"/>
    </row>
    <row r="283" spans="1:5" x14ac:dyDescent="0.25">
      <c r="A283" s="8">
        <v>281</v>
      </c>
      <c r="B283" s="8"/>
      <c r="C283" s="8" t="b">
        <f>_xlfn.XLOOKUP(Table610[[#This Row],[Category No]],Table8[Category No],Table8[Chapter List],FALSE)</f>
        <v>0</v>
      </c>
      <c r="D283" s="8"/>
      <c r="E283" s="31"/>
    </row>
    <row r="284" spans="1:5" x14ac:dyDescent="0.25">
      <c r="A284" s="8">
        <v>282</v>
      </c>
      <c r="B284" s="8"/>
      <c r="C284" s="8" t="b">
        <f>_xlfn.XLOOKUP(Table610[[#This Row],[Category No]],Table8[Category No],Table8[Chapter List],FALSE)</f>
        <v>0</v>
      </c>
      <c r="D284" s="8"/>
      <c r="E284" s="31"/>
    </row>
    <row r="285" spans="1:5" x14ac:dyDescent="0.25">
      <c r="A285" s="8">
        <v>283</v>
      </c>
      <c r="B285" s="8"/>
      <c r="C285" s="8" t="b">
        <f>_xlfn.XLOOKUP(Table610[[#This Row],[Category No]],Table8[Category No],Table8[Chapter List],FALSE)</f>
        <v>0</v>
      </c>
      <c r="D285" s="8"/>
      <c r="E285" s="31"/>
    </row>
    <row r="286" spans="1:5" x14ac:dyDescent="0.25">
      <c r="A286" s="8">
        <v>284</v>
      </c>
      <c r="B286" s="8"/>
      <c r="C286" s="8" t="b">
        <f>_xlfn.XLOOKUP(Table610[[#This Row],[Category No]],Table8[Category No],Table8[Chapter List],FALSE)</f>
        <v>0</v>
      </c>
      <c r="D286" s="8"/>
      <c r="E286" s="31"/>
    </row>
    <row r="287" spans="1:5" x14ac:dyDescent="0.25">
      <c r="A287" s="8">
        <v>285</v>
      </c>
      <c r="B287" s="8"/>
      <c r="C287" s="8" t="b">
        <f>_xlfn.XLOOKUP(Table610[[#This Row],[Category No]],Table8[Category No],Table8[Chapter List],FALSE)</f>
        <v>0</v>
      </c>
      <c r="D287" s="8"/>
      <c r="E287" s="31"/>
    </row>
    <row r="288" spans="1:5" x14ac:dyDescent="0.25">
      <c r="A288" s="8">
        <v>286</v>
      </c>
      <c r="B288" s="8"/>
      <c r="C288" s="8" t="b">
        <f>_xlfn.XLOOKUP(Table610[[#This Row],[Category No]],Table8[Category No],Table8[Chapter List],FALSE)</f>
        <v>0</v>
      </c>
      <c r="D288" s="8"/>
      <c r="E288" s="31"/>
    </row>
    <row r="289" spans="1:5" x14ac:dyDescent="0.25">
      <c r="A289" s="8">
        <v>287</v>
      </c>
      <c r="B289" s="8"/>
      <c r="C289" s="8" t="b">
        <f>_xlfn.XLOOKUP(Table610[[#This Row],[Category No]],Table8[Category No],Table8[Chapter List],FALSE)</f>
        <v>0</v>
      </c>
      <c r="D289" s="8"/>
      <c r="E289" s="31"/>
    </row>
    <row r="290" spans="1:5" x14ac:dyDescent="0.25">
      <c r="A290" s="8">
        <v>288</v>
      </c>
      <c r="B290" s="8"/>
      <c r="C290" s="8" t="b">
        <f>_xlfn.XLOOKUP(Table610[[#This Row],[Category No]],Table8[Category No],Table8[Chapter List],FALSE)</f>
        <v>0</v>
      </c>
      <c r="D290" s="8"/>
      <c r="E290" s="31"/>
    </row>
    <row r="291" spans="1:5" x14ac:dyDescent="0.25">
      <c r="A291" s="8">
        <v>289</v>
      </c>
      <c r="B291" s="8"/>
      <c r="C291" s="8" t="b">
        <f>_xlfn.XLOOKUP(Table610[[#This Row],[Category No]],Table8[Category No],Table8[Chapter List],FALSE)</f>
        <v>0</v>
      </c>
      <c r="D291" s="8"/>
      <c r="E291" s="31"/>
    </row>
    <row r="292" spans="1:5" x14ac:dyDescent="0.25">
      <c r="A292" s="8">
        <v>290</v>
      </c>
      <c r="B292" s="8"/>
      <c r="C292" s="8" t="b">
        <f>_xlfn.XLOOKUP(Table610[[#This Row],[Category No]],Table8[Category No],Table8[Chapter List],FALSE)</f>
        <v>0</v>
      </c>
      <c r="D292" s="8"/>
      <c r="E292" s="31"/>
    </row>
    <row r="293" spans="1:5" x14ac:dyDescent="0.25">
      <c r="A293" s="8">
        <v>291</v>
      </c>
      <c r="B293" s="8"/>
      <c r="C293" s="8" t="b">
        <f>_xlfn.XLOOKUP(Table610[[#This Row],[Category No]],Table8[Category No],Table8[Chapter List],FALSE)</f>
        <v>0</v>
      </c>
      <c r="D293" s="8"/>
      <c r="E293" s="31"/>
    </row>
    <row r="294" spans="1:5" x14ac:dyDescent="0.25">
      <c r="A294" s="8">
        <v>292</v>
      </c>
      <c r="B294" s="8"/>
      <c r="C294" s="8" t="b">
        <f>_xlfn.XLOOKUP(Table610[[#This Row],[Category No]],Table8[Category No],Table8[Chapter List],FALSE)</f>
        <v>0</v>
      </c>
      <c r="D294" s="8"/>
      <c r="E294" s="31"/>
    </row>
    <row r="295" spans="1:5" x14ac:dyDescent="0.25">
      <c r="A295" s="8">
        <v>293</v>
      </c>
      <c r="B295" s="8"/>
      <c r="C295" s="8" t="b">
        <f>_xlfn.XLOOKUP(Table610[[#This Row],[Category No]],Table8[Category No],Table8[Chapter List],FALSE)</f>
        <v>0</v>
      </c>
      <c r="D295" s="8"/>
      <c r="E295" s="31"/>
    </row>
    <row r="296" spans="1:5" x14ac:dyDescent="0.25">
      <c r="A296" s="8">
        <v>294</v>
      </c>
      <c r="B296" s="8"/>
      <c r="C296" s="8" t="b">
        <f>_xlfn.XLOOKUP(Table610[[#This Row],[Category No]],Table8[Category No],Table8[Chapter List],FALSE)</f>
        <v>0</v>
      </c>
      <c r="D296" s="8"/>
      <c r="E296" s="31"/>
    </row>
    <row r="297" spans="1:5" x14ac:dyDescent="0.25">
      <c r="A297" s="8">
        <v>295</v>
      </c>
      <c r="B297" s="8"/>
      <c r="C297" s="8" t="b">
        <f>_xlfn.XLOOKUP(Table610[[#This Row],[Category No]],Table8[Category No],Table8[Chapter List],FALSE)</f>
        <v>0</v>
      </c>
      <c r="D297" s="8"/>
      <c r="E297" s="31"/>
    </row>
    <row r="298" spans="1:5" x14ac:dyDescent="0.25">
      <c r="A298" s="8">
        <v>296</v>
      </c>
      <c r="B298" s="8"/>
      <c r="C298" s="8" t="b">
        <f>_xlfn.XLOOKUP(Table610[[#This Row],[Category No]],Table8[Category No],Table8[Chapter List],FALSE)</f>
        <v>0</v>
      </c>
      <c r="D298" s="8"/>
      <c r="E298" s="31"/>
    </row>
    <row r="299" spans="1:5" x14ac:dyDescent="0.25">
      <c r="A299" s="8">
        <v>297</v>
      </c>
      <c r="B299" s="8"/>
      <c r="C299" s="8" t="b">
        <f>_xlfn.XLOOKUP(Table610[[#This Row],[Category No]],Table8[Category No],Table8[Chapter List],FALSE)</f>
        <v>0</v>
      </c>
      <c r="D299" s="8"/>
      <c r="E299" s="31"/>
    </row>
    <row r="300" spans="1:5" x14ac:dyDescent="0.25">
      <c r="A300" s="8">
        <v>298</v>
      </c>
      <c r="B300" s="8"/>
      <c r="C300" s="8" t="b">
        <f>_xlfn.XLOOKUP(Table610[[#This Row],[Category No]],Table8[Category No],Table8[Chapter List],FALSE)</f>
        <v>0</v>
      </c>
      <c r="D300" s="8"/>
      <c r="E300" s="31"/>
    </row>
    <row r="301" spans="1:5" x14ac:dyDescent="0.25">
      <c r="A301" s="8">
        <v>299</v>
      </c>
      <c r="B301" s="8"/>
      <c r="C301" s="8" t="b">
        <f>_xlfn.XLOOKUP(Table610[[#This Row],[Category No]],Table8[Category No],Table8[Chapter List],FALSE)</f>
        <v>0</v>
      </c>
      <c r="D301" s="8"/>
      <c r="E301" s="31"/>
    </row>
    <row r="302" spans="1:5" x14ac:dyDescent="0.25">
      <c r="A302" s="8">
        <v>300</v>
      </c>
      <c r="B302" s="8"/>
      <c r="C302" s="8" t="b">
        <f>_xlfn.XLOOKUP(Table610[[#This Row],[Category No]],Table8[Category No],Table8[Chapter List],FALSE)</f>
        <v>0</v>
      </c>
      <c r="D302" s="8"/>
      <c r="E302" s="31"/>
    </row>
    <row r="303" spans="1:5" x14ac:dyDescent="0.25">
      <c r="A303" s="8">
        <v>301</v>
      </c>
      <c r="B303" s="8"/>
      <c r="C303" s="8" t="b">
        <f>_xlfn.XLOOKUP(Table610[[#This Row],[Category No]],Table8[Category No],Table8[Chapter List],FALSE)</f>
        <v>0</v>
      </c>
      <c r="D303" s="8"/>
      <c r="E303" s="31"/>
    </row>
    <row r="304" spans="1:5" x14ac:dyDescent="0.25">
      <c r="A304" s="8">
        <v>302</v>
      </c>
      <c r="B304" s="8"/>
      <c r="C304" s="8" t="b">
        <f>_xlfn.XLOOKUP(Table610[[#This Row],[Category No]],Table8[Category No],Table8[Chapter List],FALSE)</f>
        <v>0</v>
      </c>
      <c r="D304" s="8"/>
      <c r="E304" s="31"/>
    </row>
    <row r="305" spans="1:5" x14ac:dyDescent="0.25">
      <c r="A305" s="8">
        <v>303</v>
      </c>
      <c r="B305" s="8"/>
      <c r="C305" s="8" t="b">
        <f>_xlfn.XLOOKUP(Table610[[#This Row],[Category No]],Table8[Category No],Table8[Chapter List],FALSE)</f>
        <v>0</v>
      </c>
      <c r="D305" s="8"/>
      <c r="E305" s="31"/>
    </row>
    <row r="306" spans="1:5" x14ac:dyDescent="0.25">
      <c r="A306" s="8">
        <v>304</v>
      </c>
      <c r="B306" s="8"/>
      <c r="C306" s="8" t="b">
        <f>_xlfn.XLOOKUP(Table610[[#This Row],[Category No]],Table8[Category No],Table8[Chapter List],FALSE)</f>
        <v>0</v>
      </c>
      <c r="D306" s="8"/>
      <c r="E306" s="31"/>
    </row>
    <row r="307" spans="1:5" x14ac:dyDescent="0.25">
      <c r="A307" s="8">
        <v>305</v>
      </c>
      <c r="B307" s="8"/>
      <c r="C307" s="8" t="b">
        <f>_xlfn.XLOOKUP(Table610[[#This Row],[Category No]],Table8[Category No],Table8[Chapter List],FALSE)</f>
        <v>0</v>
      </c>
      <c r="D307" s="8"/>
      <c r="E307" s="31"/>
    </row>
    <row r="308" spans="1:5" x14ac:dyDescent="0.25">
      <c r="A308" s="8">
        <v>306</v>
      </c>
      <c r="B308" s="8"/>
      <c r="C308" s="8" t="b">
        <f>_xlfn.XLOOKUP(Table610[[#This Row],[Category No]],Table8[Category No],Table8[Chapter List],FALSE)</f>
        <v>0</v>
      </c>
      <c r="D308" s="8"/>
      <c r="E308" s="31"/>
    </row>
    <row r="309" spans="1:5" x14ac:dyDescent="0.25">
      <c r="A309" s="8">
        <v>307</v>
      </c>
      <c r="B309" s="8"/>
      <c r="C309" s="8" t="b">
        <f>_xlfn.XLOOKUP(Table610[[#This Row],[Category No]],Table8[Category No],Table8[Chapter List],FALSE)</f>
        <v>0</v>
      </c>
      <c r="D309" s="8"/>
      <c r="E309" s="31"/>
    </row>
    <row r="310" spans="1:5" x14ac:dyDescent="0.25">
      <c r="A310" s="8">
        <v>308</v>
      </c>
      <c r="B310" s="8"/>
      <c r="C310" s="8" t="b">
        <f>_xlfn.XLOOKUP(Table610[[#This Row],[Category No]],Table8[Category No],Table8[Chapter List],FALSE)</f>
        <v>0</v>
      </c>
      <c r="D310" s="8"/>
      <c r="E310" s="31"/>
    </row>
    <row r="311" spans="1:5" x14ac:dyDescent="0.25">
      <c r="A311" s="8">
        <v>309</v>
      </c>
      <c r="B311" s="8"/>
      <c r="C311" s="8" t="b">
        <f>_xlfn.XLOOKUP(Table610[[#This Row],[Category No]],Table8[Category No],Table8[Chapter List],FALSE)</f>
        <v>0</v>
      </c>
      <c r="D311" s="8"/>
      <c r="E311" s="31"/>
    </row>
    <row r="312" spans="1:5" x14ac:dyDescent="0.25">
      <c r="A312" s="8">
        <v>310</v>
      </c>
      <c r="B312" s="8"/>
      <c r="C312" s="8" t="b">
        <f>_xlfn.XLOOKUP(Table610[[#This Row],[Category No]],Table8[Category No],Table8[Chapter List],FALSE)</f>
        <v>0</v>
      </c>
      <c r="D312" s="8"/>
      <c r="E312" s="31"/>
    </row>
    <row r="313" spans="1:5" x14ac:dyDescent="0.25">
      <c r="A313" s="8">
        <v>311</v>
      </c>
      <c r="B313" s="8"/>
      <c r="C313" s="8" t="b">
        <f>_xlfn.XLOOKUP(Table610[[#This Row],[Category No]],Table8[Category No],Table8[Chapter List],FALSE)</f>
        <v>0</v>
      </c>
      <c r="D313" s="8"/>
      <c r="E313" s="31"/>
    </row>
    <row r="314" spans="1:5" x14ac:dyDescent="0.25">
      <c r="A314" s="8">
        <v>312</v>
      </c>
      <c r="B314" s="8"/>
      <c r="C314" s="8" t="b">
        <f>_xlfn.XLOOKUP(Table610[[#This Row],[Category No]],Table8[Category No],Table8[Chapter List],FALSE)</f>
        <v>0</v>
      </c>
      <c r="D314" s="8"/>
      <c r="E314" s="31"/>
    </row>
    <row r="315" spans="1:5" x14ac:dyDescent="0.25">
      <c r="A315" s="8">
        <v>313</v>
      </c>
      <c r="B315" s="8"/>
      <c r="C315" s="8" t="b">
        <f>_xlfn.XLOOKUP(Table610[[#This Row],[Category No]],Table8[Category No],Table8[Chapter List],FALSE)</f>
        <v>0</v>
      </c>
      <c r="D315" s="8"/>
      <c r="E315" s="31"/>
    </row>
    <row r="316" spans="1:5" x14ac:dyDescent="0.25">
      <c r="A316" s="8">
        <v>314</v>
      </c>
      <c r="B316" s="8"/>
      <c r="C316" s="8" t="b">
        <f>_xlfn.XLOOKUP(Table610[[#This Row],[Category No]],Table8[Category No],Table8[Chapter List],FALSE)</f>
        <v>0</v>
      </c>
      <c r="D316" s="8"/>
      <c r="E316" s="31"/>
    </row>
    <row r="317" spans="1:5" x14ac:dyDescent="0.25">
      <c r="A317" s="8">
        <v>315</v>
      </c>
      <c r="B317" s="8"/>
      <c r="C317" s="8" t="b">
        <f>_xlfn.XLOOKUP(Table610[[#This Row],[Category No]],Table8[Category No],Table8[Chapter List],FALSE)</f>
        <v>0</v>
      </c>
      <c r="D317" s="8"/>
      <c r="E317" s="31"/>
    </row>
    <row r="318" spans="1:5" x14ac:dyDescent="0.25">
      <c r="A318" s="8">
        <v>316</v>
      </c>
      <c r="B318" s="8"/>
      <c r="C318" s="8" t="b">
        <f>_xlfn.XLOOKUP(Table610[[#This Row],[Category No]],Table8[Category No],Table8[Chapter List],FALSE)</f>
        <v>0</v>
      </c>
      <c r="D318" s="8"/>
      <c r="E318" s="31"/>
    </row>
    <row r="319" spans="1:5" x14ac:dyDescent="0.25">
      <c r="A319" s="8">
        <v>317</v>
      </c>
      <c r="B319" s="8"/>
      <c r="C319" s="8" t="b">
        <f>_xlfn.XLOOKUP(Table610[[#This Row],[Category No]],Table8[Category No],Table8[Chapter List],FALSE)</f>
        <v>0</v>
      </c>
      <c r="D319" s="8"/>
      <c r="E319" s="31"/>
    </row>
    <row r="320" spans="1:5" x14ac:dyDescent="0.25">
      <c r="A320" s="8">
        <v>318</v>
      </c>
      <c r="B320" s="8"/>
      <c r="C320" s="8" t="b">
        <f>_xlfn.XLOOKUP(Table610[[#This Row],[Category No]],Table8[Category No],Table8[Chapter List],FALSE)</f>
        <v>0</v>
      </c>
      <c r="D320" s="8"/>
      <c r="E320" s="31"/>
    </row>
    <row r="321" spans="1:5" x14ac:dyDescent="0.25">
      <c r="A321" s="8">
        <v>319</v>
      </c>
      <c r="B321" s="8"/>
      <c r="C321" s="8" t="b">
        <f>_xlfn.XLOOKUP(Table610[[#This Row],[Category No]],Table8[Category No],Table8[Chapter List],FALSE)</f>
        <v>0</v>
      </c>
      <c r="D321" s="8"/>
      <c r="E321" s="31"/>
    </row>
    <row r="322" spans="1:5" x14ac:dyDescent="0.25">
      <c r="A322" s="8">
        <v>320</v>
      </c>
      <c r="B322" s="8"/>
      <c r="C322" s="8" t="b">
        <f>_xlfn.XLOOKUP(Table610[[#This Row],[Category No]],Table8[Category No],Table8[Chapter List],FALSE)</f>
        <v>0</v>
      </c>
      <c r="D322" s="8"/>
      <c r="E322" s="31"/>
    </row>
    <row r="323" spans="1:5" x14ac:dyDescent="0.25">
      <c r="A323" s="8">
        <v>321</v>
      </c>
      <c r="B323" s="8"/>
      <c r="C323" s="8" t="b">
        <f>_xlfn.XLOOKUP(Table610[[#This Row],[Category No]],Table8[Category No],Table8[Chapter List],FALSE)</f>
        <v>0</v>
      </c>
      <c r="D323" s="8"/>
      <c r="E323" s="31"/>
    </row>
    <row r="324" spans="1:5" x14ac:dyDescent="0.25">
      <c r="A324" s="8">
        <v>322</v>
      </c>
      <c r="B324" s="8"/>
      <c r="C324" s="8" t="b">
        <f>_xlfn.XLOOKUP(Table610[[#This Row],[Category No]],Table8[Category No],Table8[Chapter List],FALSE)</f>
        <v>0</v>
      </c>
      <c r="D324" s="8"/>
      <c r="E324" s="31"/>
    </row>
    <row r="325" spans="1:5" x14ac:dyDescent="0.25">
      <c r="A325" s="8">
        <v>323</v>
      </c>
      <c r="B325" s="8"/>
      <c r="C325" s="8" t="b">
        <f>_xlfn.XLOOKUP(Table610[[#This Row],[Category No]],Table8[Category No],Table8[Chapter List],FALSE)</f>
        <v>0</v>
      </c>
      <c r="D325" s="8"/>
      <c r="E325" s="31"/>
    </row>
    <row r="326" spans="1:5" x14ac:dyDescent="0.25">
      <c r="A326" s="8">
        <v>324</v>
      </c>
      <c r="B326" s="8"/>
      <c r="C326" s="8" t="b">
        <f>_xlfn.XLOOKUP(Table610[[#This Row],[Category No]],Table8[Category No],Table8[Chapter List],FALSE)</f>
        <v>0</v>
      </c>
      <c r="D326" s="8"/>
      <c r="E326" s="31"/>
    </row>
    <row r="327" spans="1:5" x14ac:dyDescent="0.25">
      <c r="A327" s="8">
        <v>325</v>
      </c>
      <c r="B327" s="8"/>
      <c r="C327" s="8" t="b">
        <f>_xlfn.XLOOKUP(Table610[[#This Row],[Category No]],Table8[Category No],Table8[Chapter List],FALSE)</f>
        <v>0</v>
      </c>
      <c r="D327" s="8"/>
      <c r="E327" s="31"/>
    </row>
    <row r="328" spans="1:5" x14ac:dyDescent="0.25">
      <c r="A328" s="8">
        <v>326</v>
      </c>
      <c r="B328" s="8"/>
      <c r="C328" s="8" t="b">
        <f>_xlfn.XLOOKUP(Table610[[#This Row],[Category No]],Table8[Category No],Table8[Chapter List],FALSE)</f>
        <v>0</v>
      </c>
      <c r="D328" s="8"/>
      <c r="E328" s="31"/>
    </row>
    <row r="329" spans="1:5" x14ac:dyDescent="0.25">
      <c r="A329" s="8">
        <v>327</v>
      </c>
      <c r="B329" s="8"/>
      <c r="C329" s="8" t="b">
        <f>_xlfn.XLOOKUP(Table610[[#This Row],[Category No]],Table8[Category No],Table8[Chapter List],FALSE)</f>
        <v>0</v>
      </c>
      <c r="D329" s="8"/>
      <c r="E329" s="31"/>
    </row>
    <row r="330" spans="1:5" x14ac:dyDescent="0.25">
      <c r="A330" s="8">
        <v>328</v>
      </c>
      <c r="B330" s="8"/>
      <c r="C330" s="8" t="b">
        <f>_xlfn.XLOOKUP(Table610[[#This Row],[Category No]],Table8[Category No],Table8[Chapter List],FALSE)</f>
        <v>0</v>
      </c>
      <c r="D330" s="8"/>
      <c r="E330" s="31"/>
    </row>
    <row r="331" spans="1:5" x14ac:dyDescent="0.25">
      <c r="A331" s="8">
        <v>329</v>
      </c>
      <c r="B331" s="8"/>
      <c r="C331" s="8" t="b">
        <f>_xlfn.XLOOKUP(Table610[[#This Row],[Category No]],Table8[Category No],Table8[Chapter List],FALSE)</f>
        <v>0</v>
      </c>
      <c r="D331" s="8"/>
      <c r="E331" s="31"/>
    </row>
    <row r="332" spans="1:5" x14ac:dyDescent="0.25">
      <c r="A332" s="8">
        <v>330</v>
      </c>
      <c r="B332" s="8"/>
      <c r="C332" s="8" t="b">
        <f>_xlfn.XLOOKUP(Table610[[#This Row],[Category No]],Table8[Category No],Table8[Chapter List],FALSE)</f>
        <v>0</v>
      </c>
      <c r="D332" s="8"/>
      <c r="E332" s="31"/>
    </row>
    <row r="333" spans="1:5" x14ac:dyDescent="0.25">
      <c r="A333" s="8">
        <v>331</v>
      </c>
      <c r="B333" s="8"/>
      <c r="C333" s="8" t="b">
        <f>_xlfn.XLOOKUP(Table610[[#This Row],[Category No]],Table8[Category No],Table8[Chapter List],FALSE)</f>
        <v>0</v>
      </c>
      <c r="D333" s="8"/>
      <c r="E333" s="31"/>
    </row>
    <row r="334" spans="1:5" x14ac:dyDescent="0.25">
      <c r="A334" s="8">
        <v>332</v>
      </c>
      <c r="B334" s="8"/>
      <c r="C334" s="8" t="b">
        <f>_xlfn.XLOOKUP(Table610[[#This Row],[Category No]],Table8[Category No],Table8[Chapter List],FALSE)</f>
        <v>0</v>
      </c>
      <c r="D334" s="8"/>
      <c r="E334" s="31"/>
    </row>
    <row r="335" spans="1:5" x14ac:dyDescent="0.25">
      <c r="A335" s="8">
        <v>333</v>
      </c>
      <c r="B335" s="8"/>
      <c r="C335" s="8" t="b">
        <f>_xlfn.XLOOKUP(Table610[[#This Row],[Category No]],Table8[Category No],Table8[Chapter List],FALSE)</f>
        <v>0</v>
      </c>
      <c r="D335" s="8"/>
      <c r="E335" s="31"/>
    </row>
    <row r="336" spans="1:5" x14ac:dyDescent="0.25">
      <c r="A336" s="8">
        <v>334</v>
      </c>
      <c r="B336" s="8"/>
      <c r="C336" s="8" t="b">
        <f>_xlfn.XLOOKUP(Table610[[#This Row],[Category No]],Table8[Category No],Table8[Chapter List],FALSE)</f>
        <v>0</v>
      </c>
      <c r="D336" s="8"/>
      <c r="E336" s="31"/>
    </row>
    <row r="337" spans="1:5" x14ac:dyDescent="0.25">
      <c r="A337" s="8">
        <v>335</v>
      </c>
      <c r="B337" s="8"/>
      <c r="C337" s="8" t="b">
        <f>_xlfn.XLOOKUP(Table610[[#This Row],[Category No]],Table8[Category No],Table8[Chapter List],FALSE)</f>
        <v>0</v>
      </c>
      <c r="D337" s="8"/>
      <c r="E337" s="31"/>
    </row>
    <row r="338" spans="1:5" x14ac:dyDescent="0.25">
      <c r="A338" s="8">
        <v>336</v>
      </c>
      <c r="B338" s="8"/>
      <c r="C338" s="8" t="b">
        <f>_xlfn.XLOOKUP(Table610[[#This Row],[Category No]],Table8[Category No],Table8[Chapter List],FALSE)</f>
        <v>0</v>
      </c>
      <c r="D338" s="8"/>
      <c r="E338" s="31"/>
    </row>
    <row r="339" spans="1:5" x14ac:dyDescent="0.25">
      <c r="A339" s="8">
        <v>337</v>
      </c>
      <c r="B339" s="8"/>
      <c r="C339" s="8" t="b">
        <f>_xlfn.XLOOKUP(Table610[[#This Row],[Category No]],Table8[Category No],Table8[Chapter List],FALSE)</f>
        <v>0</v>
      </c>
      <c r="D339" s="8"/>
      <c r="E339" s="31"/>
    </row>
    <row r="340" spans="1:5" x14ac:dyDescent="0.25">
      <c r="A340" s="8">
        <v>338</v>
      </c>
      <c r="B340" s="8"/>
      <c r="C340" s="8" t="b">
        <f>_xlfn.XLOOKUP(Table610[[#This Row],[Category No]],Table8[Category No],Table8[Chapter List],FALSE)</f>
        <v>0</v>
      </c>
      <c r="D340" s="8"/>
      <c r="E340" s="31"/>
    </row>
    <row r="341" spans="1:5" x14ac:dyDescent="0.25">
      <c r="A341" s="8">
        <v>339</v>
      </c>
      <c r="B341" s="8"/>
      <c r="C341" s="8" t="b">
        <f>_xlfn.XLOOKUP(Table610[[#This Row],[Category No]],Table8[Category No],Table8[Chapter List],FALSE)</f>
        <v>0</v>
      </c>
      <c r="D341" s="8"/>
      <c r="E341" s="31"/>
    </row>
    <row r="342" spans="1:5" x14ac:dyDescent="0.25">
      <c r="A342" s="8">
        <v>340</v>
      </c>
      <c r="B342" s="8"/>
      <c r="C342" s="8" t="b">
        <f>_xlfn.XLOOKUP(Table610[[#This Row],[Category No]],Table8[Category No],Table8[Chapter List],FALSE)</f>
        <v>0</v>
      </c>
      <c r="D342" s="8"/>
      <c r="E342" s="31"/>
    </row>
    <row r="343" spans="1:5" x14ac:dyDescent="0.25">
      <c r="A343" s="8">
        <v>341</v>
      </c>
      <c r="B343" s="8"/>
      <c r="C343" s="8" t="b">
        <f>_xlfn.XLOOKUP(Table610[[#This Row],[Category No]],Table8[Category No],Table8[Chapter List],FALSE)</f>
        <v>0</v>
      </c>
      <c r="D343" s="8"/>
      <c r="E343" s="31"/>
    </row>
    <row r="344" spans="1:5" x14ac:dyDescent="0.25">
      <c r="A344" s="8">
        <v>342</v>
      </c>
      <c r="B344" s="8"/>
      <c r="C344" s="8" t="b">
        <f>_xlfn.XLOOKUP(Table610[[#This Row],[Category No]],Table8[Category No],Table8[Chapter List],FALSE)</f>
        <v>0</v>
      </c>
      <c r="D344" s="8"/>
      <c r="E344" s="31"/>
    </row>
    <row r="345" spans="1:5" x14ac:dyDescent="0.25">
      <c r="A345" s="8">
        <v>343</v>
      </c>
      <c r="B345" s="8"/>
      <c r="C345" s="8" t="b">
        <f>_xlfn.XLOOKUP(Table610[[#This Row],[Category No]],Table8[Category No],Table8[Chapter List],FALSE)</f>
        <v>0</v>
      </c>
      <c r="D345" s="8"/>
      <c r="E345" s="31"/>
    </row>
    <row r="346" spans="1:5" x14ac:dyDescent="0.25">
      <c r="A346" s="8">
        <v>344</v>
      </c>
      <c r="B346" s="8"/>
      <c r="C346" s="8" t="b">
        <f>_xlfn.XLOOKUP(Table610[[#This Row],[Category No]],Table8[Category No],Table8[Chapter List],FALSE)</f>
        <v>0</v>
      </c>
      <c r="D346" s="8"/>
      <c r="E346" s="31"/>
    </row>
    <row r="347" spans="1:5" x14ac:dyDescent="0.25">
      <c r="A347" s="8">
        <v>345</v>
      </c>
      <c r="B347" s="8"/>
      <c r="C347" s="8" t="b">
        <f>_xlfn.XLOOKUP(Table610[[#This Row],[Category No]],Table8[Category No],Table8[Chapter List],FALSE)</f>
        <v>0</v>
      </c>
      <c r="D347" s="8"/>
      <c r="E347" s="31"/>
    </row>
    <row r="348" spans="1:5" x14ac:dyDescent="0.25">
      <c r="A348" s="8">
        <v>346</v>
      </c>
      <c r="B348" s="8"/>
      <c r="C348" s="8" t="b">
        <f>_xlfn.XLOOKUP(Table610[[#This Row],[Category No]],Table8[Category No],Table8[Chapter List],FALSE)</f>
        <v>0</v>
      </c>
      <c r="D348" s="8"/>
      <c r="E348" s="31"/>
    </row>
    <row r="349" spans="1:5" x14ac:dyDescent="0.25">
      <c r="A349" s="8">
        <v>347</v>
      </c>
      <c r="B349" s="8"/>
      <c r="C349" s="8" t="b">
        <f>_xlfn.XLOOKUP(Table610[[#This Row],[Category No]],Table8[Category No],Table8[Chapter List],FALSE)</f>
        <v>0</v>
      </c>
      <c r="D349" s="8"/>
      <c r="E349" s="31"/>
    </row>
    <row r="350" spans="1:5" x14ac:dyDescent="0.25">
      <c r="A350" s="8">
        <v>348</v>
      </c>
      <c r="B350" s="8"/>
      <c r="C350" s="8" t="b">
        <f>_xlfn.XLOOKUP(Table610[[#This Row],[Category No]],Table8[Category No],Table8[Chapter List],FALSE)</f>
        <v>0</v>
      </c>
      <c r="D350" s="8"/>
      <c r="E350" s="31"/>
    </row>
    <row r="351" spans="1:5" x14ac:dyDescent="0.25">
      <c r="A351" s="8">
        <v>349</v>
      </c>
      <c r="B351" s="8"/>
      <c r="C351" s="8" t="b">
        <f>_xlfn.XLOOKUP(Table610[[#This Row],[Category No]],Table8[Category No],Table8[Chapter List],FALSE)</f>
        <v>0</v>
      </c>
      <c r="D351" s="8"/>
      <c r="E351" s="31"/>
    </row>
    <row r="352" spans="1:5" x14ac:dyDescent="0.25">
      <c r="A352" s="8">
        <v>350</v>
      </c>
      <c r="B352" s="8"/>
      <c r="C352" s="8" t="b">
        <f>_xlfn.XLOOKUP(Table610[[#This Row],[Category No]],Table8[Category No],Table8[Chapter List],FALSE)</f>
        <v>0</v>
      </c>
      <c r="D352" s="8"/>
      <c r="E352" s="31"/>
    </row>
    <row r="353" spans="1:5" x14ac:dyDescent="0.25">
      <c r="A353" s="8">
        <v>351</v>
      </c>
      <c r="B353" s="8"/>
      <c r="C353" s="8" t="b">
        <f>_xlfn.XLOOKUP(Table610[[#This Row],[Category No]],Table8[Category No],Table8[Chapter List],FALSE)</f>
        <v>0</v>
      </c>
      <c r="D353" s="8"/>
      <c r="E353" s="31"/>
    </row>
    <row r="354" spans="1:5" x14ac:dyDescent="0.25">
      <c r="A354" s="8">
        <v>352</v>
      </c>
      <c r="B354" s="8"/>
      <c r="C354" s="8" t="b">
        <f>_xlfn.XLOOKUP(Table610[[#This Row],[Category No]],Table8[Category No],Table8[Chapter List],FALSE)</f>
        <v>0</v>
      </c>
      <c r="D354" s="8"/>
      <c r="E354" s="31"/>
    </row>
    <row r="355" spans="1:5" x14ac:dyDescent="0.25">
      <c r="A355" s="8">
        <v>353</v>
      </c>
      <c r="B355" s="8"/>
      <c r="C355" s="8" t="b">
        <f>_xlfn.XLOOKUP(Table610[[#This Row],[Category No]],Table8[Category No],Table8[Chapter List],FALSE)</f>
        <v>0</v>
      </c>
      <c r="D355" s="8"/>
      <c r="E355" s="31"/>
    </row>
    <row r="356" spans="1:5" x14ac:dyDescent="0.25">
      <c r="A356" s="8">
        <v>354</v>
      </c>
      <c r="B356" s="8"/>
      <c r="C356" s="8" t="b">
        <f>_xlfn.XLOOKUP(Table610[[#This Row],[Category No]],Table8[Category No],Table8[Chapter List],FALSE)</f>
        <v>0</v>
      </c>
      <c r="D356" s="8"/>
      <c r="E356" s="31"/>
    </row>
    <row r="357" spans="1:5" x14ac:dyDescent="0.25">
      <c r="A357" s="8">
        <v>355</v>
      </c>
      <c r="B357" s="8"/>
      <c r="C357" s="8" t="b">
        <f>_xlfn.XLOOKUP(Table610[[#This Row],[Category No]],Table8[Category No],Table8[Chapter List],FALSE)</f>
        <v>0</v>
      </c>
      <c r="D357" s="8"/>
      <c r="E357" s="31"/>
    </row>
    <row r="358" spans="1:5" x14ac:dyDescent="0.25">
      <c r="A358" s="8">
        <v>356</v>
      </c>
      <c r="B358" s="8"/>
      <c r="C358" s="8" t="b">
        <f>_xlfn.XLOOKUP(Table610[[#This Row],[Category No]],Table8[Category No],Table8[Chapter List],FALSE)</f>
        <v>0</v>
      </c>
      <c r="D358" s="8"/>
      <c r="E358" s="31"/>
    </row>
    <row r="359" spans="1:5" x14ac:dyDescent="0.25">
      <c r="A359" s="8">
        <v>357</v>
      </c>
      <c r="B359" s="8"/>
      <c r="C359" s="8" t="b">
        <f>_xlfn.XLOOKUP(Table610[[#This Row],[Category No]],Table8[Category No],Table8[Chapter List],FALSE)</f>
        <v>0</v>
      </c>
      <c r="D359" s="8"/>
      <c r="E359" s="31"/>
    </row>
    <row r="360" spans="1:5" x14ac:dyDescent="0.25">
      <c r="A360" s="8">
        <v>358</v>
      </c>
      <c r="B360" s="8"/>
      <c r="C360" s="8" t="b">
        <f>_xlfn.XLOOKUP(Table610[[#This Row],[Category No]],Table8[Category No],Table8[Chapter List],FALSE)</f>
        <v>0</v>
      </c>
      <c r="D360" s="8"/>
      <c r="E360" s="31"/>
    </row>
    <row r="361" spans="1:5" x14ac:dyDescent="0.25">
      <c r="A361" s="8">
        <v>359</v>
      </c>
      <c r="B361" s="8"/>
      <c r="C361" s="8" t="b">
        <f>_xlfn.XLOOKUP(Table610[[#This Row],[Category No]],Table8[Category No],Table8[Chapter List],FALSE)</f>
        <v>0</v>
      </c>
      <c r="D361" s="8"/>
      <c r="E361" s="31"/>
    </row>
    <row r="362" spans="1:5" x14ac:dyDescent="0.25">
      <c r="A362" s="8">
        <v>360</v>
      </c>
      <c r="B362" s="8"/>
      <c r="C362" s="8" t="b">
        <f>_xlfn.XLOOKUP(Table610[[#This Row],[Category No]],Table8[Category No],Table8[Chapter List],FALSE)</f>
        <v>0</v>
      </c>
      <c r="D362" s="8"/>
      <c r="E362" s="31"/>
    </row>
    <row r="363" spans="1:5" x14ac:dyDescent="0.25">
      <c r="A363" s="8">
        <v>361</v>
      </c>
      <c r="B363" s="8"/>
      <c r="C363" s="8" t="b">
        <f>_xlfn.XLOOKUP(Table610[[#This Row],[Category No]],Table8[Category No],Table8[Chapter List],FALSE)</f>
        <v>0</v>
      </c>
      <c r="D363" s="8"/>
      <c r="E363" s="31"/>
    </row>
    <row r="364" spans="1:5" x14ac:dyDescent="0.25">
      <c r="A364" s="8">
        <v>362</v>
      </c>
      <c r="B364" s="8"/>
      <c r="C364" s="8" t="b">
        <f>_xlfn.XLOOKUP(Table610[[#This Row],[Category No]],Table8[Category No],Table8[Chapter List],FALSE)</f>
        <v>0</v>
      </c>
      <c r="D364" s="8"/>
      <c r="E364" s="31"/>
    </row>
    <row r="365" spans="1:5" x14ac:dyDescent="0.25">
      <c r="A365" s="8">
        <v>363</v>
      </c>
      <c r="B365" s="8"/>
      <c r="C365" s="8" t="b">
        <f>_xlfn.XLOOKUP(Table610[[#This Row],[Category No]],Table8[Category No],Table8[Chapter List],FALSE)</f>
        <v>0</v>
      </c>
      <c r="D365" s="8"/>
      <c r="E365" s="31"/>
    </row>
    <row r="366" spans="1:5" x14ac:dyDescent="0.25">
      <c r="A366" s="8">
        <v>364</v>
      </c>
      <c r="B366" s="8"/>
      <c r="C366" s="8" t="b">
        <f>_xlfn.XLOOKUP(Table610[[#This Row],[Category No]],Table8[Category No],Table8[Chapter List],FALSE)</f>
        <v>0</v>
      </c>
      <c r="D366" s="8"/>
      <c r="E366" s="31"/>
    </row>
    <row r="367" spans="1:5" x14ac:dyDescent="0.25">
      <c r="A367" s="8">
        <v>365</v>
      </c>
      <c r="B367" s="8"/>
      <c r="C367" s="8" t="b">
        <f>_xlfn.XLOOKUP(Table610[[#This Row],[Category No]],Table8[Category No],Table8[Chapter List],FALSE)</f>
        <v>0</v>
      </c>
      <c r="D367" s="8"/>
      <c r="E367" s="31"/>
    </row>
    <row r="368" spans="1:5" x14ac:dyDescent="0.25">
      <c r="A368" s="8">
        <v>366</v>
      </c>
      <c r="B368" s="8"/>
      <c r="C368" s="8" t="b">
        <f>_xlfn.XLOOKUP(Table610[[#This Row],[Category No]],Table8[Category No],Table8[Chapter List],FALSE)</f>
        <v>0</v>
      </c>
      <c r="D368" s="8"/>
      <c r="E368" s="31"/>
    </row>
    <row r="369" spans="1:5" x14ac:dyDescent="0.25">
      <c r="A369" s="8">
        <v>367</v>
      </c>
      <c r="B369" s="8"/>
      <c r="C369" s="8" t="b">
        <f>_xlfn.XLOOKUP(Table610[[#This Row],[Category No]],Table8[Category No],Table8[Chapter List],FALSE)</f>
        <v>0</v>
      </c>
      <c r="D369" s="8"/>
      <c r="E369" s="31"/>
    </row>
    <row r="370" spans="1:5" x14ac:dyDescent="0.25">
      <c r="A370" s="8">
        <v>368</v>
      </c>
      <c r="B370" s="8"/>
      <c r="C370" s="8" t="b">
        <f>_xlfn.XLOOKUP(Table610[[#This Row],[Category No]],Table8[Category No],Table8[Chapter List],FALSE)</f>
        <v>0</v>
      </c>
      <c r="D370" s="8"/>
      <c r="E370" s="31"/>
    </row>
    <row r="371" spans="1:5" x14ac:dyDescent="0.25">
      <c r="A371" s="8">
        <v>369</v>
      </c>
      <c r="B371" s="8"/>
      <c r="C371" s="8" t="b">
        <f>_xlfn.XLOOKUP(Table610[[#This Row],[Category No]],Table8[Category No],Table8[Chapter List],FALSE)</f>
        <v>0</v>
      </c>
      <c r="D371" s="8"/>
      <c r="E371" s="31"/>
    </row>
    <row r="372" spans="1:5" x14ac:dyDescent="0.25">
      <c r="A372" s="8">
        <v>370</v>
      </c>
      <c r="B372" s="8"/>
      <c r="C372" s="8" t="b">
        <f>_xlfn.XLOOKUP(Table610[[#This Row],[Category No]],Table8[Category No],Table8[Chapter List],FALSE)</f>
        <v>0</v>
      </c>
      <c r="D372" s="8"/>
      <c r="E372" s="31"/>
    </row>
    <row r="373" spans="1:5" x14ac:dyDescent="0.25">
      <c r="A373" s="8">
        <v>371</v>
      </c>
      <c r="B373" s="8"/>
      <c r="C373" s="8" t="b">
        <f>_xlfn.XLOOKUP(Table610[[#This Row],[Category No]],Table8[Category No],Table8[Chapter List],FALSE)</f>
        <v>0</v>
      </c>
      <c r="D373" s="8"/>
      <c r="E373" s="31"/>
    </row>
    <row r="374" spans="1:5" x14ac:dyDescent="0.25">
      <c r="A374" s="8">
        <v>372</v>
      </c>
      <c r="B374" s="8"/>
      <c r="C374" s="8" t="b">
        <f>_xlfn.XLOOKUP(Table610[[#This Row],[Category No]],Table8[Category No],Table8[Chapter List],FALSE)</f>
        <v>0</v>
      </c>
      <c r="D374" s="8"/>
      <c r="E374" s="31"/>
    </row>
    <row r="375" spans="1:5" x14ac:dyDescent="0.25">
      <c r="A375" s="8">
        <v>373</v>
      </c>
      <c r="B375" s="8"/>
      <c r="C375" s="8" t="b">
        <f>_xlfn.XLOOKUP(Table610[[#This Row],[Category No]],Table8[Category No],Table8[Chapter List],FALSE)</f>
        <v>0</v>
      </c>
      <c r="D375" s="8"/>
      <c r="E375" s="31"/>
    </row>
    <row r="376" spans="1:5" x14ac:dyDescent="0.25">
      <c r="A376" s="8">
        <v>374</v>
      </c>
      <c r="B376" s="8"/>
      <c r="C376" s="8" t="b">
        <f>_xlfn.XLOOKUP(Table610[[#This Row],[Category No]],Table8[Category No],Table8[Chapter List],FALSE)</f>
        <v>0</v>
      </c>
      <c r="D376" s="8"/>
      <c r="E376" s="31"/>
    </row>
    <row r="377" spans="1:5" x14ac:dyDescent="0.25">
      <c r="A377" s="8">
        <v>375</v>
      </c>
      <c r="B377" s="8"/>
      <c r="C377" s="8" t="b">
        <f>_xlfn.XLOOKUP(Table610[[#This Row],[Category No]],Table8[Category No],Table8[Chapter List],FALSE)</f>
        <v>0</v>
      </c>
      <c r="D377" s="8"/>
      <c r="E377" s="31"/>
    </row>
    <row r="378" spans="1:5" x14ac:dyDescent="0.25">
      <c r="A378" s="8">
        <v>376</v>
      </c>
      <c r="B378" s="8"/>
      <c r="C378" s="8" t="b">
        <f>_xlfn.XLOOKUP(Table610[[#This Row],[Category No]],Table8[Category No],Table8[Chapter List],FALSE)</f>
        <v>0</v>
      </c>
      <c r="D378" s="8"/>
      <c r="E378" s="31"/>
    </row>
    <row r="379" spans="1:5" x14ac:dyDescent="0.25">
      <c r="A379" s="8">
        <v>377</v>
      </c>
      <c r="B379" s="8"/>
      <c r="C379" s="8" t="b">
        <f>_xlfn.XLOOKUP(Table610[[#This Row],[Category No]],Table8[Category No],Table8[Chapter List],FALSE)</f>
        <v>0</v>
      </c>
      <c r="D379" s="8"/>
      <c r="E379" s="31"/>
    </row>
    <row r="380" spans="1:5" x14ac:dyDescent="0.25">
      <c r="A380" s="8">
        <v>378</v>
      </c>
      <c r="B380" s="8"/>
      <c r="C380" s="8" t="b">
        <f>_xlfn.XLOOKUP(Table610[[#This Row],[Category No]],Table8[Category No],Table8[Chapter List],FALSE)</f>
        <v>0</v>
      </c>
      <c r="D380" s="8"/>
      <c r="E380" s="31"/>
    </row>
    <row r="381" spans="1:5" x14ac:dyDescent="0.25">
      <c r="A381" s="8">
        <v>379</v>
      </c>
      <c r="B381" s="8"/>
      <c r="C381" s="8" t="b">
        <f>_xlfn.XLOOKUP(Table610[[#This Row],[Category No]],Table8[Category No],Table8[Chapter List],FALSE)</f>
        <v>0</v>
      </c>
      <c r="D381" s="8"/>
      <c r="E381" s="31"/>
    </row>
    <row r="382" spans="1:5" x14ac:dyDescent="0.25">
      <c r="A382" s="8">
        <v>380</v>
      </c>
      <c r="B382" s="8"/>
      <c r="C382" s="8" t="b">
        <f>_xlfn.XLOOKUP(Table610[[#This Row],[Category No]],Table8[Category No],Table8[Chapter List],FALSE)</f>
        <v>0</v>
      </c>
      <c r="D382" s="8"/>
      <c r="E382" s="31"/>
    </row>
    <row r="383" spans="1:5" x14ac:dyDescent="0.25">
      <c r="A383" s="8">
        <v>381</v>
      </c>
      <c r="B383" s="8"/>
      <c r="C383" s="8" t="b">
        <f>_xlfn.XLOOKUP(Table610[[#This Row],[Category No]],Table8[Category No],Table8[Chapter List],FALSE)</f>
        <v>0</v>
      </c>
      <c r="D383" s="8"/>
      <c r="E383" s="31"/>
    </row>
    <row r="384" spans="1:5" x14ac:dyDescent="0.25">
      <c r="A384" s="8">
        <v>382</v>
      </c>
      <c r="B384" s="8"/>
      <c r="C384" s="8" t="b">
        <f>_xlfn.XLOOKUP(Table610[[#This Row],[Category No]],Table8[Category No],Table8[Chapter List],FALSE)</f>
        <v>0</v>
      </c>
      <c r="D384" s="8"/>
      <c r="E384" s="31"/>
    </row>
    <row r="385" spans="1:5" x14ac:dyDescent="0.25">
      <c r="A385" s="8">
        <v>383</v>
      </c>
      <c r="B385" s="8"/>
      <c r="C385" s="8" t="b">
        <f>_xlfn.XLOOKUP(Table610[[#This Row],[Category No]],Table8[Category No],Table8[Chapter List],FALSE)</f>
        <v>0</v>
      </c>
      <c r="D385" s="8"/>
      <c r="E385" s="31"/>
    </row>
    <row r="386" spans="1:5" x14ac:dyDescent="0.25">
      <c r="A386" s="8">
        <v>384</v>
      </c>
      <c r="B386" s="8"/>
      <c r="C386" s="8" t="b">
        <f>_xlfn.XLOOKUP(Table610[[#This Row],[Category No]],Table8[Category No],Table8[Chapter List],FALSE)</f>
        <v>0</v>
      </c>
      <c r="D386" s="8"/>
      <c r="E386" s="31"/>
    </row>
    <row r="387" spans="1:5" x14ac:dyDescent="0.25">
      <c r="A387" s="8">
        <v>385</v>
      </c>
      <c r="B387" s="8"/>
      <c r="C387" s="8" t="b">
        <f>_xlfn.XLOOKUP(Table610[[#This Row],[Category No]],Table8[Category No],Table8[Chapter List],FALSE)</f>
        <v>0</v>
      </c>
      <c r="D387" s="8"/>
      <c r="E387" s="31"/>
    </row>
    <row r="388" spans="1:5" x14ac:dyDescent="0.25">
      <c r="A388" s="8">
        <v>386</v>
      </c>
      <c r="B388" s="8"/>
      <c r="C388" s="8" t="b">
        <f>_xlfn.XLOOKUP(Table610[[#This Row],[Category No]],Table8[Category No],Table8[Chapter List],FALSE)</f>
        <v>0</v>
      </c>
      <c r="D388" s="8"/>
      <c r="E388" s="31"/>
    </row>
    <row r="389" spans="1:5" x14ac:dyDescent="0.25">
      <c r="A389" s="8">
        <v>387</v>
      </c>
      <c r="B389" s="8"/>
      <c r="C389" s="8" t="b">
        <f>_xlfn.XLOOKUP(Table610[[#This Row],[Category No]],Table8[Category No],Table8[Chapter List],FALSE)</f>
        <v>0</v>
      </c>
      <c r="D389" s="8"/>
      <c r="E389" s="31"/>
    </row>
    <row r="390" spans="1:5" x14ac:dyDescent="0.25">
      <c r="A390" s="8">
        <v>388</v>
      </c>
      <c r="B390" s="8"/>
      <c r="C390" s="8" t="b">
        <f>_xlfn.XLOOKUP(Table610[[#This Row],[Category No]],Table8[Category No],Table8[Chapter List],FALSE)</f>
        <v>0</v>
      </c>
      <c r="D390" s="8"/>
      <c r="E390" s="31"/>
    </row>
    <row r="391" spans="1:5" x14ac:dyDescent="0.25">
      <c r="A391" s="8">
        <v>389</v>
      </c>
      <c r="B391" s="8"/>
      <c r="C391" s="8" t="b">
        <f>_xlfn.XLOOKUP(Table610[[#This Row],[Category No]],Table8[Category No],Table8[Chapter List],FALSE)</f>
        <v>0</v>
      </c>
      <c r="D391" s="8"/>
      <c r="E391" s="31"/>
    </row>
    <row r="392" spans="1:5" x14ac:dyDescent="0.25">
      <c r="A392" s="8">
        <v>390</v>
      </c>
      <c r="B392" s="8"/>
      <c r="C392" s="8" t="b">
        <f>_xlfn.XLOOKUP(Table610[[#This Row],[Category No]],Table8[Category No],Table8[Chapter List],FALSE)</f>
        <v>0</v>
      </c>
      <c r="D392" s="8"/>
      <c r="E392" s="31"/>
    </row>
    <row r="393" spans="1:5" x14ac:dyDescent="0.25">
      <c r="A393" s="8">
        <v>391</v>
      </c>
      <c r="B393" s="8"/>
      <c r="C393" s="8" t="b">
        <f>_xlfn.XLOOKUP(Table610[[#This Row],[Category No]],Table8[Category No],Table8[Chapter List],FALSE)</f>
        <v>0</v>
      </c>
      <c r="D393" s="8"/>
      <c r="E393" s="31"/>
    </row>
    <row r="394" spans="1:5" x14ac:dyDescent="0.25">
      <c r="A394" s="8">
        <v>392</v>
      </c>
      <c r="B394" s="8"/>
      <c r="C394" s="8" t="b">
        <f>_xlfn.XLOOKUP(Table610[[#This Row],[Category No]],Table8[Category No],Table8[Chapter List],FALSE)</f>
        <v>0</v>
      </c>
      <c r="D394" s="8"/>
      <c r="E394" s="31"/>
    </row>
    <row r="395" spans="1:5" x14ac:dyDescent="0.25">
      <c r="A395" s="8">
        <v>393</v>
      </c>
      <c r="B395" s="8"/>
      <c r="C395" s="8" t="b">
        <f>_xlfn.XLOOKUP(Table610[[#This Row],[Category No]],Table8[Category No],Table8[Chapter List],FALSE)</f>
        <v>0</v>
      </c>
      <c r="D395" s="8"/>
      <c r="E395" s="31"/>
    </row>
    <row r="396" spans="1:5" x14ac:dyDescent="0.25">
      <c r="A396" s="8">
        <v>394</v>
      </c>
      <c r="B396" s="8"/>
      <c r="C396" s="8" t="b">
        <f>_xlfn.XLOOKUP(Table610[[#This Row],[Category No]],Table8[Category No],Table8[Chapter List],FALSE)</f>
        <v>0</v>
      </c>
      <c r="D396" s="8"/>
      <c r="E396" s="31"/>
    </row>
    <row r="397" spans="1:5" x14ac:dyDescent="0.25">
      <c r="A397" s="8">
        <v>395</v>
      </c>
      <c r="B397" s="8"/>
      <c r="C397" s="8" t="b">
        <f>_xlfn.XLOOKUP(Table610[[#This Row],[Category No]],Table8[Category No],Table8[Chapter List],FALSE)</f>
        <v>0</v>
      </c>
      <c r="D397" s="8"/>
      <c r="E397" s="31"/>
    </row>
    <row r="398" spans="1:5" x14ac:dyDescent="0.25">
      <c r="A398" s="8">
        <v>396</v>
      </c>
      <c r="B398" s="8"/>
      <c r="C398" s="8" t="b">
        <f>_xlfn.XLOOKUP(Table610[[#This Row],[Category No]],Table8[Category No],Table8[Chapter List],FALSE)</f>
        <v>0</v>
      </c>
      <c r="D398" s="8"/>
      <c r="E398" s="31"/>
    </row>
    <row r="399" spans="1:5" x14ac:dyDescent="0.25">
      <c r="A399" s="8">
        <v>397</v>
      </c>
      <c r="B399" s="8"/>
      <c r="C399" s="8" t="b">
        <f>_xlfn.XLOOKUP(Table610[[#This Row],[Category No]],Table8[Category No],Table8[Chapter List],FALSE)</f>
        <v>0</v>
      </c>
      <c r="D399" s="8"/>
      <c r="E399" s="31"/>
    </row>
    <row r="400" spans="1:5" x14ac:dyDescent="0.25">
      <c r="A400" s="8">
        <v>398</v>
      </c>
      <c r="B400" s="8"/>
      <c r="C400" s="8" t="b">
        <f>_xlfn.XLOOKUP(Table610[[#This Row],[Category No]],Table8[Category No],Table8[Chapter List],FALSE)</f>
        <v>0</v>
      </c>
      <c r="D400" s="8"/>
      <c r="E400" s="31"/>
    </row>
    <row r="401" spans="1:5" x14ac:dyDescent="0.25">
      <c r="A401" s="8">
        <v>399</v>
      </c>
      <c r="B401" s="8"/>
      <c r="C401" s="8" t="b">
        <f>_xlfn.XLOOKUP(Table610[[#This Row],[Category No]],Table8[Category No],Table8[Chapter List],FALSE)</f>
        <v>0</v>
      </c>
      <c r="D401" s="8"/>
      <c r="E401" s="31"/>
    </row>
    <row r="402" spans="1:5" x14ac:dyDescent="0.25">
      <c r="A402" s="8">
        <v>400</v>
      </c>
      <c r="B402" s="8"/>
      <c r="C402" s="8" t="b">
        <f>_xlfn.XLOOKUP(Table610[[#This Row],[Category No]],Table8[Category No],Table8[Chapter List],FALSE)</f>
        <v>0</v>
      </c>
      <c r="D402" s="8"/>
      <c r="E402" s="31"/>
    </row>
    <row r="403" spans="1:5" x14ac:dyDescent="0.25">
      <c r="A403" s="8">
        <v>401</v>
      </c>
      <c r="B403" s="8"/>
      <c r="C403" s="8" t="b">
        <f>_xlfn.XLOOKUP(Table610[[#This Row],[Category No]],Table8[Category No],Table8[Chapter List],FALSE)</f>
        <v>0</v>
      </c>
      <c r="D403" s="8"/>
      <c r="E403" s="31"/>
    </row>
    <row r="404" spans="1:5" x14ac:dyDescent="0.25">
      <c r="A404" s="8">
        <v>402</v>
      </c>
      <c r="B404" s="8"/>
      <c r="C404" s="8" t="b">
        <f>_xlfn.XLOOKUP(Table610[[#This Row],[Category No]],Table8[Category No],Table8[Chapter List],FALSE)</f>
        <v>0</v>
      </c>
      <c r="D404" s="8"/>
      <c r="E404" s="31"/>
    </row>
    <row r="405" spans="1:5" x14ac:dyDescent="0.25">
      <c r="A405" s="8">
        <v>403</v>
      </c>
      <c r="B405" s="8"/>
      <c r="C405" s="8" t="b">
        <f>_xlfn.XLOOKUP(Table610[[#This Row],[Category No]],Table8[Category No],Table8[Chapter List],FALSE)</f>
        <v>0</v>
      </c>
      <c r="D405" s="8"/>
      <c r="E405" s="31"/>
    </row>
    <row r="406" spans="1:5" x14ac:dyDescent="0.25">
      <c r="A406" s="8">
        <v>404</v>
      </c>
      <c r="B406" s="8"/>
      <c r="C406" s="8" t="b">
        <f>_xlfn.XLOOKUP(Table610[[#This Row],[Category No]],Table8[Category No],Table8[Chapter List],FALSE)</f>
        <v>0</v>
      </c>
      <c r="D406" s="8"/>
      <c r="E406" s="31"/>
    </row>
    <row r="407" spans="1:5" x14ac:dyDescent="0.25">
      <c r="A407" s="8">
        <v>405</v>
      </c>
      <c r="B407" s="8"/>
      <c r="C407" s="8" t="b">
        <f>_xlfn.XLOOKUP(Table610[[#This Row],[Category No]],Table8[Category No],Table8[Chapter List],FALSE)</f>
        <v>0</v>
      </c>
      <c r="D407" s="8"/>
      <c r="E407" s="31"/>
    </row>
    <row r="408" spans="1:5" x14ac:dyDescent="0.25">
      <c r="A408" s="8">
        <v>406</v>
      </c>
      <c r="B408" s="8"/>
      <c r="C408" s="8" t="b">
        <f>_xlfn.XLOOKUP(Table610[[#This Row],[Category No]],Table8[Category No],Table8[Chapter List],FALSE)</f>
        <v>0</v>
      </c>
      <c r="D408" s="8"/>
      <c r="E408" s="31"/>
    </row>
    <row r="409" spans="1:5" x14ac:dyDescent="0.25">
      <c r="A409" s="8">
        <v>407</v>
      </c>
      <c r="B409" s="8"/>
      <c r="C409" s="8" t="b">
        <f>_xlfn.XLOOKUP(Table610[[#This Row],[Category No]],Table8[Category No],Table8[Chapter List],FALSE)</f>
        <v>0</v>
      </c>
      <c r="D409" s="8"/>
      <c r="E409" s="31"/>
    </row>
    <row r="410" spans="1:5" x14ac:dyDescent="0.25">
      <c r="A410" s="8">
        <v>408</v>
      </c>
      <c r="B410" s="8"/>
      <c r="C410" s="8" t="b">
        <f>_xlfn.XLOOKUP(Table610[[#This Row],[Category No]],Table8[Category No],Table8[Chapter List],FALSE)</f>
        <v>0</v>
      </c>
      <c r="D410" s="8"/>
      <c r="E410" s="31"/>
    </row>
    <row r="411" spans="1:5" x14ac:dyDescent="0.25">
      <c r="A411" s="8">
        <v>409</v>
      </c>
      <c r="B411" s="8"/>
      <c r="C411" s="8" t="b">
        <f>_xlfn.XLOOKUP(Table610[[#This Row],[Category No]],Table8[Category No],Table8[Chapter List],FALSE)</f>
        <v>0</v>
      </c>
      <c r="D411" s="8"/>
      <c r="E411" s="31"/>
    </row>
    <row r="412" spans="1:5" x14ac:dyDescent="0.25">
      <c r="A412" s="8">
        <v>410</v>
      </c>
      <c r="B412" s="8"/>
      <c r="C412" s="8" t="b">
        <f>_xlfn.XLOOKUP(Table610[[#This Row],[Category No]],Table8[Category No],Table8[Chapter List],FALSE)</f>
        <v>0</v>
      </c>
      <c r="D412" s="8"/>
      <c r="E412" s="31"/>
    </row>
    <row r="413" spans="1:5" x14ac:dyDescent="0.25">
      <c r="A413" s="8">
        <v>411</v>
      </c>
      <c r="B413" s="8"/>
      <c r="C413" s="8" t="b">
        <f>_xlfn.XLOOKUP(Table610[[#This Row],[Category No]],Table8[Category No],Table8[Chapter List],FALSE)</f>
        <v>0</v>
      </c>
      <c r="D413" s="8"/>
      <c r="E413" s="31"/>
    </row>
    <row r="414" spans="1:5" x14ac:dyDescent="0.25">
      <c r="A414" s="8">
        <v>412</v>
      </c>
      <c r="B414" s="8"/>
      <c r="C414" s="8" t="b">
        <f>_xlfn.XLOOKUP(Table610[[#This Row],[Category No]],Table8[Category No],Table8[Chapter List],FALSE)</f>
        <v>0</v>
      </c>
      <c r="D414" s="8"/>
      <c r="E414" s="31"/>
    </row>
    <row r="415" spans="1:5" x14ac:dyDescent="0.25">
      <c r="A415" s="8">
        <v>413</v>
      </c>
      <c r="B415" s="8"/>
      <c r="C415" s="8" t="b">
        <f>_xlfn.XLOOKUP(Table610[[#This Row],[Category No]],Table8[Category No],Table8[Chapter List],FALSE)</f>
        <v>0</v>
      </c>
      <c r="D415" s="8"/>
      <c r="E415" s="31"/>
    </row>
    <row r="416" spans="1:5" x14ac:dyDescent="0.25">
      <c r="A416" s="8">
        <v>414</v>
      </c>
      <c r="B416" s="8"/>
      <c r="C416" s="8" t="b">
        <f>_xlfn.XLOOKUP(Table610[[#This Row],[Category No]],Table8[Category No],Table8[Chapter List],FALSE)</f>
        <v>0</v>
      </c>
      <c r="D416" s="8"/>
      <c r="E416" s="31"/>
    </row>
    <row r="417" spans="1:5" x14ac:dyDescent="0.25">
      <c r="A417" s="8">
        <v>415</v>
      </c>
      <c r="B417" s="8"/>
      <c r="C417" s="8" t="b">
        <f>_xlfn.XLOOKUP(Table610[[#This Row],[Category No]],Table8[Category No],Table8[Chapter List],FALSE)</f>
        <v>0</v>
      </c>
      <c r="D417" s="8"/>
      <c r="E417" s="31"/>
    </row>
    <row r="418" spans="1:5" x14ac:dyDescent="0.25">
      <c r="A418" s="8">
        <v>416</v>
      </c>
      <c r="B418" s="8"/>
      <c r="C418" s="8" t="b">
        <f>_xlfn.XLOOKUP(Table610[[#This Row],[Category No]],Table8[Category No],Table8[Chapter List],FALSE)</f>
        <v>0</v>
      </c>
      <c r="D418" s="8"/>
      <c r="E418" s="31"/>
    </row>
    <row r="419" spans="1:5" x14ac:dyDescent="0.25">
      <c r="A419" s="8">
        <v>417</v>
      </c>
      <c r="B419" s="8"/>
      <c r="C419" s="8" t="b">
        <f>_xlfn.XLOOKUP(Table610[[#This Row],[Category No]],Table8[Category No],Table8[Chapter List],FALSE)</f>
        <v>0</v>
      </c>
      <c r="D419" s="8"/>
      <c r="E419" s="31"/>
    </row>
    <row r="420" spans="1:5" x14ac:dyDescent="0.25">
      <c r="A420" s="8">
        <v>418</v>
      </c>
      <c r="B420" s="8"/>
      <c r="C420" s="8" t="b">
        <f>_xlfn.XLOOKUP(Table610[[#This Row],[Category No]],Table8[Category No],Table8[Chapter List],FALSE)</f>
        <v>0</v>
      </c>
      <c r="D420" s="8"/>
      <c r="E420" s="31"/>
    </row>
    <row r="421" spans="1:5" x14ac:dyDescent="0.25">
      <c r="A421" s="8">
        <v>419</v>
      </c>
      <c r="B421" s="8"/>
      <c r="C421" s="8" t="b">
        <f>_xlfn.XLOOKUP(Table610[[#This Row],[Category No]],Table8[Category No],Table8[Chapter List],FALSE)</f>
        <v>0</v>
      </c>
      <c r="D421" s="8"/>
      <c r="E421" s="31"/>
    </row>
    <row r="422" spans="1:5" x14ac:dyDescent="0.25">
      <c r="A422" s="8">
        <v>420</v>
      </c>
      <c r="B422" s="8"/>
      <c r="C422" s="8" t="b">
        <f>_xlfn.XLOOKUP(Table610[[#This Row],[Category No]],Table8[Category No],Table8[Chapter List],FALSE)</f>
        <v>0</v>
      </c>
      <c r="D422" s="8"/>
      <c r="E422" s="31"/>
    </row>
    <row r="423" spans="1:5" x14ac:dyDescent="0.25">
      <c r="A423" s="8">
        <v>421</v>
      </c>
      <c r="B423" s="8"/>
      <c r="C423" s="8" t="b">
        <f>_xlfn.XLOOKUP(Table610[[#This Row],[Category No]],Table8[Category No],Table8[Chapter List],FALSE)</f>
        <v>0</v>
      </c>
      <c r="D423" s="8"/>
      <c r="E423" s="31"/>
    </row>
    <row r="424" spans="1:5" x14ac:dyDescent="0.25">
      <c r="A424" s="8">
        <v>422</v>
      </c>
      <c r="B424" s="8"/>
      <c r="C424" s="8" t="b">
        <f>_xlfn.XLOOKUP(Table610[[#This Row],[Category No]],Table8[Category No],Table8[Chapter List],FALSE)</f>
        <v>0</v>
      </c>
      <c r="D424" s="8"/>
      <c r="E424" s="31"/>
    </row>
    <row r="425" spans="1:5" x14ac:dyDescent="0.25">
      <c r="A425" s="8">
        <v>423</v>
      </c>
      <c r="B425" s="8"/>
      <c r="C425" s="8" t="b">
        <f>_xlfn.XLOOKUP(Table610[[#This Row],[Category No]],Table8[Category No],Table8[Chapter List],FALSE)</f>
        <v>0</v>
      </c>
      <c r="D425" s="8"/>
      <c r="E425" s="31"/>
    </row>
    <row r="426" spans="1:5" x14ac:dyDescent="0.25">
      <c r="A426" s="8">
        <v>424</v>
      </c>
      <c r="B426" s="8"/>
      <c r="C426" s="8" t="b">
        <f>_xlfn.XLOOKUP(Table610[[#This Row],[Category No]],Table8[Category No],Table8[Chapter List],FALSE)</f>
        <v>0</v>
      </c>
      <c r="D426" s="8"/>
      <c r="E426" s="31"/>
    </row>
    <row r="427" spans="1:5" x14ac:dyDescent="0.25">
      <c r="A427" s="8">
        <v>425</v>
      </c>
      <c r="B427" s="8"/>
      <c r="C427" s="8" t="b">
        <f>_xlfn.XLOOKUP(Table610[[#This Row],[Category No]],Table8[Category No],Table8[Chapter List],FALSE)</f>
        <v>0</v>
      </c>
      <c r="D427" s="8"/>
      <c r="E427" s="31"/>
    </row>
    <row r="428" spans="1:5" x14ac:dyDescent="0.25">
      <c r="A428" s="8">
        <v>426</v>
      </c>
      <c r="B428" s="8"/>
      <c r="C428" s="8" t="b">
        <f>_xlfn.XLOOKUP(Table610[[#This Row],[Category No]],Table8[Category No],Table8[Chapter List],FALSE)</f>
        <v>0</v>
      </c>
      <c r="D428" s="8"/>
      <c r="E428" s="31"/>
    </row>
    <row r="429" spans="1:5" x14ac:dyDescent="0.25">
      <c r="A429" s="8">
        <v>427</v>
      </c>
      <c r="B429" s="8"/>
      <c r="C429" s="8" t="b">
        <f>_xlfn.XLOOKUP(Table610[[#This Row],[Category No]],Table8[Category No],Table8[Chapter List],FALSE)</f>
        <v>0</v>
      </c>
      <c r="D429" s="8"/>
      <c r="E429" s="31"/>
    </row>
    <row r="430" spans="1:5" x14ac:dyDescent="0.25">
      <c r="A430" s="8">
        <v>428</v>
      </c>
      <c r="B430" s="8"/>
      <c r="C430" s="8" t="b">
        <f>_xlfn.XLOOKUP(Table610[[#This Row],[Category No]],Table8[Category No],Table8[Chapter List],FALSE)</f>
        <v>0</v>
      </c>
      <c r="D430" s="8"/>
      <c r="E430" s="31"/>
    </row>
    <row r="431" spans="1:5" x14ac:dyDescent="0.25">
      <c r="A431" s="8">
        <v>429</v>
      </c>
      <c r="B431" s="8"/>
      <c r="C431" s="8" t="b">
        <f>_xlfn.XLOOKUP(Table610[[#This Row],[Category No]],Table8[Category No],Table8[Chapter List],FALSE)</f>
        <v>0</v>
      </c>
      <c r="D431" s="8"/>
      <c r="E431" s="31"/>
    </row>
    <row r="432" spans="1:5" x14ac:dyDescent="0.25">
      <c r="A432" s="8">
        <v>430</v>
      </c>
      <c r="B432" s="8"/>
      <c r="C432" s="8" t="b">
        <f>_xlfn.XLOOKUP(Table610[[#This Row],[Category No]],Table8[Category No],Table8[Chapter List],FALSE)</f>
        <v>0</v>
      </c>
      <c r="D432" s="8"/>
      <c r="E432" s="31"/>
    </row>
    <row r="433" spans="1:5" x14ac:dyDescent="0.25">
      <c r="A433" s="8">
        <v>431</v>
      </c>
      <c r="B433" s="8"/>
      <c r="C433" s="8" t="b">
        <f>_xlfn.XLOOKUP(Table610[[#This Row],[Category No]],Table8[Category No],Table8[Chapter List],FALSE)</f>
        <v>0</v>
      </c>
      <c r="D433" s="8"/>
      <c r="E433" s="31"/>
    </row>
    <row r="434" spans="1:5" x14ac:dyDescent="0.25">
      <c r="A434" s="8">
        <v>432</v>
      </c>
      <c r="B434" s="8"/>
      <c r="C434" s="8" t="b">
        <f>_xlfn.XLOOKUP(Table610[[#This Row],[Category No]],Table8[Category No],Table8[Chapter List],FALSE)</f>
        <v>0</v>
      </c>
      <c r="D434" s="8"/>
      <c r="E434" s="31"/>
    </row>
    <row r="435" spans="1:5" x14ac:dyDescent="0.25">
      <c r="A435" s="8">
        <v>433</v>
      </c>
      <c r="B435" s="8"/>
      <c r="C435" s="8" t="b">
        <f>_xlfn.XLOOKUP(Table610[[#This Row],[Category No]],Table8[Category No],Table8[Chapter List],FALSE)</f>
        <v>0</v>
      </c>
      <c r="D435" s="8"/>
      <c r="E435" s="31"/>
    </row>
    <row r="436" spans="1:5" x14ac:dyDescent="0.25">
      <c r="A436" s="8">
        <v>434</v>
      </c>
      <c r="B436" s="8"/>
      <c r="C436" s="8" t="b">
        <f>_xlfn.XLOOKUP(Table610[[#This Row],[Category No]],Table8[Category No],Table8[Chapter List],FALSE)</f>
        <v>0</v>
      </c>
      <c r="D436" s="8"/>
      <c r="E436" s="31"/>
    </row>
    <row r="437" spans="1:5" x14ac:dyDescent="0.25">
      <c r="A437" s="8">
        <v>435</v>
      </c>
      <c r="B437" s="8"/>
      <c r="C437" s="8" t="b">
        <f>_xlfn.XLOOKUP(Table610[[#This Row],[Category No]],Table8[Category No],Table8[Chapter List],FALSE)</f>
        <v>0</v>
      </c>
      <c r="D437" s="8"/>
      <c r="E437" s="31"/>
    </row>
    <row r="438" spans="1:5" x14ac:dyDescent="0.25">
      <c r="A438" s="8">
        <v>436</v>
      </c>
      <c r="B438" s="8"/>
      <c r="C438" s="8" t="b">
        <f>_xlfn.XLOOKUP(Table610[[#This Row],[Category No]],Table8[Category No],Table8[Chapter List],FALSE)</f>
        <v>0</v>
      </c>
      <c r="D438" s="8"/>
      <c r="E438" s="31"/>
    </row>
    <row r="439" spans="1:5" x14ac:dyDescent="0.25">
      <c r="A439" s="8">
        <v>437</v>
      </c>
      <c r="B439" s="8"/>
      <c r="C439" s="8" t="b">
        <f>_xlfn.XLOOKUP(Table610[[#This Row],[Category No]],Table8[Category No],Table8[Chapter List],FALSE)</f>
        <v>0</v>
      </c>
      <c r="D439" s="8"/>
      <c r="E439" s="31"/>
    </row>
    <row r="440" spans="1:5" x14ac:dyDescent="0.25">
      <c r="A440" s="8">
        <v>438</v>
      </c>
      <c r="B440" s="8"/>
      <c r="C440" s="8" t="b">
        <f>_xlfn.XLOOKUP(Table610[[#This Row],[Category No]],Table8[Category No],Table8[Chapter List],FALSE)</f>
        <v>0</v>
      </c>
      <c r="D440" s="8"/>
      <c r="E440" s="31"/>
    </row>
    <row r="441" spans="1:5" x14ac:dyDescent="0.25">
      <c r="A441" s="8">
        <v>439</v>
      </c>
      <c r="B441" s="8"/>
      <c r="C441" s="8" t="b">
        <f>_xlfn.XLOOKUP(Table610[[#This Row],[Category No]],Table8[Category No],Table8[Chapter List],FALSE)</f>
        <v>0</v>
      </c>
      <c r="D441" s="8"/>
      <c r="E441" s="31"/>
    </row>
    <row r="442" spans="1:5" x14ac:dyDescent="0.25">
      <c r="A442" s="8">
        <v>440</v>
      </c>
      <c r="B442" s="8"/>
      <c r="C442" s="8" t="b">
        <f>_xlfn.XLOOKUP(Table610[[#This Row],[Category No]],Table8[Category No],Table8[Chapter List],FALSE)</f>
        <v>0</v>
      </c>
      <c r="D442" s="8"/>
      <c r="E442" s="31"/>
    </row>
    <row r="443" spans="1:5" x14ac:dyDescent="0.25">
      <c r="A443" s="8">
        <v>441</v>
      </c>
      <c r="B443" s="8"/>
      <c r="C443" s="8" t="b">
        <f>_xlfn.XLOOKUP(Table610[[#This Row],[Category No]],Table8[Category No],Table8[Chapter List],FALSE)</f>
        <v>0</v>
      </c>
      <c r="D443" s="8"/>
      <c r="E443" s="31"/>
    </row>
    <row r="444" spans="1:5" x14ac:dyDescent="0.25">
      <c r="A444" s="8">
        <v>442</v>
      </c>
      <c r="B444" s="8"/>
      <c r="C444" s="8" t="b">
        <f>_xlfn.XLOOKUP(Table610[[#This Row],[Category No]],Table8[Category No],Table8[Chapter List],FALSE)</f>
        <v>0</v>
      </c>
      <c r="D444" s="8"/>
      <c r="E444" s="31"/>
    </row>
    <row r="445" spans="1:5" x14ac:dyDescent="0.25">
      <c r="A445" s="8">
        <v>443</v>
      </c>
      <c r="B445" s="8"/>
      <c r="C445" s="8" t="b">
        <f>_xlfn.XLOOKUP(Table610[[#This Row],[Category No]],Table8[Category No],Table8[Chapter List],FALSE)</f>
        <v>0</v>
      </c>
      <c r="D445" s="8"/>
      <c r="E445" s="31"/>
    </row>
    <row r="446" spans="1:5" x14ac:dyDescent="0.25">
      <c r="A446" s="8">
        <v>444</v>
      </c>
      <c r="B446" s="8"/>
      <c r="C446" s="8" t="b">
        <f>_xlfn.XLOOKUP(Table610[[#This Row],[Category No]],Table8[Category No],Table8[Chapter List],FALSE)</f>
        <v>0</v>
      </c>
      <c r="D446" s="8"/>
      <c r="E446" s="31"/>
    </row>
    <row r="447" spans="1:5" x14ac:dyDescent="0.25">
      <c r="A447" s="8">
        <v>445</v>
      </c>
      <c r="B447" s="8"/>
      <c r="C447" s="8" t="b">
        <f>_xlfn.XLOOKUP(Table610[[#This Row],[Category No]],Table8[Category No],Table8[Chapter List],FALSE)</f>
        <v>0</v>
      </c>
      <c r="D447" s="8"/>
      <c r="E447" s="31"/>
    </row>
    <row r="448" spans="1:5" x14ac:dyDescent="0.25">
      <c r="A448" s="8">
        <v>446</v>
      </c>
      <c r="B448" s="8"/>
      <c r="C448" s="8" t="b">
        <f>_xlfn.XLOOKUP(Table610[[#This Row],[Category No]],Table8[Category No],Table8[Chapter List],FALSE)</f>
        <v>0</v>
      </c>
      <c r="D448" s="8"/>
      <c r="E448" s="31"/>
    </row>
    <row r="449" spans="1:5" x14ac:dyDescent="0.25">
      <c r="A449" s="8">
        <v>447</v>
      </c>
      <c r="B449" s="8"/>
      <c r="C449" s="8" t="b">
        <f>_xlfn.XLOOKUP(Table610[[#This Row],[Category No]],Table8[Category No],Table8[Chapter List],FALSE)</f>
        <v>0</v>
      </c>
      <c r="D449" s="8"/>
      <c r="E449" s="31"/>
    </row>
    <row r="450" spans="1:5" x14ac:dyDescent="0.25">
      <c r="A450" s="8">
        <v>448</v>
      </c>
      <c r="B450" s="8"/>
      <c r="C450" s="8" t="b">
        <f>_xlfn.XLOOKUP(Table610[[#This Row],[Category No]],Table8[Category No],Table8[Chapter List],FALSE)</f>
        <v>0</v>
      </c>
      <c r="D450" s="8"/>
      <c r="E450" s="31"/>
    </row>
    <row r="451" spans="1:5" x14ac:dyDescent="0.25">
      <c r="A451" s="8">
        <v>449</v>
      </c>
      <c r="B451" s="8"/>
      <c r="C451" s="8" t="b">
        <f>_xlfn.XLOOKUP(Table610[[#This Row],[Category No]],Table8[Category No],Table8[Chapter List],FALSE)</f>
        <v>0</v>
      </c>
      <c r="D451" s="8"/>
      <c r="E451" s="31"/>
    </row>
    <row r="452" spans="1:5" x14ac:dyDescent="0.25">
      <c r="A452" s="8">
        <v>450</v>
      </c>
      <c r="B452" s="8"/>
      <c r="C452" s="8" t="b">
        <f>_xlfn.XLOOKUP(Table610[[#This Row],[Category No]],Table8[Category No],Table8[Chapter List],FALSE)</f>
        <v>0</v>
      </c>
      <c r="D452" s="8"/>
      <c r="E452" s="31"/>
    </row>
    <row r="453" spans="1:5" x14ac:dyDescent="0.25">
      <c r="A453" s="8">
        <v>451</v>
      </c>
      <c r="B453" s="8"/>
      <c r="C453" s="8" t="b">
        <f>_xlfn.XLOOKUP(Table610[[#This Row],[Category No]],Table8[Category No],Table8[Chapter List],FALSE)</f>
        <v>0</v>
      </c>
      <c r="D453" s="8"/>
      <c r="E453" s="31"/>
    </row>
    <row r="454" spans="1:5" x14ac:dyDescent="0.25">
      <c r="A454" s="8">
        <v>452</v>
      </c>
      <c r="B454" s="8"/>
      <c r="C454" s="8" t="b">
        <f>_xlfn.XLOOKUP(Table610[[#This Row],[Category No]],Table8[Category No],Table8[Chapter List],FALSE)</f>
        <v>0</v>
      </c>
      <c r="D454" s="8"/>
      <c r="E454" s="31"/>
    </row>
    <row r="455" spans="1:5" x14ac:dyDescent="0.25">
      <c r="A455" s="8">
        <v>453</v>
      </c>
      <c r="B455" s="8"/>
      <c r="C455" s="8" t="b">
        <f>_xlfn.XLOOKUP(Table610[[#This Row],[Category No]],Table8[Category No],Table8[Chapter List],FALSE)</f>
        <v>0</v>
      </c>
      <c r="D455" s="8"/>
      <c r="E455" s="31"/>
    </row>
    <row r="456" spans="1:5" x14ac:dyDescent="0.25">
      <c r="A456" s="8">
        <v>454</v>
      </c>
      <c r="B456" s="8"/>
      <c r="C456" s="8" t="b">
        <f>_xlfn.XLOOKUP(Table610[[#This Row],[Category No]],Table8[Category No],Table8[Chapter List],FALSE)</f>
        <v>0</v>
      </c>
      <c r="D456" s="8"/>
      <c r="E456" s="31"/>
    </row>
    <row r="457" spans="1:5" x14ac:dyDescent="0.25">
      <c r="A457" s="8">
        <v>455</v>
      </c>
      <c r="B457" s="8"/>
      <c r="C457" s="8" t="b">
        <f>_xlfn.XLOOKUP(Table610[[#This Row],[Category No]],Table8[Category No],Table8[Chapter List],FALSE)</f>
        <v>0</v>
      </c>
      <c r="D457" s="8"/>
      <c r="E457" s="31"/>
    </row>
    <row r="458" spans="1:5" x14ac:dyDescent="0.25">
      <c r="A458" s="8">
        <v>456</v>
      </c>
      <c r="B458" s="8"/>
      <c r="C458" s="8" t="b">
        <f>_xlfn.XLOOKUP(Table610[[#This Row],[Category No]],Table8[Category No],Table8[Chapter List],FALSE)</f>
        <v>0</v>
      </c>
      <c r="D458" s="8"/>
      <c r="E458" s="31"/>
    </row>
    <row r="459" spans="1:5" x14ac:dyDescent="0.25">
      <c r="A459" s="8">
        <v>457</v>
      </c>
      <c r="B459" s="8"/>
      <c r="C459" s="8" t="b">
        <f>_xlfn.XLOOKUP(Table610[[#This Row],[Category No]],Table8[Category No],Table8[Chapter List],FALSE)</f>
        <v>0</v>
      </c>
      <c r="D459" s="8"/>
      <c r="E459" s="31"/>
    </row>
    <row r="460" spans="1:5" x14ac:dyDescent="0.25">
      <c r="A460" s="8">
        <v>458</v>
      </c>
      <c r="B460" s="8"/>
      <c r="C460" s="8" t="b">
        <f>_xlfn.XLOOKUP(Table610[[#This Row],[Category No]],Table8[Category No],Table8[Chapter List],FALSE)</f>
        <v>0</v>
      </c>
      <c r="D460" s="8"/>
      <c r="E460" s="31"/>
    </row>
    <row r="461" spans="1:5" x14ac:dyDescent="0.25">
      <c r="A461" s="8">
        <v>459</v>
      </c>
      <c r="B461" s="8"/>
      <c r="C461" s="8" t="b">
        <f>_xlfn.XLOOKUP(Table610[[#This Row],[Category No]],Table8[Category No],Table8[Chapter List],FALSE)</f>
        <v>0</v>
      </c>
      <c r="D461" s="8"/>
      <c r="E461" s="31"/>
    </row>
    <row r="462" spans="1:5" x14ac:dyDescent="0.25">
      <c r="A462" s="8">
        <v>460</v>
      </c>
      <c r="B462" s="8"/>
      <c r="C462" s="8" t="b">
        <f>_xlfn.XLOOKUP(Table610[[#This Row],[Category No]],Table8[Category No],Table8[Chapter List],FALSE)</f>
        <v>0</v>
      </c>
      <c r="D462" s="8"/>
      <c r="E462" s="31"/>
    </row>
    <row r="463" spans="1:5" x14ac:dyDescent="0.25">
      <c r="A463" s="8">
        <v>461</v>
      </c>
      <c r="B463" s="8"/>
      <c r="C463" s="8" t="b">
        <f>_xlfn.XLOOKUP(Table610[[#This Row],[Category No]],Table8[Category No],Table8[Chapter List],FALSE)</f>
        <v>0</v>
      </c>
      <c r="D463" s="8"/>
      <c r="E463" s="31"/>
    </row>
    <row r="464" spans="1:5" x14ac:dyDescent="0.25">
      <c r="A464" s="8">
        <v>462</v>
      </c>
      <c r="B464" s="8"/>
      <c r="C464" s="8" t="b">
        <f>_xlfn.XLOOKUP(Table610[[#This Row],[Category No]],Table8[Category No],Table8[Chapter List],FALSE)</f>
        <v>0</v>
      </c>
      <c r="D464" s="8"/>
      <c r="E464" s="31"/>
    </row>
    <row r="465" spans="1:5" x14ac:dyDescent="0.25">
      <c r="A465" s="8">
        <v>463</v>
      </c>
      <c r="B465" s="8"/>
      <c r="C465" s="8" t="b">
        <f>_xlfn.XLOOKUP(Table610[[#This Row],[Category No]],Table8[Category No],Table8[Chapter List],FALSE)</f>
        <v>0</v>
      </c>
      <c r="D465" s="8"/>
      <c r="E465" s="31"/>
    </row>
    <row r="466" spans="1:5" x14ac:dyDescent="0.25">
      <c r="A466" s="8">
        <v>464</v>
      </c>
      <c r="B466" s="8"/>
      <c r="C466" s="8" t="b">
        <f>_xlfn.XLOOKUP(Table610[[#This Row],[Category No]],Table8[Category No],Table8[Chapter List],FALSE)</f>
        <v>0</v>
      </c>
      <c r="D466" s="8"/>
      <c r="E466" s="31"/>
    </row>
    <row r="467" spans="1:5" x14ac:dyDescent="0.25">
      <c r="A467" s="8">
        <v>465</v>
      </c>
      <c r="B467" s="8"/>
      <c r="C467" s="8" t="b">
        <f>_xlfn.XLOOKUP(Table610[[#This Row],[Category No]],Table8[Category No],Table8[Chapter List],FALSE)</f>
        <v>0</v>
      </c>
      <c r="D467" s="8"/>
      <c r="E467" s="31"/>
    </row>
    <row r="468" spans="1:5" x14ac:dyDescent="0.25">
      <c r="A468" s="8">
        <v>466</v>
      </c>
      <c r="B468" s="8"/>
      <c r="C468" s="8" t="b">
        <f>_xlfn.XLOOKUP(Table610[[#This Row],[Category No]],Table8[Category No],Table8[Chapter List],FALSE)</f>
        <v>0</v>
      </c>
      <c r="D468" s="8"/>
      <c r="E468" s="31"/>
    </row>
    <row r="469" spans="1:5" x14ac:dyDescent="0.25">
      <c r="A469" s="8">
        <v>467</v>
      </c>
      <c r="B469" s="8"/>
      <c r="C469" s="8" t="b">
        <f>_xlfn.XLOOKUP(Table610[[#This Row],[Category No]],Table8[Category No],Table8[Chapter List],FALSE)</f>
        <v>0</v>
      </c>
      <c r="D469" s="8"/>
      <c r="E469" s="31"/>
    </row>
    <row r="470" spans="1:5" x14ac:dyDescent="0.25">
      <c r="A470" s="8">
        <v>468</v>
      </c>
      <c r="B470" s="8"/>
      <c r="C470" s="8" t="b">
        <f>_xlfn.XLOOKUP(Table610[[#This Row],[Category No]],Table8[Category No],Table8[Chapter List],FALSE)</f>
        <v>0</v>
      </c>
      <c r="D470" s="8"/>
      <c r="E470" s="31"/>
    </row>
    <row r="471" spans="1:5" x14ac:dyDescent="0.25">
      <c r="A471" s="8">
        <v>469</v>
      </c>
      <c r="B471" s="8"/>
      <c r="C471" s="8" t="b">
        <f>_xlfn.XLOOKUP(Table610[[#This Row],[Category No]],Table8[Category No],Table8[Chapter List],FALSE)</f>
        <v>0</v>
      </c>
      <c r="D471" s="8"/>
      <c r="E471" s="31"/>
    </row>
    <row r="472" spans="1:5" x14ac:dyDescent="0.25">
      <c r="A472" s="8">
        <v>470</v>
      </c>
      <c r="B472" s="8"/>
      <c r="C472" s="8" t="b">
        <f>_xlfn.XLOOKUP(Table610[[#This Row],[Category No]],Table8[Category No],Table8[Chapter List],FALSE)</f>
        <v>0</v>
      </c>
      <c r="D472" s="8"/>
      <c r="E472" s="31"/>
    </row>
    <row r="473" spans="1:5" x14ac:dyDescent="0.25">
      <c r="A473" s="8">
        <v>471</v>
      </c>
      <c r="B473" s="8"/>
      <c r="C473" s="8" t="b">
        <f>_xlfn.XLOOKUP(Table610[[#This Row],[Category No]],Table8[Category No],Table8[Chapter List],FALSE)</f>
        <v>0</v>
      </c>
      <c r="D473" s="8"/>
      <c r="E473" s="31"/>
    </row>
    <row r="474" spans="1:5" x14ac:dyDescent="0.25">
      <c r="A474" s="8">
        <v>472</v>
      </c>
      <c r="B474" s="8"/>
      <c r="C474" s="8" t="b">
        <f>_xlfn.XLOOKUP(Table610[[#This Row],[Category No]],Table8[Category No],Table8[Chapter List],FALSE)</f>
        <v>0</v>
      </c>
      <c r="D474" s="8"/>
      <c r="E474" s="31"/>
    </row>
    <row r="475" spans="1:5" x14ac:dyDescent="0.25">
      <c r="A475" s="8">
        <v>473</v>
      </c>
      <c r="B475" s="8"/>
      <c r="C475" s="8" t="b">
        <f>_xlfn.XLOOKUP(Table610[[#This Row],[Category No]],Table8[Category No],Table8[Chapter List],FALSE)</f>
        <v>0</v>
      </c>
      <c r="D475" s="8"/>
      <c r="E475" s="31"/>
    </row>
    <row r="476" spans="1:5" x14ac:dyDescent="0.25">
      <c r="A476" s="8">
        <v>474</v>
      </c>
      <c r="B476" s="8"/>
      <c r="C476" s="8" t="b">
        <f>_xlfn.XLOOKUP(Table610[[#This Row],[Category No]],Table8[Category No],Table8[Chapter List],FALSE)</f>
        <v>0</v>
      </c>
      <c r="D476" s="8"/>
      <c r="E476" s="31"/>
    </row>
    <row r="477" spans="1:5" x14ac:dyDescent="0.25">
      <c r="A477" s="8">
        <v>475</v>
      </c>
      <c r="B477" s="8"/>
      <c r="C477" s="8" t="b">
        <f>_xlfn.XLOOKUP(Table610[[#This Row],[Category No]],Table8[Category No],Table8[Chapter List],FALSE)</f>
        <v>0</v>
      </c>
      <c r="D477" s="8"/>
      <c r="E477" s="31"/>
    </row>
    <row r="478" spans="1:5" x14ac:dyDescent="0.25">
      <c r="A478" s="8">
        <v>476</v>
      </c>
      <c r="B478" s="8"/>
      <c r="C478" s="8" t="b">
        <f>_xlfn.XLOOKUP(Table610[[#This Row],[Category No]],Table8[Category No],Table8[Chapter List],FALSE)</f>
        <v>0</v>
      </c>
      <c r="D478" s="8"/>
      <c r="E478" s="31"/>
    </row>
    <row r="479" spans="1:5" x14ac:dyDescent="0.25">
      <c r="A479" s="8">
        <v>477</v>
      </c>
      <c r="B479" s="8"/>
      <c r="C479" s="8" t="b">
        <f>_xlfn.XLOOKUP(Table610[[#This Row],[Category No]],Table8[Category No],Table8[Chapter List],FALSE)</f>
        <v>0</v>
      </c>
      <c r="D479" s="8"/>
      <c r="E479" s="31"/>
    </row>
    <row r="480" spans="1:5" x14ac:dyDescent="0.25">
      <c r="A480" s="8">
        <v>478</v>
      </c>
      <c r="B480" s="8"/>
      <c r="C480" s="8" t="b">
        <f>_xlfn.XLOOKUP(Table610[[#This Row],[Category No]],Table8[Category No],Table8[Chapter List],FALSE)</f>
        <v>0</v>
      </c>
      <c r="D480" s="8"/>
      <c r="E480" s="31"/>
    </row>
    <row r="481" spans="1:5" x14ac:dyDescent="0.25">
      <c r="A481" s="8">
        <v>479</v>
      </c>
      <c r="B481" s="8"/>
      <c r="C481" s="8" t="b">
        <f>_xlfn.XLOOKUP(Table610[[#This Row],[Category No]],Table8[Category No],Table8[Chapter List],FALSE)</f>
        <v>0</v>
      </c>
      <c r="D481" s="8"/>
      <c r="E481" s="31"/>
    </row>
    <row r="482" spans="1:5" x14ac:dyDescent="0.25">
      <c r="A482" s="8">
        <v>480</v>
      </c>
      <c r="B482" s="8"/>
      <c r="C482" s="8" t="b">
        <f>_xlfn.XLOOKUP(Table610[[#This Row],[Category No]],Table8[Category No],Table8[Chapter List],FALSE)</f>
        <v>0</v>
      </c>
      <c r="D482" s="8"/>
      <c r="E482" s="31"/>
    </row>
    <row r="483" spans="1:5" x14ac:dyDescent="0.25">
      <c r="A483" s="8">
        <v>481</v>
      </c>
      <c r="B483" s="8"/>
      <c r="C483" s="8" t="b">
        <f>_xlfn.XLOOKUP(Table610[[#This Row],[Category No]],Table8[Category No],Table8[Chapter List],FALSE)</f>
        <v>0</v>
      </c>
      <c r="D483" s="8"/>
      <c r="E483" s="31"/>
    </row>
    <row r="484" spans="1:5" x14ac:dyDescent="0.25">
      <c r="A484" s="8">
        <v>482</v>
      </c>
      <c r="B484" s="8"/>
      <c r="C484" s="8" t="b">
        <f>_xlfn.XLOOKUP(Table610[[#This Row],[Category No]],Table8[Category No],Table8[Chapter List],FALSE)</f>
        <v>0</v>
      </c>
      <c r="D484" s="8"/>
      <c r="E484" s="31"/>
    </row>
    <row r="485" spans="1:5" x14ac:dyDescent="0.25">
      <c r="A485" s="8">
        <v>483</v>
      </c>
      <c r="B485" s="8"/>
      <c r="C485" s="8" t="b">
        <f>_xlfn.XLOOKUP(Table610[[#This Row],[Category No]],Table8[Category No],Table8[Chapter List],FALSE)</f>
        <v>0</v>
      </c>
      <c r="D485" s="8"/>
      <c r="E485" s="31"/>
    </row>
    <row r="486" spans="1:5" x14ac:dyDescent="0.25">
      <c r="A486" s="8">
        <v>484</v>
      </c>
      <c r="B486" s="8"/>
      <c r="C486" s="8" t="b">
        <f>_xlfn.XLOOKUP(Table610[[#This Row],[Category No]],Table8[Category No],Table8[Chapter List],FALSE)</f>
        <v>0</v>
      </c>
      <c r="D486" s="8"/>
      <c r="E486" s="31"/>
    </row>
    <row r="487" spans="1:5" x14ac:dyDescent="0.25">
      <c r="A487" s="8">
        <v>485</v>
      </c>
      <c r="B487" s="8"/>
      <c r="C487" s="8" t="b">
        <f>_xlfn.XLOOKUP(Table610[[#This Row],[Category No]],Table8[Category No],Table8[Chapter List],FALSE)</f>
        <v>0</v>
      </c>
      <c r="D487" s="8"/>
      <c r="E487" s="31"/>
    </row>
    <row r="488" spans="1:5" x14ac:dyDescent="0.25">
      <c r="A488" s="8">
        <v>486</v>
      </c>
      <c r="B488" s="8"/>
      <c r="C488" s="8" t="b">
        <f>_xlfn.XLOOKUP(Table610[[#This Row],[Category No]],Table8[Category No],Table8[Chapter List],FALSE)</f>
        <v>0</v>
      </c>
      <c r="D488" s="8"/>
      <c r="E488" s="31"/>
    </row>
    <row r="489" spans="1:5" x14ac:dyDescent="0.25">
      <c r="A489" s="8">
        <v>487</v>
      </c>
      <c r="B489" s="8"/>
      <c r="C489" s="8" t="b">
        <f>_xlfn.XLOOKUP(Table610[[#This Row],[Category No]],Table8[Category No],Table8[Chapter List],FALSE)</f>
        <v>0</v>
      </c>
      <c r="D489" s="8"/>
      <c r="E489" s="31"/>
    </row>
    <row r="490" spans="1:5" x14ac:dyDescent="0.25">
      <c r="A490" s="8">
        <v>488</v>
      </c>
      <c r="B490" s="8"/>
      <c r="C490" s="8" t="b">
        <f>_xlfn.XLOOKUP(Table610[[#This Row],[Category No]],Table8[Category No],Table8[Chapter List],FALSE)</f>
        <v>0</v>
      </c>
      <c r="D490" s="8"/>
      <c r="E490" s="31"/>
    </row>
    <row r="491" spans="1:5" x14ac:dyDescent="0.25">
      <c r="A491" s="8">
        <v>489</v>
      </c>
      <c r="B491" s="8"/>
      <c r="C491" s="8" t="b">
        <f>_xlfn.XLOOKUP(Table610[[#This Row],[Category No]],Table8[Category No],Table8[Chapter List],FALSE)</f>
        <v>0</v>
      </c>
      <c r="D491" s="8"/>
      <c r="E491" s="31"/>
    </row>
    <row r="492" spans="1:5" x14ac:dyDescent="0.25">
      <c r="A492" s="8">
        <v>490</v>
      </c>
      <c r="B492" s="8"/>
      <c r="C492" s="8" t="b">
        <f>_xlfn.XLOOKUP(Table610[[#This Row],[Category No]],Table8[Category No],Table8[Chapter List],FALSE)</f>
        <v>0</v>
      </c>
      <c r="D492" s="8"/>
      <c r="E492" s="31"/>
    </row>
    <row r="493" spans="1:5" x14ac:dyDescent="0.25">
      <c r="A493" s="8">
        <v>491</v>
      </c>
      <c r="B493" s="8"/>
      <c r="C493" s="8" t="b">
        <f>_xlfn.XLOOKUP(Table610[[#This Row],[Category No]],Table8[Category No],Table8[Chapter List],FALSE)</f>
        <v>0</v>
      </c>
      <c r="D493" s="8"/>
      <c r="E493" s="31"/>
    </row>
    <row r="494" spans="1:5" x14ac:dyDescent="0.25">
      <c r="A494" s="8">
        <v>492</v>
      </c>
      <c r="B494" s="8"/>
      <c r="C494" s="8" t="b">
        <f>_xlfn.XLOOKUP(Table610[[#This Row],[Category No]],Table8[Category No],Table8[Chapter List],FALSE)</f>
        <v>0</v>
      </c>
      <c r="D494" s="8"/>
      <c r="E494" s="31"/>
    </row>
    <row r="495" spans="1:5" x14ac:dyDescent="0.25">
      <c r="A495" s="8">
        <v>493</v>
      </c>
      <c r="B495" s="8"/>
      <c r="C495" s="8" t="b">
        <f>_xlfn.XLOOKUP(Table610[[#This Row],[Category No]],Table8[Category No],Table8[Chapter List],FALSE)</f>
        <v>0</v>
      </c>
      <c r="D495" s="8"/>
      <c r="E495" s="31"/>
    </row>
    <row r="496" spans="1:5" x14ac:dyDescent="0.25">
      <c r="A496" s="8">
        <v>494</v>
      </c>
      <c r="B496" s="8"/>
      <c r="C496" s="8" t="b">
        <f>_xlfn.XLOOKUP(Table610[[#This Row],[Category No]],Table8[Category No],Table8[Chapter List],FALSE)</f>
        <v>0</v>
      </c>
      <c r="D496" s="8"/>
      <c r="E496" s="31"/>
    </row>
    <row r="497" spans="1:5" x14ac:dyDescent="0.25">
      <c r="A497" s="8">
        <v>495</v>
      </c>
      <c r="B497" s="8"/>
      <c r="C497" s="8" t="b">
        <f>_xlfn.XLOOKUP(Table610[[#This Row],[Category No]],Table8[Category No],Table8[Chapter List],FALSE)</f>
        <v>0</v>
      </c>
      <c r="D497" s="8"/>
      <c r="E497" s="31"/>
    </row>
    <row r="498" spans="1:5" x14ac:dyDescent="0.25">
      <c r="A498" s="8">
        <v>496</v>
      </c>
      <c r="B498" s="8"/>
      <c r="C498" s="8" t="b">
        <f>_xlfn.XLOOKUP(Table610[[#This Row],[Category No]],Table8[Category No],Table8[Chapter List],FALSE)</f>
        <v>0</v>
      </c>
      <c r="D498" s="8"/>
      <c r="E498" s="31"/>
    </row>
    <row r="499" spans="1:5" x14ac:dyDescent="0.25">
      <c r="A499" s="8">
        <v>497</v>
      </c>
      <c r="B499" s="8"/>
      <c r="C499" s="8" t="b">
        <f>_xlfn.XLOOKUP(Table610[[#This Row],[Category No]],Table8[Category No],Table8[Chapter List],FALSE)</f>
        <v>0</v>
      </c>
      <c r="D499" s="8"/>
      <c r="E499" s="31"/>
    </row>
    <row r="500" spans="1:5" x14ac:dyDescent="0.25">
      <c r="A500" s="8">
        <v>498</v>
      </c>
      <c r="B500" s="8"/>
      <c r="C500" s="8" t="b">
        <f>_xlfn.XLOOKUP(Table610[[#This Row],[Category No]],Table8[Category No],Table8[Chapter List],FALSE)</f>
        <v>0</v>
      </c>
      <c r="D500" s="8"/>
      <c r="E500" s="31"/>
    </row>
    <row r="501" spans="1:5" x14ac:dyDescent="0.25">
      <c r="A501" s="8">
        <v>499</v>
      </c>
      <c r="B501" s="8"/>
      <c r="C501" s="8" t="b">
        <f>_xlfn.XLOOKUP(Table610[[#This Row],[Category No]],Table8[Category No],Table8[Chapter List],FALSE)</f>
        <v>0</v>
      </c>
      <c r="D501" s="8"/>
      <c r="E501" s="31"/>
    </row>
    <row r="502" spans="1:5" x14ac:dyDescent="0.25">
      <c r="A502" s="8">
        <v>500</v>
      </c>
      <c r="B502" s="8"/>
      <c r="C502" s="8" t="b">
        <f>_xlfn.XLOOKUP(Table610[[#This Row],[Category No]],Table8[Category No],Table8[Chapter List],FALSE)</f>
        <v>0</v>
      </c>
      <c r="D502" s="8"/>
      <c r="E502" s="31"/>
    </row>
    <row r="503" spans="1:5" x14ac:dyDescent="0.25">
      <c r="A503" s="8">
        <v>501</v>
      </c>
      <c r="B503" s="8"/>
      <c r="C503" s="8" t="b">
        <f>_xlfn.XLOOKUP(Table610[[#This Row],[Category No]],Table8[Category No],Table8[Chapter List],FALSE)</f>
        <v>0</v>
      </c>
      <c r="D503" s="8"/>
      <c r="E503" s="31"/>
    </row>
    <row r="504" spans="1:5" x14ac:dyDescent="0.25">
      <c r="A504" s="8">
        <v>502</v>
      </c>
      <c r="B504" s="8"/>
      <c r="C504" s="8" t="b">
        <f>_xlfn.XLOOKUP(Table610[[#This Row],[Category No]],Table8[Category No],Table8[Chapter List],FALSE)</f>
        <v>0</v>
      </c>
      <c r="D504" s="8"/>
      <c r="E504" s="31"/>
    </row>
    <row r="505" spans="1:5" x14ac:dyDescent="0.25">
      <c r="A505" s="8">
        <v>503</v>
      </c>
      <c r="B505" s="8"/>
      <c r="C505" s="8" t="b">
        <f>_xlfn.XLOOKUP(Table610[[#This Row],[Category No]],Table8[Category No],Table8[Chapter List],FALSE)</f>
        <v>0</v>
      </c>
      <c r="D505" s="8"/>
      <c r="E505" s="31"/>
    </row>
    <row r="506" spans="1:5" x14ac:dyDescent="0.25">
      <c r="A506" s="8">
        <v>504</v>
      </c>
      <c r="B506" s="8"/>
      <c r="C506" s="8" t="b">
        <f>_xlfn.XLOOKUP(Table610[[#This Row],[Category No]],Table8[Category No],Table8[Chapter List],FALSE)</f>
        <v>0</v>
      </c>
      <c r="D506" s="8"/>
      <c r="E506" s="31"/>
    </row>
    <row r="507" spans="1:5" x14ac:dyDescent="0.25">
      <c r="A507" s="8">
        <v>505</v>
      </c>
      <c r="B507" s="8"/>
      <c r="C507" s="8" t="b">
        <f>_xlfn.XLOOKUP(Table610[[#This Row],[Category No]],Table8[Category No],Table8[Chapter List],FALSE)</f>
        <v>0</v>
      </c>
      <c r="D507" s="8"/>
      <c r="E507" s="31"/>
    </row>
    <row r="508" spans="1:5" x14ac:dyDescent="0.25">
      <c r="A508" s="8">
        <v>506</v>
      </c>
      <c r="B508" s="8"/>
      <c r="C508" s="8" t="b">
        <f>_xlfn.XLOOKUP(Table610[[#This Row],[Category No]],Table8[Category No],Table8[Chapter List],FALSE)</f>
        <v>0</v>
      </c>
      <c r="D508" s="8"/>
      <c r="E508" s="31"/>
    </row>
    <row r="509" spans="1:5" x14ac:dyDescent="0.25">
      <c r="A509" s="8">
        <v>507</v>
      </c>
      <c r="B509" s="8"/>
      <c r="C509" s="8" t="b">
        <f>_xlfn.XLOOKUP(Table610[[#This Row],[Category No]],Table8[Category No],Table8[Chapter List],FALSE)</f>
        <v>0</v>
      </c>
      <c r="D509" s="8"/>
      <c r="E509" s="31"/>
    </row>
    <row r="510" spans="1:5" x14ac:dyDescent="0.25">
      <c r="A510" s="8">
        <v>508</v>
      </c>
      <c r="B510" s="8"/>
      <c r="C510" s="8" t="b">
        <f>_xlfn.XLOOKUP(Table610[[#This Row],[Category No]],Table8[Category No],Table8[Chapter List],FALSE)</f>
        <v>0</v>
      </c>
      <c r="D510" s="8"/>
      <c r="E510" s="31"/>
    </row>
    <row r="511" spans="1:5" x14ac:dyDescent="0.25">
      <c r="A511" s="8">
        <v>509</v>
      </c>
      <c r="B511" s="8"/>
      <c r="C511" s="8" t="b">
        <f>_xlfn.XLOOKUP(Table610[[#This Row],[Category No]],Table8[Category No],Table8[Chapter List],FALSE)</f>
        <v>0</v>
      </c>
      <c r="D511" s="8"/>
      <c r="E511" s="31"/>
    </row>
    <row r="512" spans="1:5" x14ac:dyDescent="0.25">
      <c r="A512" s="8">
        <v>510</v>
      </c>
      <c r="B512" s="8"/>
      <c r="C512" s="8" t="b">
        <f>_xlfn.XLOOKUP(Table610[[#This Row],[Category No]],Table8[Category No],Table8[Chapter List],FALSE)</f>
        <v>0</v>
      </c>
      <c r="D512" s="8"/>
      <c r="E512" s="31"/>
    </row>
    <row r="513" spans="1:5" x14ac:dyDescent="0.25">
      <c r="A513" s="8">
        <v>511</v>
      </c>
      <c r="B513" s="8"/>
      <c r="C513" s="8" t="b">
        <f>_xlfn.XLOOKUP(Table610[[#This Row],[Category No]],Table8[Category No],Table8[Chapter List],FALSE)</f>
        <v>0</v>
      </c>
      <c r="D513" s="8"/>
      <c r="E513" s="31"/>
    </row>
    <row r="514" spans="1:5" x14ac:dyDescent="0.25">
      <c r="A514" s="8">
        <v>512</v>
      </c>
      <c r="B514" s="8"/>
      <c r="C514" s="8" t="b">
        <f>_xlfn.XLOOKUP(Table610[[#This Row],[Category No]],Table8[Category No],Table8[Chapter List],FALSE)</f>
        <v>0</v>
      </c>
      <c r="D514" s="8"/>
      <c r="E514" s="31"/>
    </row>
    <row r="515" spans="1:5" x14ac:dyDescent="0.25">
      <c r="A515" s="8">
        <v>513</v>
      </c>
      <c r="B515" s="8"/>
      <c r="C515" s="8" t="b">
        <f>_xlfn.XLOOKUP(Table610[[#This Row],[Category No]],Table8[Category No],Table8[Chapter List],FALSE)</f>
        <v>0</v>
      </c>
      <c r="D515" s="8"/>
      <c r="E515" s="31"/>
    </row>
    <row r="516" spans="1:5" x14ac:dyDescent="0.25">
      <c r="A516" s="8">
        <v>514</v>
      </c>
      <c r="B516" s="8"/>
      <c r="C516" s="8" t="b">
        <f>_xlfn.XLOOKUP(Table610[[#This Row],[Category No]],Table8[Category No],Table8[Chapter List],FALSE)</f>
        <v>0</v>
      </c>
      <c r="D516" s="8"/>
      <c r="E516" s="31"/>
    </row>
    <row r="517" spans="1:5" x14ac:dyDescent="0.25">
      <c r="A517" s="8">
        <v>515</v>
      </c>
      <c r="B517" s="8"/>
      <c r="C517" s="8" t="b">
        <f>_xlfn.XLOOKUP(Table610[[#This Row],[Category No]],Table8[Category No],Table8[Chapter List],FALSE)</f>
        <v>0</v>
      </c>
      <c r="D517" s="8"/>
      <c r="E517" s="31"/>
    </row>
    <row r="518" spans="1:5" x14ac:dyDescent="0.25">
      <c r="A518" s="8">
        <v>516</v>
      </c>
      <c r="B518" s="8"/>
      <c r="C518" s="8" t="b">
        <f>_xlfn.XLOOKUP(Table610[[#This Row],[Category No]],Table8[Category No],Table8[Chapter List],FALSE)</f>
        <v>0</v>
      </c>
      <c r="D518" s="8"/>
      <c r="E518" s="31"/>
    </row>
    <row r="519" spans="1:5" x14ac:dyDescent="0.25">
      <c r="A519" s="8">
        <v>517</v>
      </c>
      <c r="B519" s="8"/>
      <c r="C519" s="8" t="b">
        <f>_xlfn.XLOOKUP(Table610[[#This Row],[Category No]],Table8[Category No],Table8[Chapter List],FALSE)</f>
        <v>0</v>
      </c>
      <c r="D519" s="8"/>
      <c r="E519" s="31"/>
    </row>
    <row r="520" spans="1:5" x14ac:dyDescent="0.25">
      <c r="A520" s="8">
        <v>518</v>
      </c>
      <c r="B520" s="8"/>
      <c r="C520" s="8" t="b">
        <f>_xlfn.XLOOKUP(Table610[[#This Row],[Category No]],Table8[Category No],Table8[Chapter List],FALSE)</f>
        <v>0</v>
      </c>
      <c r="D520" s="8"/>
      <c r="E520" s="31"/>
    </row>
    <row r="521" spans="1:5" x14ac:dyDescent="0.25">
      <c r="A521" s="8">
        <v>519</v>
      </c>
      <c r="B521" s="8"/>
      <c r="C521" s="8" t="b">
        <f>_xlfn.XLOOKUP(Table610[[#This Row],[Category No]],Table8[Category No],Table8[Chapter List],FALSE)</f>
        <v>0</v>
      </c>
      <c r="D521" s="8"/>
      <c r="E521" s="31"/>
    </row>
    <row r="522" spans="1:5" x14ac:dyDescent="0.25">
      <c r="A522" s="8">
        <v>520</v>
      </c>
      <c r="B522" s="8"/>
      <c r="C522" s="8" t="b">
        <f>_xlfn.XLOOKUP(Table610[[#This Row],[Category No]],Table8[Category No],Table8[Chapter List],FALSE)</f>
        <v>0</v>
      </c>
      <c r="D522" s="8"/>
      <c r="E522" s="31"/>
    </row>
    <row r="523" spans="1:5" x14ac:dyDescent="0.25">
      <c r="A523" s="8">
        <v>521</v>
      </c>
      <c r="B523" s="8"/>
      <c r="C523" s="8" t="b">
        <f>_xlfn.XLOOKUP(Table610[[#This Row],[Category No]],Table8[Category No],Table8[Chapter List],FALSE)</f>
        <v>0</v>
      </c>
      <c r="D523" s="8"/>
      <c r="E523" s="31"/>
    </row>
    <row r="524" spans="1:5" x14ac:dyDescent="0.25">
      <c r="A524" s="8">
        <v>522</v>
      </c>
      <c r="B524" s="8"/>
      <c r="C524" s="8" t="b">
        <f>_xlfn.XLOOKUP(Table610[[#This Row],[Category No]],Table8[Category No],Table8[Chapter List],FALSE)</f>
        <v>0</v>
      </c>
      <c r="D524" s="8"/>
      <c r="E524" s="31"/>
    </row>
    <row r="525" spans="1:5" x14ac:dyDescent="0.25">
      <c r="A525" s="8">
        <v>523</v>
      </c>
      <c r="B525" s="8"/>
      <c r="C525" s="8" t="b">
        <f>_xlfn.XLOOKUP(Table610[[#This Row],[Category No]],Table8[Category No],Table8[Chapter List],FALSE)</f>
        <v>0</v>
      </c>
      <c r="D525" s="8"/>
      <c r="E525" s="31"/>
    </row>
    <row r="526" spans="1:5" x14ac:dyDescent="0.25">
      <c r="A526" s="8">
        <v>524</v>
      </c>
      <c r="B526" s="8"/>
      <c r="C526" s="8" t="b">
        <f>_xlfn.XLOOKUP(Table610[[#This Row],[Category No]],Table8[Category No],Table8[Chapter List],FALSE)</f>
        <v>0</v>
      </c>
      <c r="D526" s="8"/>
      <c r="E526" s="31"/>
    </row>
    <row r="527" spans="1:5" x14ac:dyDescent="0.25">
      <c r="A527" s="8">
        <v>525</v>
      </c>
      <c r="B527" s="8"/>
      <c r="C527" s="8" t="b">
        <f>_xlfn.XLOOKUP(Table610[[#This Row],[Category No]],Table8[Category No],Table8[Chapter List],FALSE)</f>
        <v>0</v>
      </c>
      <c r="D527" s="8"/>
      <c r="E527" s="31"/>
    </row>
    <row r="528" spans="1:5" x14ac:dyDescent="0.25">
      <c r="A528" s="8">
        <v>526</v>
      </c>
      <c r="B528" s="8"/>
      <c r="C528" s="8" t="b">
        <f>_xlfn.XLOOKUP(Table610[[#This Row],[Category No]],Table8[Category No],Table8[Chapter List],FALSE)</f>
        <v>0</v>
      </c>
      <c r="D528" s="8"/>
      <c r="E528" s="31"/>
    </row>
    <row r="529" spans="1:5" x14ac:dyDescent="0.25">
      <c r="A529" s="8">
        <v>527</v>
      </c>
      <c r="B529" s="8"/>
      <c r="C529" s="8" t="b">
        <f>_xlfn.XLOOKUP(Table610[[#This Row],[Category No]],Table8[Category No],Table8[Chapter List],FALSE)</f>
        <v>0</v>
      </c>
      <c r="D529" s="8"/>
      <c r="E529" s="31"/>
    </row>
    <row r="530" spans="1:5" x14ac:dyDescent="0.25">
      <c r="A530" s="8">
        <v>528</v>
      </c>
      <c r="B530" s="8"/>
      <c r="C530" s="8" t="b">
        <f>_xlfn.XLOOKUP(Table610[[#This Row],[Category No]],Table8[Category No],Table8[Chapter List],FALSE)</f>
        <v>0</v>
      </c>
      <c r="D530" s="8"/>
      <c r="E530" s="31"/>
    </row>
    <row r="531" spans="1:5" x14ac:dyDescent="0.25">
      <c r="A531" s="8">
        <v>529</v>
      </c>
      <c r="B531" s="8"/>
      <c r="C531" s="8" t="b">
        <f>_xlfn.XLOOKUP(Table610[[#This Row],[Category No]],Table8[Category No],Table8[Chapter List],FALSE)</f>
        <v>0</v>
      </c>
      <c r="D531" s="8"/>
      <c r="E531" s="31"/>
    </row>
    <row r="532" spans="1:5" x14ac:dyDescent="0.25">
      <c r="A532" s="8">
        <v>530</v>
      </c>
      <c r="B532" s="8"/>
      <c r="C532" s="8" t="b">
        <f>_xlfn.XLOOKUP(Table610[[#This Row],[Category No]],Table8[Category No],Table8[Chapter List],FALSE)</f>
        <v>0</v>
      </c>
      <c r="D532" s="8"/>
      <c r="E532" s="31"/>
    </row>
    <row r="533" spans="1:5" x14ac:dyDescent="0.25">
      <c r="A533" s="8">
        <v>531</v>
      </c>
      <c r="B533" s="8"/>
      <c r="C533" s="8" t="b">
        <f>_xlfn.XLOOKUP(Table610[[#This Row],[Category No]],Table8[Category No],Table8[Chapter List],FALSE)</f>
        <v>0</v>
      </c>
      <c r="D533" s="8"/>
      <c r="E533" s="31"/>
    </row>
    <row r="534" spans="1:5" x14ac:dyDescent="0.25">
      <c r="A534" s="8">
        <v>532</v>
      </c>
      <c r="B534" s="8"/>
      <c r="C534" s="8" t="b">
        <f>_xlfn.XLOOKUP(Table610[[#This Row],[Category No]],Table8[Category No],Table8[Chapter List],FALSE)</f>
        <v>0</v>
      </c>
      <c r="D534" s="8"/>
      <c r="E534" s="31"/>
    </row>
    <row r="535" spans="1:5" x14ac:dyDescent="0.25">
      <c r="A535" s="8">
        <v>533</v>
      </c>
      <c r="B535" s="8"/>
      <c r="C535" s="8" t="b">
        <f>_xlfn.XLOOKUP(Table610[[#This Row],[Category No]],Table8[Category No],Table8[Chapter List],FALSE)</f>
        <v>0</v>
      </c>
      <c r="D535" s="8"/>
      <c r="E535" s="31"/>
    </row>
    <row r="536" spans="1:5" x14ac:dyDescent="0.25">
      <c r="A536" s="8">
        <v>534</v>
      </c>
      <c r="B536" s="8"/>
      <c r="C536" s="8" t="b">
        <f>_xlfn.XLOOKUP(Table610[[#This Row],[Category No]],Table8[Category No],Table8[Chapter List],FALSE)</f>
        <v>0</v>
      </c>
      <c r="D536" s="8"/>
      <c r="E536" s="31"/>
    </row>
    <row r="537" spans="1:5" x14ac:dyDescent="0.25">
      <c r="A537" s="8">
        <v>535</v>
      </c>
      <c r="B537" s="8"/>
      <c r="C537" s="8" t="b">
        <f>_xlfn.XLOOKUP(Table610[[#This Row],[Category No]],Table8[Category No],Table8[Chapter List],FALSE)</f>
        <v>0</v>
      </c>
      <c r="D537" s="8"/>
      <c r="E537" s="31"/>
    </row>
    <row r="538" spans="1:5" x14ac:dyDescent="0.25">
      <c r="A538" s="8">
        <v>536</v>
      </c>
      <c r="B538" s="8"/>
      <c r="C538" s="8" t="b">
        <f>_xlfn.XLOOKUP(Table610[[#This Row],[Category No]],Table8[Category No],Table8[Chapter List],FALSE)</f>
        <v>0</v>
      </c>
      <c r="D538" s="8"/>
      <c r="E538" s="31"/>
    </row>
    <row r="539" spans="1:5" x14ac:dyDescent="0.25">
      <c r="A539" s="8">
        <v>537</v>
      </c>
      <c r="B539" s="8"/>
      <c r="C539" s="8" t="b">
        <f>_xlfn.XLOOKUP(Table610[[#This Row],[Category No]],Table8[Category No],Table8[Chapter List],FALSE)</f>
        <v>0</v>
      </c>
      <c r="D539" s="8"/>
      <c r="E539" s="31"/>
    </row>
    <row r="540" spans="1:5" x14ac:dyDescent="0.25">
      <c r="A540" s="8">
        <v>538</v>
      </c>
      <c r="B540" s="8"/>
      <c r="C540" s="8" t="b">
        <f>_xlfn.XLOOKUP(Table610[[#This Row],[Category No]],Table8[Category No],Table8[Chapter List],FALSE)</f>
        <v>0</v>
      </c>
      <c r="D540" s="8"/>
      <c r="E540" s="31"/>
    </row>
    <row r="541" spans="1:5" x14ac:dyDescent="0.25">
      <c r="A541" s="8">
        <v>539</v>
      </c>
      <c r="B541" s="8"/>
      <c r="C541" s="8" t="b">
        <f>_xlfn.XLOOKUP(Table610[[#This Row],[Category No]],Table8[Category No],Table8[Chapter List],FALSE)</f>
        <v>0</v>
      </c>
      <c r="D541" s="8"/>
      <c r="E541" s="31"/>
    </row>
    <row r="542" spans="1:5" x14ac:dyDescent="0.25">
      <c r="A542" s="8">
        <v>540</v>
      </c>
      <c r="B542" s="8"/>
      <c r="C542" s="8" t="b">
        <f>_xlfn.XLOOKUP(Table610[[#This Row],[Category No]],Table8[Category No],Table8[Chapter List],FALSE)</f>
        <v>0</v>
      </c>
      <c r="D542" s="8"/>
      <c r="E542" s="31"/>
    </row>
    <row r="543" spans="1:5" x14ac:dyDescent="0.25">
      <c r="A543" s="8">
        <v>541</v>
      </c>
      <c r="B543" s="8"/>
      <c r="C543" s="8" t="b">
        <f>_xlfn.XLOOKUP(Table610[[#This Row],[Category No]],Table8[Category No],Table8[Chapter List],FALSE)</f>
        <v>0</v>
      </c>
      <c r="D543" s="8"/>
      <c r="E543" s="31"/>
    </row>
    <row r="544" spans="1:5" x14ac:dyDescent="0.25">
      <c r="A544" s="8">
        <v>542</v>
      </c>
      <c r="B544" s="8"/>
      <c r="C544" s="8" t="b">
        <f>_xlfn.XLOOKUP(Table610[[#This Row],[Category No]],Table8[Category No],Table8[Chapter List],FALSE)</f>
        <v>0</v>
      </c>
      <c r="D544" s="8"/>
      <c r="E544" s="31"/>
    </row>
    <row r="545" spans="1:5" x14ac:dyDescent="0.25">
      <c r="A545" s="8">
        <v>543</v>
      </c>
      <c r="B545" s="8"/>
      <c r="C545" s="8" t="b">
        <f>_xlfn.XLOOKUP(Table610[[#This Row],[Category No]],Table8[Category No],Table8[Chapter List],FALSE)</f>
        <v>0</v>
      </c>
      <c r="D545" s="8"/>
      <c r="E545" s="31"/>
    </row>
    <row r="546" spans="1:5" x14ac:dyDescent="0.25">
      <c r="A546" s="8">
        <v>544</v>
      </c>
      <c r="B546" s="8"/>
      <c r="C546" s="8" t="b">
        <f>_xlfn.XLOOKUP(Table610[[#This Row],[Category No]],Table8[Category No],Table8[Chapter List],FALSE)</f>
        <v>0</v>
      </c>
      <c r="D546" s="8"/>
      <c r="E546" s="31"/>
    </row>
    <row r="547" spans="1:5" x14ac:dyDescent="0.25">
      <c r="A547" s="8">
        <v>545</v>
      </c>
      <c r="B547" s="8"/>
      <c r="C547" s="8" t="b">
        <f>_xlfn.XLOOKUP(Table610[[#This Row],[Category No]],Table8[Category No],Table8[Chapter List],FALSE)</f>
        <v>0</v>
      </c>
      <c r="D547" s="8"/>
      <c r="E547" s="31"/>
    </row>
    <row r="548" spans="1:5" x14ac:dyDescent="0.25">
      <c r="A548" s="8">
        <v>546</v>
      </c>
      <c r="B548" s="8"/>
      <c r="C548" s="8" t="b">
        <f>_xlfn.XLOOKUP(Table610[[#This Row],[Category No]],Table8[Category No],Table8[Chapter List],FALSE)</f>
        <v>0</v>
      </c>
      <c r="D548" s="8"/>
      <c r="E548" s="31"/>
    </row>
    <row r="549" spans="1:5" x14ac:dyDescent="0.25">
      <c r="A549" s="8">
        <v>547</v>
      </c>
      <c r="B549" s="8"/>
      <c r="C549" s="8" t="b">
        <f>_xlfn.XLOOKUP(Table610[[#This Row],[Category No]],Table8[Category No],Table8[Chapter List],FALSE)</f>
        <v>0</v>
      </c>
      <c r="D549" s="8"/>
      <c r="E549" s="31"/>
    </row>
    <row r="550" spans="1:5" x14ac:dyDescent="0.25">
      <c r="A550" s="8">
        <v>548</v>
      </c>
      <c r="B550" s="8"/>
      <c r="C550" s="8" t="b">
        <f>_xlfn.XLOOKUP(Table610[[#This Row],[Category No]],Table8[Category No],Table8[Chapter List],FALSE)</f>
        <v>0</v>
      </c>
      <c r="D550" s="8"/>
      <c r="E550" s="31"/>
    </row>
    <row r="551" spans="1:5" x14ac:dyDescent="0.25">
      <c r="A551" s="8">
        <v>549</v>
      </c>
      <c r="B551" s="8"/>
      <c r="C551" s="8" t="b">
        <f>_xlfn.XLOOKUP(Table610[[#This Row],[Category No]],Table8[Category No],Table8[Chapter List],FALSE)</f>
        <v>0</v>
      </c>
      <c r="D551" s="8"/>
      <c r="E551" s="31"/>
    </row>
    <row r="552" spans="1:5" x14ac:dyDescent="0.25">
      <c r="A552" s="8">
        <v>550</v>
      </c>
      <c r="B552" s="8"/>
      <c r="C552" s="8" t="b">
        <f>_xlfn.XLOOKUP(Table610[[#This Row],[Category No]],Table8[Category No],Table8[Chapter List],FALSE)</f>
        <v>0</v>
      </c>
      <c r="D552" s="8"/>
      <c r="E552" s="31"/>
    </row>
    <row r="553" spans="1:5" x14ac:dyDescent="0.25">
      <c r="A553" s="8">
        <v>551</v>
      </c>
      <c r="B553" s="8"/>
      <c r="C553" s="8" t="b">
        <f>_xlfn.XLOOKUP(Table610[[#This Row],[Category No]],Table8[Category No],Table8[Chapter List],FALSE)</f>
        <v>0</v>
      </c>
      <c r="D553" s="8"/>
      <c r="E553" s="31"/>
    </row>
    <row r="554" spans="1:5" x14ac:dyDescent="0.25">
      <c r="A554" s="8">
        <v>552</v>
      </c>
      <c r="B554" s="8"/>
      <c r="C554" s="8" t="b">
        <f>_xlfn.XLOOKUP(Table610[[#This Row],[Category No]],Table8[Category No],Table8[Chapter List],FALSE)</f>
        <v>0</v>
      </c>
      <c r="D554" s="8"/>
      <c r="E554" s="31"/>
    </row>
    <row r="555" spans="1:5" x14ac:dyDescent="0.25">
      <c r="A555" s="8">
        <v>553</v>
      </c>
      <c r="B555" s="8"/>
      <c r="C555" s="8" t="b">
        <f>_xlfn.XLOOKUP(Table610[[#This Row],[Category No]],Table8[Category No],Table8[Chapter List],FALSE)</f>
        <v>0</v>
      </c>
      <c r="D555" s="8"/>
      <c r="E555" s="31"/>
    </row>
    <row r="556" spans="1:5" x14ac:dyDescent="0.25">
      <c r="A556" s="8">
        <v>554</v>
      </c>
      <c r="B556" s="8"/>
      <c r="C556" s="8" t="b">
        <f>_xlfn.XLOOKUP(Table610[[#This Row],[Category No]],Table8[Category No],Table8[Chapter List],FALSE)</f>
        <v>0</v>
      </c>
      <c r="D556" s="8"/>
      <c r="E556" s="31"/>
    </row>
    <row r="557" spans="1:5" x14ac:dyDescent="0.25">
      <c r="A557" s="8">
        <v>555</v>
      </c>
      <c r="B557" s="8"/>
      <c r="C557" s="8" t="b">
        <f>_xlfn.XLOOKUP(Table610[[#This Row],[Category No]],Table8[Category No],Table8[Chapter List],FALSE)</f>
        <v>0</v>
      </c>
      <c r="D557" s="8"/>
      <c r="E557" s="31"/>
    </row>
    <row r="558" spans="1:5" x14ac:dyDescent="0.25">
      <c r="A558" s="8">
        <v>556</v>
      </c>
      <c r="B558" s="8"/>
      <c r="C558" s="8" t="b">
        <f>_xlfn.XLOOKUP(Table610[[#This Row],[Category No]],Table8[Category No],Table8[Chapter List],FALSE)</f>
        <v>0</v>
      </c>
      <c r="D558" s="8"/>
      <c r="E558" s="31"/>
    </row>
    <row r="559" spans="1:5" x14ac:dyDescent="0.25">
      <c r="A559" s="8">
        <v>557</v>
      </c>
      <c r="B559" s="8"/>
      <c r="C559" s="8" t="b">
        <f>_xlfn.XLOOKUP(Table610[[#This Row],[Category No]],Table8[Category No],Table8[Chapter List],FALSE)</f>
        <v>0</v>
      </c>
      <c r="D559" s="8"/>
      <c r="E559" s="31"/>
    </row>
    <row r="560" spans="1:5" x14ac:dyDescent="0.25">
      <c r="A560" s="8">
        <v>558</v>
      </c>
      <c r="B560" s="8"/>
      <c r="C560" s="8" t="b">
        <f>_xlfn.XLOOKUP(Table610[[#This Row],[Category No]],Table8[Category No],Table8[Chapter List],FALSE)</f>
        <v>0</v>
      </c>
      <c r="D560" s="8"/>
      <c r="E560" s="31"/>
    </row>
    <row r="561" spans="1:5" x14ac:dyDescent="0.25">
      <c r="A561" s="8">
        <v>559</v>
      </c>
      <c r="B561" s="8"/>
      <c r="C561" s="8" t="b">
        <f>_xlfn.XLOOKUP(Table610[[#This Row],[Category No]],Table8[Category No],Table8[Chapter List],FALSE)</f>
        <v>0</v>
      </c>
      <c r="D561" s="8"/>
      <c r="E561" s="31"/>
    </row>
    <row r="562" spans="1:5" x14ac:dyDescent="0.25">
      <c r="A562" s="8">
        <v>560</v>
      </c>
      <c r="B562" s="8"/>
      <c r="C562" s="8" t="b">
        <f>_xlfn.XLOOKUP(Table610[[#This Row],[Category No]],Table8[Category No],Table8[Chapter List],FALSE)</f>
        <v>0</v>
      </c>
      <c r="D562" s="8"/>
      <c r="E562" s="31"/>
    </row>
    <row r="563" spans="1:5" x14ac:dyDescent="0.25">
      <c r="A563" s="8">
        <v>561</v>
      </c>
      <c r="B563" s="8"/>
      <c r="C563" s="8" t="b">
        <f>_xlfn.XLOOKUP(Table610[[#This Row],[Category No]],Table8[Category No],Table8[Chapter List],FALSE)</f>
        <v>0</v>
      </c>
      <c r="D563" s="8"/>
      <c r="E563" s="31"/>
    </row>
    <row r="564" spans="1:5" x14ac:dyDescent="0.25">
      <c r="A564" s="8">
        <v>562</v>
      </c>
      <c r="B564" s="8"/>
      <c r="C564" s="8" t="b">
        <f>_xlfn.XLOOKUP(Table610[[#This Row],[Category No]],Table8[Category No],Table8[Chapter List],FALSE)</f>
        <v>0</v>
      </c>
      <c r="D564" s="8"/>
      <c r="E564" s="31"/>
    </row>
    <row r="565" spans="1:5" x14ac:dyDescent="0.25">
      <c r="A565" s="8">
        <v>563</v>
      </c>
      <c r="B565" s="8"/>
      <c r="C565" s="8" t="b">
        <f>_xlfn.XLOOKUP(Table610[[#This Row],[Category No]],Table8[Category No],Table8[Chapter List],FALSE)</f>
        <v>0</v>
      </c>
      <c r="D565" s="8"/>
      <c r="E565" s="31"/>
    </row>
    <row r="566" spans="1:5" x14ac:dyDescent="0.25">
      <c r="A566" s="8">
        <v>564</v>
      </c>
      <c r="B566" s="8"/>
      <c r="C566" s="8" t="b">
        <f>_xlfn.XLOOKUP(Table610[[#This Row],[Category No]],Table8[Category No],Table8[Chapter List],FALSE)</f>
        <v>0</v>
      </c>
      <c r="D566" s="8"/>
      <c r="E566" s="31"/>
    </row>
    <row r="567" spans="1:5" x14ac:dyDescent="0.25">
      <c r="A567" s="8">
        <v>565</v>
      </c>
      <c r="B567" s="8"/>
      <c r="C567" s="8" t="b">
        <f>_xlfn.XLOOKUP(Table610[[#This Row],[Category No]],Table8[Category No],Table8[Chapter List],FALSE)</f>
        <v>0</v>
      </c>
      <c r="D567" s="8"/>
      <c r="E567" s="31"/>
    </row>
    <row r="568" spans="1:5" x14ac:dyDescent="0.25">
      <c r="A568" s="8">
        <v>566</v>
      </c>
      <c r="B568" s="8"/>
      <c r="C568" s="8" t="b">
        <f>_xlfn.XLOOKUP(Table610[[#This Row],[Category No]],Table8[Category No],Table8[Chapter List],FALSE)</f>
        <v>0</v>
      </c>
      <c r="D568" s="8"/>
      <c r="E568" s="31"/>
    </row>
    <row r="569" spans="1:5" x14ac:dyDescent="0.25">
      <c r="A569" s="8">
        <v>567</v>
      </c>
      <c r="B569" s="8"/>
      <c r="C569" s="8" t="b">
        <f>_xlfn.XLOOKUP(Table610[[#This Row],[Category No]],Table8[Category No],Table8[Chapter List],FALSE)</f>
        <v>0</v>
      </c>
      <c r="D569" s="8"/>
      <c r="E569" s="31"/>
    </row>
    <row r="570" spans="1:5" x14ac:dyDescent="0.25">
      <c r="A570" s="8">
        <v>568</v>
      </c>
      <c r="B570" s="8"/>
      <c r="C570" s="8" t="b">
        <f>_xlfn.XLOOKUP(Table610[[#This Row],[Category No]],Table8[Category No],Table8[Chapter List],FALSE)</f>
        <v>0</v>
      </c>
      <c r="D570" s="8"/>
      <c r="E570" s="31"/>
    </row>
    <row r="571" spans="1:5" x14ac:dyDescent="0.25">
      <c r="A571" s="8">
        <v>569</v>
      </c>
      <c r="B571" s="8"/>
      <c r="C571" s="8" t="b">
        <f>_xlfn.XLOOKUP(Table610[[#This Row],[Category No]],Table8[Category No],Table8[Chapter List],FALSE)</f>
        <v>0</v>
      </c>
      <c r="D571" s="8"/>
      <c r="E571" s="31"/>
    </row>
    <row r="572" spans="1:5" x14ac:dyDescent="0.25">
      <c r="A572" s="8">
        <v>570</v>
      </c>
      <c r="B572" s="8"/>
      <c r="C572" s="8" t="b">
        <f>_xlfn.XLOOKUP(Table610[[#This Row],[Category No]],Table8[Category No],Table8[Chapter List],FALSE)</f>
        <v>0</v>
      </c>
      <c r="D572" s="8"/>
      <c r="E572" s="31"/>
    </row>
    <row r="573" spans="1:5" x14ac:dyDescent="0.25">
      <c r="A573" s="8">
        <v>571</v>
      </c>
      <c r="B573" s="8"/>
      <c r="C573" s="8" t="b">
        <f>_xlfn.XLOOKUP(Table610[[#This Row],[Category No]],Table8[Category No],Table8[Chapter List],FALSE)</f>
        <v>0</v>
      </c>
      <c r="D573" s="8"/>
      <c r="E573" s="31"/>
    </row>
    <row r="574" spans="1:5" x14ac:dyDescent="0.25">
      <c r="A574" s="8">
        <v>572</v>
      </c>
      <c r="B574" s="8"/>
      <c r="C574" s="8" t="b">
        <f>_xlfn.XLOOKUP(Table610[[#This Row],[Category No]],Table8[Category No],Table8[Chapter List],FALSE)</f>
        <v>0</v>
      </c>
      <c r="D574" s="8"/>
      <c r="E574" s="31"/>
    </row>
    <row r="575" spans="1:5" x14ac:dyDescent="0.25">
      <c r="A575" s="8">
        <v>573</v>
      </c>
      <c r="B575" s="8"/>
      <c r="C575" s="8" t="b">
        <f>_xlfn.XLOOKUP(Table610[[#This Row],[Category No]],Table8[Category No],Table8[Chapter List],FALSE)</f>
        <v>0</v>
      </c>
      <c r="D575" s="8"/>
      <c r="E575" s="31"/>
    </row>
    <row r="576" spans="1:5" x14ac:dyDescent="0.25">
      <c r="A576" s="8">
        <v>574</v>
      </c>
      <c r="B576" s="8"/>
      <c r="C576" s="8" t="b">
        <f>_xlfn.XLOOKUP(Table610[[#This Row],[Category No]],Table8[Category No],Table8[Chapter List],FALSE)</f>
        <v>0</v>
      </c>
      <c r="D576" s="8"/>
      <c r="E576" s="31"/>
    </row>
    <row r="577" spans="1:5" x14ac:dyDescent="0.25">
      <c r="A577" s="8">
        <v>575</v>
      </c>
      <c r="B577" s="8"/>
      <c r="C577" s="8" t="b">
        <f>_xlfn.XLOOKUP(Table610[[#This Row],[Category No]],Table8[Category No],Table8[Chapter List],FALSE)</f>
        <v>0</v>
      </c>
      <c r="D577" s="8"/>
      <c r="E577" s="31"/>
    </row>
    <row r="578" spans="1:5" x14ac:dyDescent="0.25">
      <c r="A578" s="8">
        <v>576</v>
      </c>
      <c r="B578" s="8"/>
      <c r="C578" s="8" t="b">
        <f>_xlfn.XLOOKUP(Table610[[#This Row],[Category No]],Table8[Category No],Table8[Chapter List],FALSE)</f>
        <v>0</v>
      </c>
      <c r="D578" s="8"/>
      <c r="E578" s="31"/>
    </row>
    <row r="579" spans="1:5" x14ac:dyDescent="0.25">
      <c r="A579" s="8">
        <v>577</v>
      </c>
      <c r="B579" s="8"/>
      <c r="C579" s="8" t="b">
        <f>_xlfn.XLOOKUP(Table610[[#This Row],[Category No]],Table8[Category No],Table8[Chapter List],FALSE)</f>
        <v>0</v>
      </c>
      <c r="D579" s="8"/>
      <c r="E579" s="31"/>
    </row>
    <row r="580" spans="1:5" x14ac:dyDescent="0.25">
      <c r="A580" s="8">
        <v>578</v>
      </c>
      <c r="B580" s="8"/>
      <c r="C580" s="8" t="b">
        <f>_xlfn.XLOOKUP(Table610[[#This Row],[Category No]],Table8[Category No],Table8[Chapter List],FALSE)</f>
        <v>0</v>
      </c>
      <c r="D580" s="8"/>
      <c r="E580" s="31"/>
    </row>
    <row r="581" spans="1:5" x14ac:dyDescent="0.25">
      <c r="A581" s="8">
        <v>579</v>
      </c>
      <c r="B581" s="8"/>
      <c r="C581" s="8" t="b">
        <f>_xlfn.XLOOKUP(Table610[[#This Row],[Category No]],Table8[Category No],Table8[Chapter List],FALSE)</f>
        <v>0</v>
      </c>
      <c r="D581" s="8"/>
      <c r="E581" s="31"/>
    </row>
    <row r="582" spans="1:5" x14ac:dyDescent="0.25">
      <c r="A582" s="8">
        <v>580</v>
      </c>
      <c r="B582" s="8"/>
      <c r="C582" s="8" t="b">
        <f>_xlfn.XLOOKUP(Table610[[#This Row],[Category No]],Table8[Category No],Table8[Chapter List],FALSE)</f>
        <v>0</v>
      </c>
      <c r="D582" s="8"/>
      <c r="E582" s="31"/>
    </row>
    <row r="583" spans="1:5" x14ac:dyDescent="0.25">
      <c r="A583" s="8">
        <v>581</v>
      </c>
      <c r="B583" s="8"/>
      <c r="C583" s="8" t="b">
        <f>_xlfn.XLOOKUP(Table610[[#This Row],[Category No]],Table8[Category No],Table8[Chapter List],FALSE)</f>
        <v>0</v>
      </c>
      <c r="D583" s="8"/>
      <c r="E583" s="31"/>
    </row>
    <row r="584" spans="1:5" x14ac:dyDescent="0.25">
      <c r="A584" s="8">
        <v>582</v>
      </c>
      <c r="B584" s="8"/>
      <c r="C584" s="8" t="b">
        <f>_xlfn.XLOOKUP(Table610[[#This Row],[Category No]],Table8[Category No],Table8[Chapter List],FALSE)</f>
        <v>0</v>
      </c>
      <c r="D584" s="8"/>
      <c r="E584" s="31"/>
    </row>
    <row r="585" spans="1:5" x14ac:dyDescent="0.25">
      <c r="A585" s="8">
        <v>583</v>
      </c>
      <c r="B585" s="8"/>
      <c r="C585" s="8" t="b">
        <f>_xlfn.XLOOKUP(Table610[[#This Row],[Category No]],Table8[Category No],Table8[Chapter List],FALSE)</f>
        <v>0</v>
      </c>
      <c r="D585" s="8"/>
      <c r="E585" s="31"/>
    </row>
    <row r="586" spans="1:5" x14ac:dyDescent="0.25">
      <c r="A586" s="8">
        <v>584</v>
      </c>
      <c r="B586" s="8"/>
      <c r="C586" s="8" t="b">
        <f>_xlfn.XLOOKUP(Table610[[#This Row],[Category No]],Table8[Category No],Table8[Chapter List],FALSE)</f>
        <v>0</v>
      </c>
      <c r="D586" s="8"/>
      <c r="E586" s="31"/>
    </row>
    <row r="587" spans="1:5" x14ac:dyDescent="0.25">
      <c r="A587" s="8">
        <v>585</v>
      </c>
      <c r="B587" s="8"/>
      <c r="C587" s="8" t="b">
        <f>_xlfn.XLOOKUP(Table610[[#This Row],[Category No]],Table8[Category No],Table8[Chapter List],FALSE)</f>
        <v>0</v>
      </c>
      <c r="D587" s="8"/>
      <c r="E587" s="31"/>
    </row>
    <row r="588" spans="1:5" x14ac:dyDescent="0.25">
      <c r="A588" s="8">
        <v>586</v>
      </c>
      <c r="B588" s="8"/>
      <c r="C588" s="8" t="b">
        <f>_xlfn.XLOOKUP(Table610[[#This Row],[Category No]],Table8[Category No],Table8[Chapter List],FALSE)</f>
        <v>0</v>
      </c>
      <c r="D588" s="8"/>
      <c r="E588" s="31"/>
    </row>
    <row r="589" spans="1:5" x14ac:dyDescent="0.25">
      <c r="A589" s="8">
        <v>587</v>
      </c>
      <c r="B589" s="8"/>
      <c r="C589" s="8" t="b">
        <f>_xlfn.XLOOKUP(Table610[[#This Row],[Category No]],Table8[Category No],Table8[Chapter List],FALSE)</f>
        <v>0</v>
      </c>
      <c r="D589" s="8"/>
      <c r="E589" s="31"/>
    </row>
    <row r="590" spans="1:5" x14ac:dyDescent="0.25">
      <c r="A590" s="8">
        <v>588</v>
      </c>
      <c r="B590" s="8"/>
      <c r="C590" s="8" t="b">
        <f>_xlfn.XLOOKUP(Table610[[#This Row],[Category No]],Table8[Category No],Table8[Chapter List],FALSE)</f>
        <v>0</v>
      </c>
      <c r="D590" s="8"/>
      <c r="E590" s="31"/>
    </row>
    <row r="591" spans="1:5" x14ac:dyDescent="0.25">
      <c r="A591" s="8">
        <v>589</v>
      </c>
      <c r="B591" s="8"/>
      <c r="C591" s="8" t="b">
        <f>_xlfn.XLOOKUP(Table610[[#This Row],[Category No]],Table8[Category No],Table8[Chapter List],FALSE)</f>
        <v>0</v>
      </c>
      <c r="D591" s="8"/>
      <c r="E591" s="31"/>
    </row>
    <row r="592" spans="1:5" x14ac:dyDescent="0.25">
      <c r="A592" s="8">
        <v>590</v>
      </c>
      <c r="B592" s="8"/>
      <c r="C592" s="8" t="b">
        <f>_xlfn.XLOOKUP(Table610[[#This Row],[Category No]],Table8[Category No],Table8[Chapter List],FALSE)</f>
        <v>0</v>
      </c>
      <c r="D592" s="8"/>
      <c r="E592" s="31"/>
    </row>
    <row r="593" spans="1:5" x14ac:dyDescent="0.25">
      <c r="A593" s="8">
        <v>591</v>
      </c>
      <c r="B593" s="8"/>
      <c r="C593" s="8" t="b">
        <f>_xlfn.XLOOKUP(Table610[[#This Row],[Category No]],Table8[Category No],Table8[Chapter List],FALSE)</f>
        <v>0</v>
      </c>
      <c r="D593" s="8"/>
      <c r="E593" s="31"/>
    </row>
    <row r="594" spans="1:5" x14ac:dyDescent="0.25">
      <c r="A594" s="8">
        <v>592</v>
      </c>
      <c r="B594" s="8"/>
      <c r="C594" s="8" t="b">
        <f>_xlfn.XLOOKUP(Table610[[#This Row],[Category No]],Table8[Category No],Table8[Chapter List],FALSE)</f>
        <v>0</v>
      </c>
      <c r="D594" s="8"/>
      <c r="E594" s="31"/>
    </row>
    <row r="595" spans="1:5" x14ac:dyDescent="0.25">
      <c r="A595" s="8">
        <v>593</v>
      </c>
      <c r="B595" s="8"/>
      <c r="C595" s="8" t="b">
        <f>_xlfn.XLOOKUP(Table610[[#This Row],[Category No]],Table8[Category No],Table8[Chapter List],FALSE)</f>
        <v>0</v>
      </c>
      <c r="D595" s="8"/>
      <c r="E595" s="31"/>
    </row>
    <row r="596" spans="1:5" x14ac:dyDescent="0.25">
      <c r="A596" s="8">
        <v>594</v>
      </c>
      <c r="B596" s="8"/>
      <c r="C596" s="8" t="b">
        <f>_xlfn.XLOOKUP(Table610[[#This Row],[Category No]],Table8[Category No],Table8[Chapter List],FALSE)</f>
        <v>0</v>
      </c>
      <c r="D596" s="8"/>
      <c r="E596" s="31"/>
    </row>
    <row r="597" spans="1:5" x14ac:dyDescent="0.25">
      <c r="A597" s="8">
        <v>595</v>
      </c>
      <c r="B597" s="8"/>
      <c r="C597" s="8" t="b">
        <f>_xlfn.XLOOKUP(Table610[[#This Row],[Category No]],Table8[Category No],Table8[Chapter List],FALSE)</f>
        <v>0</v>
      </c>
      <c r="D597" s="8"/>
      <c r="E597" s="31"/>
    </row>
    <row r="598" spans="1:5" x14ac:dyDescent="0.25">
      <c r="A598" s="8">
        <v>596</v>
      </c>
      <c r="B598" s="8"/>
      <c r="C598" s="8" t="b">
        <f>_xlfn.XLOOKUP(Table610[[#This Row],[Category No]],Table8[Category No],Table8[Chapter List],FALSE)</f>
        <v>0</v>
      </c>
      <c r="D598" s="8"/>
      <c r="E598" s="31"/>
    </row>
    <row r="599" spans="1:5" x14ac:dyDescent="0.25">
      <c r="A599" s="8">
        <v>597</v>
      </c>
      <c r="B599" s="8"/>
      <c r="C599" s="8" t="b">
        <f>_xlfn.XLOOKUP(Table610[[#This Row],[Category No]],Table8[Category No],Table8[Chapter List],FALSE)</f>
        <v>0</v>
      </c>
      <c r="D599" s="8"/>
      <c r="E599" s="31"/>
    </row>
    <row r="600" spans="1:5" x14ac:dyDescent="0.25">
      <c r="A600" s="8">
        <v>598</v>
      </c>
      <c r="B600" s="8"/>
      <c r="C600" s="8" t="b">
        <f>_xlfn.XLOOKUP(Table610[[#This Row],[Category No]],Table8[Category No],Table8[Chapter List],FALSE)</f>
        <v>0</v>
      </c>
      <c r="D600" s="8"/>
      <c r="E600" s="31"/>
    </row>
    <row r="601" spans="1:5" x14ac:dyDescent="0.25">
      <c r="A601" s="8">
        <v>599</v>
      </c>
      <c r="B601" s="8"/>
      <c r="C601" s="8" t="b">
        <f>_xlfn.XLOOKUP(Table610[[#This Row],[Category No]],Table8[Category No],Table8[Chapter List],FALSE)</f>
        <v>0</v>
      </c>
      <c r="D601" s="8"/>
      <c r="E601" s="31"/>
    </row>
    <row r="602" spans="1:5" x14ac:dyDescent="0.25">
      <c r="A602" s="8">
        <v>600</v>
      </c>
      <c r="B602" s="8"/>
      <c r="C602" s="8" t="b">
        <f>_xlfn.XLOOKUP(Table610[[#This Row],[Category No]],Table8[Category No],Table8[Chapter List],FALSE)</f>
        <v>0</v>
      </c>
      <c r="D602" s="8"/>
      <c r="E602" s="31"/>
    </row>
    <row r="603" spans="1:5" x14ac:dyDescent="0.25">
      <c r="A603" s="8">
        <v>601</v>
      </c>
      <c r="B603" s="8"/>
      <c r="C603" s="8" t="b">
        <f>_xlfn.XLOOKUP(Table610[[#This Row],[Category No]],Table8[Category No],Table8[Chapter List],FALSE)</f>
        <v>0</v>
      </c>
      <c r="D603" s="8"/>
      <c r="E603" s="31"/>
    </row>
    <row r="604" spans="1:5" x14ac:dyDescent="0.25">
      <c r="A604" s="8">
        <v>602</v>
      </c>
      <c r="B604" s="8"/>
      <c r="C604" s="8" t="b">
        <f>_xlfn.XLOOKUP(Table610[[#This Row],[Category No]],Table8[Category No],Table8[Chapter List],FALSE)</f>
        <v>0</v>
      </c>
      <c r="D604" s="8"/>
      <c r="E604" s="31"/>
    </row>
    <row r="605" spans="1:5" x14ac:dyDescent="0.25">
      <c r="A605" s="8">
        <v>603</v>
      </c>
      <c r="B605" s="8"/>
      <c r="C605" s="8" t="b">
        <f>_xlfn.XLOOKUP(Table610[[#This Row],[Category No]],Table8[Category No],Table8[Chapter List],FALSE)</f>
        <v>0</v>
      </c>
      <c r="D605" s="8"/>
      <c r="E605" s="31"/>
    </row>
    <row r="606" spans="1:5" x14ac:dyDescent="0.25">
      <c r="A606" s="8">
        <v>604</v>
      </c>
      <c r="B606" s="8"/>
      <c r="C606" s="8" t="b">
        <f>_xlfn.XLOOKUP(Table610[[#This Row],[Category No]],Table8[Category No],Table8[Chapter List],FALSE)</f>
        <v>0</v>
      </c>
      <c r="D606" s="8"/>
      <c r="E606" s="31"/>
    </row>
    <row r="607" spans="1:5" x14ac:dyDescent="0.25">
      <c r="A607" s="8">
        <v>605</v>
      </c>
      <c r="B607" s="8"/>
      <c r="C607" s="8" t="b">
        <f>_xlfn.XLOOKUP(Table610[[#This Row],[Category No]],Table8[Category No],Table8[Chapter List],FALSE)</f>
        <v>0</v>
      </c>
      <c r="D607" s="8"/>
      <c r="E607" s="31"/>
    </row>
    <row r="608" spans="1:5" x14ac:dyDescent="0.25">
      <c r="A608" s="8">
        <v>606</v>
      </c>
      <c r="B608" s="8"/>
      <c r="C608" s="8" t="b">
        <f>_xlfn.XLOOKUP(Table610[[#This Row],[Category No]],Table8[Category No],Table8[Chapter List],FALSE)</f>
        <v>0</v>
      </c>
      <c r="D608" s="8"/>
      <c r="E608" s="31"/>
    </row>
    <row r="609" spans="1:5" x14ac:dyDescent="0.25">
      <c r="A609" s="8">
        <v>607</v>
      </c>
      <c r="B609" s="8"/>
      <c r="C609" s="8" t="b">
        <f>_xlfn.XLOOKUP(Table610[[#This Row],[Category No]],Table8[Category No],Table8[Chapter List],FALSE)</f>
        <v>0</v>
      </c>
      <c r="D609" s="8"/>
      <c r="E609" s="31"/>
    </row>
    <row r="610" spans="1:5" x14ac:dyDescent="0.25">
      <c r="A610" s="8">
        <v>608</v>
      </c>
      <c r="B610" s="8"/>
      <c r="C610" s="8" t="b">
        <f>_xlfn.XLOOKUP(Table610[[#This Row],[Category No]],Table8[Category No],Table8[Chapter List],FALSE)</f>
        <v>0</v>
      </c>
      <c r="D610" s="8"/>
      <c r="E610" s="31"/>
    </row>
    <row r="611" spans="1:5" x14ac:dyDescent="0.25">
      <c r="A611" s="8">
        <v>609</v>
      </c>
      <c r="B611" s="8"/>
      <c r="C611" s="8" t="b">
        <f>_xlfn.XLOOKUP(Table610[[#This Row],[Category No]],Table8[Category No],Table8[Chapter List],FALSE)</f>
        <v>0</v>
      </c>
      <c r="D611" s="8"/>
      <c r="E611" s="31"/>
    </row>
    <row r="612" spans="1:5" x14ac:dyDescent="0.25">
      <c r="A612" s="8">
        <v>610</v>
      </c>
      <c r="B612" s="8"/>
      <c r="C612" s="8" t="b">
        <f>_xlfn.XLOOKUP(Table610[[#This Row],[Category No]],Table8[Category No],Table8[Chapter List],FALSE)</f>
        <v>0</v>
      </c>
      <c r="D612" s="8"/>
      <c r="E612" s="31"/>
    </row>
    <row r="613" spans="1:5" x14ac:dyDescent="0.25">
      <c r="A613" s="8">
        <v>611</v>
      </c>
      <c r="B613" s="8"/>
      <c r="C613" s="8" t="b">
        <f>_xlfn.XLOOKUP(Table610[[#This Row],[Category No]],Table8[Category No],Table8[Chapter List],FALSE)</f>
        <v>0</v>
      </c>
      <c r="D613" s="8"/>
      <c r="E613" s="31"/>
    </row>
    <row r="614" spans="1:5" x14ac:dyDescent="0.25">
      <c r="A614" s="8">
        <v>612</v>
      </c>
      <c r="B614" s="8"/>
      <c r="C614" s="8" t="b">
        <f>_xlfn.XLOOKUP(Table610[[#This Row],[Category No]],Table8[Category No],Table8[Chapter List],FALSE)</f>
        <v>0</v>
      </c>
      <c r="D614" s="8"/>
      <c r="E614" s="31"/>
    </row>
    <row r="615" spans="1:5" x14ac:dyDescent="0.25">
      <c r="A615" s="8">
        <v>613</v>
      </c>
      <c r="B615" s="8"/>
      <c r="C615" s="8" t="b">
        <f>_xlfn.XLOOKUP(Table610[[#This Row],[Category No]],Table8[Category No],Table8[Chapter List],FALSE)</f>
        <v>0</v>
      </c>
      <c r="D615" s="8"/>
      <c r="E615" s="31"/>
    </row>
    <row r="616" spans="1:5" x14ac:dyDescent="0.25">
      <c r="A616" s="8">
        <v>614</v>
      </c>
      <c r="B616" s="8"/>
      <c r="C616" s="8" t="b">
        <f>_xlfn.XLOOKUP(Table610[[#This Row],[Category No]],Table8[Category No],Table8[Chapter List],FALSE)</f>
        <v>0</v>
      </c>
      <c r="D616" s="8"/>
      <c r="E616" s="31"/>
    </row>
    <row r="617" spans="1:5" x14ac:dyDescent="0.25">
      <c r="A617" s="8">
        <v>615</v>
      </c>
      <c r="B617" s="8"/>
      <c r="C617" s="8" t="b">
        <f>_xlfn.XLOOKUP(Table610[[#This Row],[Category No]],Table8[Category No],Table8[Chapter List],FALSE)</f>
        <v>0</v>
      </c>
      <c r="D617" s="8"/>
      <c r="E617" s="31"/>
    </row>
    <row r="618" spans="1:5" x14ac:dyDescent="0.25">
      <c r="A618" s="8">
        <v>616</v>
      </c>
      <c r="B618" s="8"/>
      <c r="C618" s="8" t="b">
        <f>_xlfn.XLOOKUP(Table610[[#This Row],[Category No]],Table8[Category No],Table8[Chapter List],FALSE)</f>
        <v>0</v>
      </c>
      <c r="D618" s="8"/>
      <c r="E618" s="31"/>
    </row>
    <row r="619" spans="1:5" x14ac:dyDescent="0.25">
      <c r="A619" s="8">
        <v>617</v>
      </c>
      <c r="B619" s="8"/>
      <c r="C619" s="8" t="b">
        <f>_xlfn.XLOOKUP(Table610[[#This Row],[Category No]],Table8[Category No],Table8[Chapter List],FALSE)</f>
        <v>0</v>
      </c>
      <c r="D619" s="8"/>
      <c r="E619" s="31"/>
    </row>
    <row r="620" spans="1:5" x14ac:dyDescent="0.25">
      <c r="A620" s="8">
        <v>618</v>
      </c>
      <c r="B620" s="8"/>
      <c r="C620" s="8" t="b">
        <f>_xlfn.XLOOKUP(Table610[[#This Row],[Category No]],Table8[Category No],Table8[Chapter List],FALSE)</f>
        <v>0</v>
      </c>
      <c r="D620" s="8"/>
      <c r="E620" s="31"/>
    </row>
    <row r="621" spans="1:5" x14ac:dyDescent="0.25">
      <c r="A621" s="8">
        <v>619</v>
      </c>
      <c r="B621" s="8"/>
      <c r="C621" s="8" t="b">
        <f>_xlfn.XLOOKUP(Table610[[#This Row],[Category No]],Table8[Category No],Table8[Chapter List],FALSE)</f>
        <v>0</v>
      </c>
      <c r="D621" s="8"/>
      <c r="E621" s="31"/>
    </row>
    <row r="622" spans="1:5" x14ac:dyDescent="0.25">
      <c r="A622" s="8">
        <v>620</v>
      </c>
      <c r="B622" s="8"/>
      <c r="C622" s="8" t="b">
        <f>_xlfn.XLOOKUP(Table610[[#This Row],[Category No]],Table8[Category No],Table8[Chapter List],FALSE)</f>
        <v>0</v>
      </c>
      <c r="D622" s="8"/>
      <c r="E622" s="31"/>
    </row>
    <row r="623" spans="1:5" x14ac:dyDescent="0.25">
      <c r="A623" s="8">
        <v>621</v>
      </c>
      <c r="B623" s="8"/>
      <c r="C623" s="8" t="b">
        <f>_xlfn.XLOOKUP(Table610[[#This Row],[Category No]],Table8[Category No],Table8[Chapter List],FALSE)</f>
        <v>0</v>
      </c>
      <c r="D623" s="8"/>
      <c r="E623" s="31"/>
    </row>
    <row r="624" spans="1:5" x14ac:dyDescent="0.25">
      <c r="A624" s="8">
        <v>622</v>
      </c>
      <c r="B624" s="8"/>
      <c r="C624" s="8" t="b">
        <f>_xlfn.XLOOKUP(Table610[[#This Row],[Category No]],Table8[Category No],Table8[Chapter List],FALSE)</f>
        <v>0</v>
      </c>
      <c r="D624" s="8"/>
      <c r="E624" s="31"/>
    </row>
    <row r="625" spans="1:5" x14ac:dyDescent="0.25">
      <c r="A625" s="8">
        <v>623</v>
      </c>
      <c r="B625" s="8"/>
      <c r="C625" s="8" t="b">
        <f>_xlfn.XLOOKUP(Table610[[#This Row],[Category No]],Table8[Category No],Table8[Chapter List],FALSE)</f>
        <v>0</v>
      </c>
      <c r="D625" s="8"/>
      <c r="E625" s="31"/>
    </row>
    <row r="626" spans="1:5" x14ac:dyDescent="0.25">
      <c r="A626" s="8">
        <v>624</v>
      </c>
      <c r="B626" s="8"/>
      <c r="C626" s="8" t="b">
        <f>_xlfn.XLOOKUP(Table610[[#This Row],[Category No]],Table8[Category No],Table8[Chapter List],FALSE)</f>
        <v>0</v>
      </c>
      <c r="D626" s="8"/>
      <c r="E626" s="31"/>
    </row>
    <row r="627" spans="1:5" x14ac:dyDescent="0.25">
      <c r="A627" s="8">
        <v>625</v>
      </c>
      <c r="B627" s="8"/>
      <c r="C627" s="8" t="b">
        <f>_xlfn.XLOOKUP(Table610[[#This Row],[Category No]],Table8[Category No],Table8[Chapter List],FALSE)</f>
        <v>0</v>
      </c>
      <c r="D627" s="8"/>
      <c r="E627" s="31"/>
    </row>
    <row r="628" spans="1:5" x14ac:dyDescent="0.25">
      <c r="A628" s="8">
        <v>626</v>
      </c>
      <c r="B628" s="8"/>
      <c r="C628" s="8" t="b">
        <f>_xlfn.XLOOKUP(Table610[[#This Row],[Category No]],Table8[Category No],Table8[Chapter List],FALSE)</f>
        <v>0</v>
      </c>
      <c r="D628" s="8"/>
      <c r="E628" s="31"/>
    </row>
    <row r="629" spans="1:5" x14ac:dyDescent="0.25">
      <c r="A629" s="8">
        <v>627</v>
      </c>
      <c r="B629" s="8"/>
      <c r="C629" s="8" t="b">
        <f>_xlfn.XLOOKUP(Table610[[#This Row],[Category No]],Table8[Category No],Table8[Chapter List],FALSE)</f>
        <v>0</v>
      </c>
      <c r="D629" s="8"/>
      <c r="E629" s="31"/>
    </row>
    <row r="630" spans="1:5" x14ac:dyDescent="0.25">
      <c r="A630" s="8">
        <v>628</v>
      </c>
      <c r="B630" s="8"/>
      <c r="C630" s="8" t="b">
        <f>_xlfn.XLOOKUP(Table610[[#This Row],[Category No]],Table8[Category No],Table8[Chapter List],FALSE)</f>
        <v>0</v>
      </c>
      <c r="D630" s="8"/>
      <c r="E630" s="31"/>
    </row>
    <row r="631" spans="1:5" x14ac:dyDescent="0.25">
      <c r="A631" s="8">
        <v>629</v>
      </c>
      <c r="B631" s="8"/>
      <c r="C631" s="8" t="b">
        <f>_xlfn.XLOOKUP(Table610[[#This Row],[Category No]],Table8[Category No],Table8[Chapter List],FALSE)</f>
        <v>0</v>
      </c>
      <c r="D631" s="8"/>
      <c r="E631" s="31"/>
    </row>
    <row r="632" spans="1:5" x14ac:dyDescent="0.25">
      <c r="A632" s="8">
        <v>630</v>
      </c>
      <c r="B632" s="8"/>
      <c r="C632" s="8" t="b">
        <f>_xlfn.XLOOKUP(Table610[[#This Row],[Category No]],Table8[Category No],Table8[Chapter List],FALSE)</f>
        <v>0</v>
      </c>
      <c r="D632" s="8"/>
      <c r="E632" s="31"/>
    </row>
    <row r="633" spans="1:5" x14ac:dyDescent="0.25">
      <c r="A633" s="8">
        <v>631</v>
      </c>
      <c r="B633" s="8"/>
      <c r="C633" s="8" t="b">
        <f>_xlfn.XLOOKUP(Table610[[#This Row],[Category No]],Table8[Category No],Table8[Chapter List],FALSE)</f>
        <v>0</v>
      </c>
      <c r="D633" s="8"/>
      <c r="E633" s="31"/>
    </row>
    <row r="634" spans="1:5" x14ac:dyDescent="0.25">
      <c r="A634" s="8">
        <v>632</v>
      </c>
      <c r="B634" s="8"/>
      <c r="C634" s="8" t="b">
        <f>_xlfn.XLOOKUP(Table610[[#This Row],[Category No]],Table8[Category No],Table8[Chapter List],FALSE)</f>
        <v>0</v>
      </c>
      <c r="D634" s="8"/>
      <c r="E634" s="31"/>
    </row>
    <row r="635" spans="1:5" x14ac:dyDescent="0.25">
      <c r="A635" s="8">
        <v>633</v>
      </c>
      <c r="B635" s="8"/>
      <c r="C635" s="8" t="b">
        <f>_xlfn.XLOOKUP(Table610[[#This Row],[Category No]],Table8[Category No],Table8[Chapter List],FALSE)</f>
        <v>0</v>
      </c>
      <c r="D635" s="8"/>
      <c r="E635" s="31"/>
    </row>
    <row r="636" spans="1:5" x14ac:dyDescent="0.25">
      <c r="A636" s="8">
        <v>634</v>
      </c>
      <c r="B636" s="8"/>
      <c r="C636" s="8" t="b">
        <f>_xlfn.XLOOKUP(Table610[[#This Row],[Category No]],Table8[Category No],Table8[Chapter List],FALSE)</f>
        <v>0</v>
      </c>
      <c r="D636" s="8"/>
      <c r="E636" s="31"/>
    </row>
    <row r="637" spans="1:5" x14ac:dyDescent="0.25">
      <c r="A637" s="8">
        <v>635</v>
      </c>
      <c r="B637" s="8"/>
      <c r="C637" s="8" t="b">
        <f>_xlfn.XLOOKUP(Table610[[#This Row],[Category No]],Table8[Category No],Table8[Chapter List],FALSE)</f>
        <v>0</v>
      </c>
      <c r="D637" s="8"/>
      <c r="E637" s="31"/>
    </row>
    <row r="638" spans="1:5" x14ac:dyDescent="0.25">
      <c r="A638" s="8">
        <v>636</v>
      </c>
      <c r="B638" s="8"/>
      <c r="C638" s="8" t="b">
        <f>_xlfn.XLOOKUP(Table610[[#This Row],[Category No]],Table8[Category No],Table8[Chapter List],FALSE)</f>
        <v>0</v>
      </c>
      <c r="D638" s="8"/>
      <c r="E638" s="31"/>
    </row>
    <row r="639" spans="1:5" x14ac:dyDescent="0.25">
      <c r="A639" s="8">
        <v>637</v>
      </c>
      <c r="B639" s="8"/>
      <c r="C639" s="8" t="b">
        <f>_xlfn.XLOOKUP(Table610[[#This Row],[Category No]],Table8[Category No],Table8[Chapter List],FALSE)</f>
        <v>0</v>
      </c>
      <c r="D639" s="8"/>
      <c r="E639" s="31"/>
    </row>
    <row r="640" spans="1:5" x14ac:dyDescent="0.25">
      <c r="A640" s="8">
        <v>638</v>
      </c>
      <c r="B640" s="8"/>
      <c r="C640" s="8" t="b">
        <f>_xlfn.XLOOKUP(Table610[[#This Row],[Category No]],Table8[Category No],Table8[Chapter List],FALSE)</f>
        <v>0</v>
      </c>
      <c r="D640" s="8"/>
      <c r="E640" s="31"/>
    </row>
    <row r="641" spans="1:5" x14ac:dyDescent="0.25">
      <c r="A641" s="8">
        <v>639</v>
      </c>
      <c r="B641" s="8"/>
      <c r="C641" s="8" t="b">
        <f>_xlfn.XLOOKUP(Table610[[#This Row],[Category No]],Table8[Category No],Table8[Chapter List],FALSE)</f>
        <v>0</v>
      </c>
      <c r="D641" s="8"/>
      <c r="E641" s="31"/>
    </row>
    <row r="642" spans="1:5" x14ac:dyDescent="0.25">
      <c r="A642" s="8">
        <v>640</v>
      </c>
      <c r="B642" s="8"/>
      <c r="C642" s="8" t="b">
        <f>_xlfn.XLOOKUP(Table610[[#This Row],[Category No]],Table8[Category No],Table8[Chapter List],FALSE)</f>
        <v>0</v>
      </c>
      <c r="D642" s="8"/>
      <c r="E642" s="31"/>
    </row>
    <row r="643" spans="1:5" x14ac:dyDescent="0.25">
      <c r="A643" s="8">
        <v>641</v>
      </c>
      <c r="B643" s="8"/>
      <c r="C643" s="8" t="b">
        <f>_xlfn.XLOOKUP(Table610[[#This Row],[Category No]],Table8[Category No],Table8[Chapter List],FALSE)</f>
        <v>0</v>
      </c>
      <c r="D643" s="8"/>
      <c r="E643" s="31"/>
    </row>
    <row r="644" spans="1:5" x14ac:dyDescent="0.25">
      <c r="A644" s="8">
        <v>642</v>
      </c>
      <c r="B644" s="8"/>
      <c r="C644" s="8" t="b">
        <f>_xlfn.XLOOKUP(Table610[[#This Row],[Category No]],Table8[Category No],Table8[Chapter List],FALSE)</f>
        <v>0</v>
      </c>
      <c r="D644" s="8"/>
      <c r="E644" s="31"/>
    </row>
    <row r="645" spans="1:5" x14ac:dyDescent="0.25">
      <c r="A645" s="8">
        <v>643</v>
      </c>
      <c r="B645" s="8"/>
      <c r="C645" s="8" t="b">
        <f>_xlfn.XLOOKUP(Table610[[#This Row],[Category No]],Table8[Category No],Table8[Chapter List],FALSE)</f>
        <v>0</v>
      </c>
      <c r="D645" s="8"/>
      <c r="E645" s="31"/>
    </row>
    <row r="646" spans="1:5" x14ac:dyDescent="0.25">
      <c r="A646" s="8">
        <v>644</v>
      </c>
      <c r="B646" s="8"/>
      <c r="C646" s="8" t="b">
        <f>_xlfn.XLOOKUP(Table610[[#This Row],[Category No]],Table8[Category No],Table8[Chapter List],FALSE)</f>
        <v>0</v>
      </c>
      <c r="D646" s="8"/>
      <c r="E646" s="31"/>
    </row>
    <row r="647" spans="1:5" x14ac:dyDescent="0.25">
      <c r="A647" s="8">
        <v>645</v>
      </c>
      <c r="B647" s="8"/>
      <c r="C647" s="8" t="b">
        <f>_xlfn.XLOOKUP(Table610[[#This Row],[Category No]],Table8[Category No],Table8[Chapter List],FALSE)</f>
        <v>0</v>
      </c>
      <c r="D647" s="8"/>
      <c r="E647" s="31"/>
    </row>
    <row r="648" spans="1:5" x14ac:dyDescent="0.25">
      <c r="A648" s="8">
        <v>646</v>
      </c>
      <c r="B648" s="8"/>
      <c r="C648" s="8" t="b">
        <f>_xlfn.XLOOKUP(Table610[[#This Row],[Category No]],Table8[Category No],Table8[Chapter List],FALSE)</f>
        <v>0</v>
      </c>
      <c r="D648" s="8"/>
      <c r="E648" s="31"/>
    </row>
    <row r="649" spans="1:5" x14ac:dyDescent="0.25">
      <c r="A649" s="8">
        <v>647</v>
      </c>
      <c r="B649" s="8"/>
      <c r="C649" s="8" t="b">
        <f>_xlfn.XLOOKUP(Table610[[#This Row],[Category No]],Table8[Category No],Table8[Chapter List],FALSE)</f>
        <v>0</v>
      </c>
      <c r="D649" s="8"/>
      <c r="E649" s="31"/>
    </row>
    <row r="650" spans="1:5" x14ac:dyDescent="0.25">
      <c r="A650" s="8">
        <v>648</v>
      </c>
      <c r="B650" s="8"/>
      <c r="C650" s="8" t="b">
        <f>_xlfn.XLOOKUP(Table610[[#This Row],[Category No]],Table8[Category No],Table8[Chapter List],FALSE)</f>
        <v>0</v>
      </c>
      <c r="D650" s="8"/>
      <c r="E650" s="31"/>
    </row>
    <row r="651" spans="1:5" x14ac:dyDescent="0.25">
      <c r="A651" s="8">
        <v>649</v>
      </c>
      <c r="B651" s="8"/>
      <c r="C651" s="8" t="b">
        <f>_xlfn.XLOOKUP(Table610[[#This Row],[Category No]],Table8[Category No],Table8[Chapter List],FALSE)</f>
        <v>0</v>
      </c>
      <c r="D651" s="8"/>
      <c r="E651" s="31"/>
    </row>
    <row r="652" spans="1:5" x14ac:dyDescent="0.25">
      <c r="A652" s="8">
        <v>650</v>
      </c>
      <c r="B652" s="8"/>
      <c r="C652" s="8" t="b">
        <f>_xlfn.XLOOKUP(Table610[[#This Row],[Category No]],Table8[Category No],Table8[Chapter List],FALSE)</f>
        <v>0</v>
      </c>
      <c r="D652" s="8"/>
      <c r="E652" s="31"/>
    </row>
    <row r="653" spans="1:5" x14ac:dyDescent="0.25">
      <c r="A653" s="8">
        <v>651</v>
      </c>
      <c r="B653" s="8"/>
      <c r="C653" s="8" t="b">
        <f>_xlfn.XLOOKUP(Table610[[#This Row],[Category No]],Table8[Category No],Table8[Chapter List],FALSE)</f>
        <v>0</v>
      </c>
      <c r="D653" s="8"/>
      <c r="E653" s="31"/>
    </row>
    <row r="654" spans="1:5" x14ac:dyDescent="0.25">
      <c r="A654" s="8">
        <v>652</v>
      </c>
      <c r="B654" s="8"/>
      <c r="C654" s="8" t="b">
        <f>_xlfn.XLOOKUP(Table610[[#This Row],[Category No]],Table8[Category No],Table8[Chapter List],FALSE)</f>
        <v>0</v>
      </c>
      <c r="D654" s="8"/>
      <c r="E654" s="31"/>
    </row>
    <row r="655" spans="1:5" x14ac:dyDescent="0.25">
      <c r="A655" s="8">
        <v>653</v>
      </c>
      <c r="B655" s="8"/>
      <c r="C655" s="8" t="b">
        <f>_xlfn.XLOOKUP(Table610[[#This Row],[Category No]],Table8[Category No],Table8[Chapter List],FALSE)</f>
        <v>0</v>
      </c>
      <c r="D655" s="8"/>
      <c r="E655" s="31"/>
    </row>
    <row r="656" spans="1:5" x14ac:dyDescent="0.25">
      <c r="A656" s="8">
        <v>654</v>
      </c>
      <c r="B656" s="8"/>
      <c r="C656" s="8" t="b">
        <f>_xlfn.XLOOKUP(Table610[[#This Row],[Category No]],Table8[Category No],Table8[Chapter List],FALSE)</f>
        <v>0</v>
      </c>
      <c r="D656" s="8"/>
      <c r="E656" s="31"/>
    </row>
    <row r="657" spans="1:5" x14ac:dyDescent="0.25">
      <c r="A657" s="8">
        <v>655</v>
      </c>
      <c r="B657" s="8"/>
      <c r="C657" s="8" t="b">
        <f>_xlfn.XLOOKUP(Table610[[#This Row],[Category No]],Table8[Category No],Table8[Chapter List],FALSE)</f>
        <v>0</v>
      </c>
      <c r="D657" s="8"/>
      <c r="E657" s="31"/>
    </row>
    <row r="658" spans="1:5" x14ac:dyDescent="0.25">
      <c r="A658" s="8">
        <v>656</v>
      </c>
      <c r="B658" s="8"/>
      <c r="C658" s="8" t="b">
        <f>_xlfn.XLOOKUP(Table610[[#This Row],[Category No]],Table8[Category No],Table8[Chapter List],FALSE)</f>
        <v>0</v>
      </c>
      <c r="D658" s="8"/>
      <c r="E658" s="31"/>
    </row>
    <row r="659" spans="1:5" x14ac:dyDescent="0.25">
      <c r="A659" s="8">
        <v>657</v>
      </c>
      <c r="B659" s="8"/>
      <c r="C659" s="8" t="b">
        <f>_xlfn.XLOOKUP(Table610[[#This Row],[Category No]],Table8[Category No],Table8[Chapter List],FALSE)</f>
        <v>0</v>
      </c>
      <c r="D659" s="8"/>
      <c r="E659" s="31"/>
    </row>
    <row r="660" spans="1:5" x14ac:dyDescent="0.25">
      <c r="A660" s="8">
        <v>658</v>
      </c>
      <c r="B660" s="8"/>
      <c r="C660" s="8" t="b">
        <f>_xlfn.XLOOKUP(Table610[[#This Row],[Category No]],Table8[Category No],Table8[Chapter List],FALSE)</f>
        <v>0</v>
      </c>
      <c r="D660" s="8"/>
      <c r="E660" s="31"/>
    </row>
    <row r="661" spans="1:5" x14ac:dyDescent="0.25">
      <c r="A661" s="8">
        <v>659</v>
      </c>
      <c r="B661" s="8"/>
      <c r="C661" s="8" t="b">
        <f>_xlfn.XLOOKUP(Table610[[#This Row],[Category No]],Table8[Category No],Table8[Chapter List],FALSE)</f>
        <v>0</v>
      </c>
      <c r="D661" s="8"/>
      <c r="E661" s="31"/>
    </row>
    <row r="662" spans="1:5" x14ac:dyDescent="0.25">
      <c r="A662" s="8">
        <v>660</v>
      </c>
      <c r="B662" s="8"/>
      <c r="C662" s="8" t="b">
        <f>_xlfn.XLOOKUP(Table610[[#This Row],[Category No]],Table8[Category No],Table8[Chapter List],FALSE)</f>
        <v>0</v>
      </c>
      <c r="D662" s="8"/>
      <c r="E662" s="31"/>
    </row>
    <row r="663" spans="1:5" x14ac:dyDescent="0.25">
      <c r="A663" s="8">
        <v>661</v>
      </c>
      <c r="B663" s="8"/>
      <c r="C663" s="8" t="b">
        <f>_xlfn.XLOOKUP(Table610[[#This Row],[Category No]],Table8[Category No],Table8[Chapter List],FALSE)</f>
        <v>0</v>
      </c>
      <c r="D663" s="8"/>
      <c r="E663" s="31"/>
    </row>
    <row r="664" spans="1:5" x14ac:dyDescent="0.25">
      <c r="A664" s="8">
        <v>662</v>
      </c>
      <c r="B664" s="8"/>
      <c r="C664" s="8" t="b">
        <f>_xlfn.XLOOKUP(Table610[[#This Row],[Category No]],Table8[Category No],Table8[Chapter List],FALSE)</f>
        <v>0</v>
      </c>
      <c r="D664" s="8"/>
      <c r="E664" s="31"/>
    </row>
    <row r="665" spans="1:5" x14ac:dyDescent="0.25">
      <c r="A665" s="8">
        <v>663</v>
      </c>
      <c r="B665" s="8"/>
      <c r="C665" s="8" t="b">
        <f>_xlfn.XLOOKUP(Table610[[#This Row],[Category No]],Table8[Category No],Table8[Chapter List],FALSE)</f>
        <v>0</v>
      </c>
      <c r="D665" s="8"/>
      <c r="E665" s="31"/>
    </row>
    <row r="666" spans="1:5" x14ac:dyDescent="0.25">
      <c r="A666" s="8">
        <v>664</v>
      </c>
      <c r="B666" s="8"/>
      <c r="C666" s="8" t="b">
        <f>_xlfn.XLOOKUP(Table610[[#This Row],[Category No]],Table8[Category No],Table8[Chapter List],FALSE)</f>
        <v>0</v>
      </c>
      <c r="D666" s="8"/>
      <c r="E666" s="31"/>
    </row>
    <row r="667" spans="1:5" x14ac:dyDescent="0.25">
      <c r="A667" s="8">
        <v>665</v>
      </c>
      <c r="B667" s="8"/>
      <c r="C667" s="8" t="b">
        <f>_xlfn.XLOOKUP(Table610[[#This Row],[Category No]],Table8[Category No],Table8[Chapter List],FALSE)</f>
        <v>0</v>
      </c>
      <c r="D667" s="8"/>
      <c r="E667" s="31"/>
    </row>
    <row r="668" spans="1:5" x14ac:dyDescent="0.25">
      <c r="A668" s="8">
        <v>666</v>
      </c>
      <c r="B668" s="8"/>
      <c r="C668" s="8" t="b">
        <f>_xlfn.XLOOKUP(Table610[[#This Row],[Category No]],Table8[Category No],Table8[Chapter List],FALSE)</f>
        <v>0</v>
      </c>
      <c r="D668" s="8"/>
      <c r="E668" s="31"/>
    </row>
    <row r="669" spans="1:5" x14ac:dyDescent="0.25">
      <c r="A669" s="8">
        <v>667</v>
      </c>
      <c r="B669" s="8"/>
      <c r="C669" s="8" t="b">
        <f>_xlfn.XLOOKUP(Table610[[#This Row],[Category No]],Table8[Category No],Table8[Chapter List],FALSE)</f>
        <v>0</v>
      </c>
      <c r="D669" s="8"/>
      <c r="E669" s="31"/>
    </row>
    <row r="670" spans="1:5" x14ac:dyDescent="0.25">
      <c r="A670" s="8">
        <v>668</v>
      </c>
      <c r="B670" s="8"/>
      <c r="C670" s="8" t="b">
        <f>_xlfn.XLOOKUP(Table610[[#This Row],[Category No]],Table8[Category No],Table8[Chapter List],FALSE)</f>
        <v>0</v>
      </c>
      <c r="D670" s="8"/>
      <c r="E670" s="31"/>
    </row>
    <row r="671" spans="1:5" x14ac:dyDescent="0.25">
      <c r="A671" s="8">
        <v>669</v>
      </c>
      <c r="B671" s="8"/>
      <c r="C671" s="8" t="b">
        <f>_xlfn.XLOOKUP(Table610[[#This Row],[Category No]],Table8[Category No],Table8[Chapter List],FALSE)</f>
        <v>0</v>
      </c>
      <c r="D671" s="8"/>
      <c r="E671" s="31"/>
    </row>
    <row r="672" spans="1:5" x14ac:dyDescent="0.25">
      <c r="A672" s="8">
        <v>670</v>
      </c>
      <c r="B672" s="8"/>
      <c r="C672" s="8" t="b">
        <f>_xlfn.XLOOKUP(Table610[[#This Row],[Category No]],Table8[Category No],Table8[Chapter List],FALSE)</f>
        <v>0</v>
      </c>
      <c r="D672" s="8"/>
      <c r="E672" s="31"/>
    </row>
    <row r="673" spans="1:5" x14ac:dyDescent="0.25">
      <c r="A673" s="8">
        <v>671</v>
      </c>
      <c r="B673" s="8"/>
      <c r="C673" s="8" t="b">
        <f>_xlfn.XLOOKUP(Table610[[#This Row],[Category No]],Table8[Category No],Table8[Chapter List],FALSE)</f>
        <v>0</v>
      </c>
      <c r="D673" s="8"/>
      <c r="E673" s="31"/>
    </row>
    <row r="674" spans="1:5" x14ac:dyDescent="0.25">
      <c r="A674" s="8">
        <v>672</v>
      </c>
      <c r="B674" s="8"/>
      <c r="C674" s="8" t="b">
        <f>_xlfn.XLOOKUP(Table610[[#This Row],[Category No]],Table8[Category No],Table8[Chapter List],FALSE)</f>
        <v>0</v>
      </c>
      <c r="D674" s="8"/>
      <c r="E674" s="31"/>
    </row>
    <row r="675" spans="1:5" x14ac:dyDescent="0.25">
      <c r="A675" s="8">
        <v>673</v>
      </c>
      <c r="B675" s="8"/>
      <c r="C675" s="8" t="b">
        <f>_xlfn.XLOOKUP(Table610[[#This Row],[Category No]],Table8[Category No],Table8[Chapter List],FALSE)</f>
        <v>0</v>
      </c>
      <c r="D675" s="8"/>
      <c r="E675" s="31"/>
    </row>
    <row r="676" spans="1:5" x14ac:dyDescent="0.25">
      <c r="A676" s="8">
        <v>674</v>
      </c>
      <c r="B676" s="8"/>
      <c r="C676" s="8" t="b">
        <f>_xlfn.XLOOKUP(Table610[[#This Row],[Category No]],Table8[Category No],Table8[Chapter List],FALSE)</f>
        <v>0</v>
      </c>
      <c r="D676" s="8"/>
      <c r="E676" s="31"/>
    </row>
    <row r="677" spans="1:5" x14ac:dyDescent="0.25">
      <c r="A677" s="8">
        <v>675</v>
      </c>
      <c r="B677" s="8"/>
      <c r="C677" s="8" t="b">
        <f>_xlfn.XLOOKUP(Table610[[#This Row],[Category No]],Table8[Category No],Table8[Chapter List],FALSE)</f>
        <v>0</v>
      </c>
      <c r="D677" s="8"/>
      <c r="E677" s="31"/>
    </row>
    <row r="678" spans="1:5" x14ac:dyDescent="0.25">
      <c r="A678" s="8">
        <v>676</v>
      </c>
      <c r="B678" s="8"/>
      <c r="C678" s="8" t="b">
        <f>_xlfn.XLOOKUP(Table610[[#This Row],[Category No]],Table8[Category No],Table8[Chapter List],FALSE)</f>
        <v>0</v>
      </c>
      <c r="D678" s="8"/>
      <c r="E678" s="31"/>
    </row>
    <row r="679" spans="1:5" x14ac:dyDescent="0.25">
      <c r="A679" s="8">
        <v>677</v>
      </c>
      <c r="B679" s="8"/>
      <c r="C679" s="8" t="b">
        <f>_xlfn.XLOOKUP(Table610[[#This Row],[Category No]],Table8[Category No],Table8[Chapter List],FALSE)</f>
        <v>0</v>
      </c>
      <c r="D679" s="8"/>
      <c r="E679" s="31"/>
    </row>
    <row r="680" spans="1:5" x14ac:dyDescent="0.25">
      <c r="A680" s="8">
        <v>678</v>
      </c>
      <c r="B680" s="8"/>
      <c r="C680" s="8" t="b">
        <f>_xlfn.XLOOKUP(Table610[[#This Row],[Category No]],Table8[Category No],Table8[Chapter List],FALSE)</f>
        <v>0</v>
      </c>
      <c r="D680" s="8"/>
      <c r="E680" s="31"/>
    </row>
    <row r="681" spans="1:5" x14ac:dyDescent="0.25">
      <c r="A681" s="8">
        <v>679</v>
      </c>
      <c r="B681" s="8"/>
      <c r="C681" s="8" t="b">
        <f>_xlfn.XLOOKUP(Table610[[#This Row],[Category No]],Table8[Category No],Table8[Chapter List],FALSE)</f>
        <v>0</v>
      </c>
      <c r="D681" s="8"/>
      <c r="E681" s="31"/>
    </row>
    <row r="682" spans="1:5" x14ac:dyDescent="0.25">
      <c r="A682" s="8">
        <v>680</v>
      </c>
      <c r="B682" s="8"/>
      <c r="C682" s="8" t="b">
        <f>_xlfn.XLOOKUP(Table610[[#This Row],[Category No]],Table8[Category No],Table8[Chapter List],FALSE)</f>
        <v>0</v>
      </c>
      <c r="D682" s="8"/>
      <c r="E682" s="31"/>
    </row>
    <row r="683" spans="1:5" x14ac:dyDescent="0.25">
      <c r="A683" s="8">
        <v>681</v>
      </c>
      <c r="B683" s="8"/>
      <c r="C683" s="8" t="b">
        <f>_xlfn.XLOOKUP(Table610[[#This Row],[Category No]],Table8[Category No],Table8[Chapter List],FALSE)</f>
        <v>0</v>
      </c>
      <c r="D683" s="8"/>
      <c r="E683" s="31"/>
    </row>
    <row r="684" spans="1:5" x14ac:dyDescent="0.25">
      <c r="A684" s="8">
        <v>682</v>
      </c>
      <c r="B684" s="8"/>
      <c r="C684" s="8" t="b">
        <f>_xlfn.XLOOKUP(Table610[[#This Row],[Category No]],Table8[Category No],Table8[Chapter List],FALSE)</f>
        <v>0</v>
      </c>
      <c r="D684" s="8"/>
      <c r="E684" s="31"/>
    </row>
    <row r="685" spans="1:5" x14ac:dyDescent="0.25">
      <c r="A685" s="8">
        <v>683</v>
      </c>
      <c r="B685" s="8"/>
      <c r="C685" s="8" t="b">
        <f>_xlfn.XLOOKUP(Table610[[#This Row],[Category No]],Table8[Category No],Table8[Chapter List],FALSE)</f>
        <v>0</v>
      </c>
      <c r="D685" s="8"/>
      <c r="E685" s="31"/>
    </row>
    <row r="686" spans="1:5" x14ac:dyDescent="0.25">
      <c r="A686" s="8">
        <v>684</v>
      </c>
      <c r="B686" s="8"/>
      <c r="C686" s="8" t="b">
        <f>_xlfn.XLOOKUP(Table610[[#This Row],[Category No]],Table8[Category No],Table8[Chapter List],FALSE)</f>
        <v>0</v>
      </c>
      <c r="D686" s="8"/>
      <c r="E686" s="31"/>
    </row>
    <row r="687" spans="1:5" x14ac:dyDescent="0.25">
      <c r="A687" s="8">
        <v>685</v>
      </c>
      <c r="B687" s="8"/>
      <c r="C687" s="8" t="b">
        <f>_xlfn.XLOOKUP(Table610[[#This Row],[Category No]],Table8[Category No],Table8[Chapter List],FALSE)</f>
        <v>0</v>
      </c>
      <c r="D687" s="8"/>
      <c r="E687" s="31"/>
    </row>
    <row r="688" spans="1:5" x14ac:dyDescent="0.25">
      <c r="A688" s="8">
        <v>686</v>
      </c>
      <c r="B688" s="8"/>
      <c r="C688" s="8" t="b">
        <f>_xlfn.XLOOKUP(Table610[[#This Row],[Category No]],Table8[Category No],Table8[Chapter List],FALSE)</f>
        <v>0</v>
      </c>
      <c r="D688" s="8"/>
      <c r="E688" s="31"/>
    </row>
    <row r="689" spans="1:5" x14ac:dyDescent="0.25">
      <c r="A689" s="8">
        <v>687</v>
      </c>
      <c r="B689" s="8"/>
      <c r="C689" s="8" t="b">
        <f>_xlfn.XLOOKUP(Table610[[#This Row],[Category No]],Table8[Category No],Table8[Chapter List],FALSE)</f>
        <v>0</v>
      </c>
      <c r="D689" s="8"/>
      <c r="E689" s="31"/>
    </row>
    <row r="690" spans="1:5" x14ac:dyDescent="0.25">
      <c r="A690" s="8">
        <v>688</v>
      </c>
      <c r="B690" s="8"/>
      <c r="C690" s="8" t="b">
        <f>_xlfn.XLOOKUP(Table610[[#This Row],[Category No]],Table8[Category No],Table8[Chapter List],FALSE)</f>
        <v>0</v>
      </c>
      <c r="D690" s="8"/>
      <c r="E690" s="31"/>
    </row>
    <row r="691" spans="1:5" x14ac:dyDescent="0.25">
      <c r="A691" s="8">
        <v>689</v>
      </c>
      <c r="B691" s="8"/>
      <c r="C691" s="8" t="b">
        <f>_xlfn.XLOOKUP(Table610[[#This Row],[Category No]],Table8[Category No],Table8[Chapter List],FALSE)</f>
        <v>0</v>
      </c>
      <c r="D691" s="8"/>
      <c r="E691" s="31"/>
    </row>
    <row r="692" spans="1:5" x14ac:dyDescent="0.25">
      <c r="A692" s="8">
        <v>690</v>
      </c>
      <c r="B692" s="8"/>
      <c r="C692" s="8" t="b">
        <f>_xlfn.XLOOKUP(Table610[[#This Row],[Category No]],Table8[Category No],Table8[Chapter List],FALSE)</f>
        <v>0</v>
      </c>
      <c r="D692" s="8"/>
      <c r="E692" s="31"/>
    </row>
    <row r="693" spans="1:5" x14ac:dyDescent="0.25">
      <c r="A693" s="8">
        <v>691</v>
      </c>
      <c r="B693" s="8"/>
      <c r="C693" s="8" t="b">
        <f>_xlfn.XLOOKUP(Table610[[#This Row],[Category No]],Table8[Category No],Table8[Chapter List],FALSE)</f>
        <v>0</v>
      </c>
      <c r="D693" s="8"/>
      <c r="E693" s="31"/>
    </row>
    <row r="694" spans="1:5" x14ac:dyDescent="0.25">
      <c r="A694" s="8">
        <v>692</v>
      </c>
      <c r="B694" s="8"/>
      <c r="C694" s="8" t="b">
        <f>_xlfn.XLOOKUP(Table610[[#This Row],[Category No]],Table8[Category No],Table8[Chapter List],FALSE)</f>
        <v>0</v>
      </c>
      <c r="D694" s="8"/>
      <c r="E694" s="31"/>
    </row>
    <row r="695" spans="1:5" x14ac:dyDescent="0.25">
      <c r="A695" s="8">
        <v>693</v>
      </c>
      <c r="B695" s="8"/>
      <c r="C695" s="8" t="b">
        <f>_xlfn.XLOOKUP(Table610[[#This Row],[Category No]],Table8[Category No],Table8[Chapter List],FALSE)</f>
        <v>0</v>
      </c>
      <c r="D695" s="8"/>
      <c r="E695" s="31"/>
    </row>
    <row r="696" spans="1:5" x14ac:dyDescent="0.25">
      <c r="A696" s="8">
        <v>694</v>
      </c>
      <c r="B696" s="8"/>
      <c r="C696" s="8" t="b">
        <f>_xlfn.XLOOKUP(Table610[[#This Row],[Category No]],Table8[Category No],Table8[Chapter List],FALSE)</f>
        <v>0</v>
      </c>
      <c r="D696" s="8"/>
      <c r="E696" s="31"/>
    </row>
    <row r="697" spans="1:5" x14ac:dyDescent="0.25">
      <c r="A697" s="8">
        <v>695</v>
      </c>
      <c r="B697" s="8"/>
      <c r="C697" s="8" t="b">
        <f>_xlfn.XLOOKUP(Table610[[#This Row],[Category No]],Table8[Category No],Table8[Chapter List],FALSE)</f>
        <v>0</v>
      </c>
      <c r="D697" s="8"/>
      <c r="E697" s="31"/>
    </row>
    <row r="698" spans="1:5" x14ac:dyDescent="0.25">
      <c r="A698" s="8">
        <v>696</v>
      </c>
      <c r="B698" s="8"/>
      <c r="C698" s="8" t="b">
        <f>_xlfn.XLOOKUP(Table610[[#This Row],[Category No]],Table8[Category No],Table8[Chapter List],FALSE)</f>
        <v>0</v>
      </c>
      <c r="D698" s="8"/>
      <c r="E698" s="31"/>
    </row>
    <row r="699" spans="1:5" x14ac:dyDescent="0.25">
      <c r="A699" s="8">
        <v>697</v>
      </c>
      <c r="B699" s="8"/>
      <c r="C699" s="8" t="b">
        <f>_xlfn.XLOOKUP(Table610[[#This Row],[Category No]],Table8[Category No],Table8[Chapter List],FALSE)</f>
        <v>0</v>
      </c>
      <c r="D699" s="8"/>
      <c r="E699" s="31"/>
    </row>
    <row r="700" spans="1:5" x14ac:dyDescent="0.25">
      <c r="A700" s="8">
        <v>698</v>
      </c>
      <c r="B700" s="8"/>
      <c r="C700" s="8" t="b">
        <f>_xlfn.XLOOKUP(Table610[[#This Row],[Category No]],Table8[Category No],Table8[Chapter List],FALSE)</f>
        <v>0</v>
      </c>
      <c r="D700" s="8"/>
      <c r="E700" s="31"/>
    </row>
    <row r="701" spans="1:5" x14ac:dyDescent="0.25">
      <c r="A701" s="8">
        <v>699</v>
      </c>
      <c r="B701" s="8"/>
      <c r="C701" s="8" t="b">
        <f>_xlfn.XLOOKUP(Table610[[#This Row],[Category No]],Table8[Category No],Table8[Chapter List],FALSE)</f>
        <v>0</v>
      </c>
      <c r="D701" s="8"/>
      <c r="E701" s="31"/>
    </row>
    <row r="702" spans="1:5" x14ac:dyDescent="0.25">
      <c r="A702" s="8">
        <v>700</v>
      </c>
      <c r="B702" s="8"/>
      <c r="C702" s="8" t="b">
        <f>_xlfn.XLOOKUP(Table610[[#This Row],[Category No]],Table8[Category No],Table8[Chapter List],FALSE)</f>
        <v>0</v>
      </c>
      <c r="D702" s="8"/>
      <c r="E702" s="31"/>
    </row>
    <row r="703" spans="1:5" x14ac:dyDescent="0.25">
      <c r="A703" s="8">
        <v>701</v>
      </c>
      <c r="B703" s="8"/>
      <c r="C703" s="8" t="b">
        <f>_xlfn.XLOOKUP(Table610[[#This Row],[Category No]],Table8[Category No],Table8[Chapter List],FALSE)</f>
        <v>0</v>
      </c>
      <c r="D703" s="8"/>
      <c r="E703" s="31"/>
    </row>
    <row r="704" spans="1:5" x14ac:dyDescent="0.25">
      <c r="A704" s="8">
        <v>702</v>
      </c>
      <c r="B704" s="8"/>
      <c r="C704" s="8" t="b">
        <f>_xlfn.XLOOKUP(Table610[[#This Row],[Category No]],Table8[Category No],Table8[Chapter List],FALSE)</f>
        <v>0</v>
      </c>
      <c r="D704" s="8"/>
      <c r="E704" s="31"/>
    </row>
    <row r="705" spans="1:5" x14ac:dyDescent="0.25">
      <c r="A705" s="8">
        <v>703</v>
      </c>
      <c r="B705" s="8"/>
      <c r="C705" s="8" t="b">
        <f>_xlfn.XLOOKUP(Table610[[#This Row],[Category No]],Table8[Category No],Table8[Chapter List],FALSE)</f>
        <v>0</v>
      </c>
      <c r="D705" s="8"/>
      <c r="E705" s="31"/>
    </row>
    <row r="706" spans="1:5" x14ac:dyDescent="0.25">
      <c r="A706" s="8">
        <v>704</v>
      </c>
      <c r="B706" s="8"/>
      <c r="C706" s="8" t="b">
        <f>_xlfn.XLOOKUP(Table610[[#This Row],[Category No]],Table8[Category No],Table8[Chapter List],FALSE)</f>
        <v>0</v>
      </c>
      <c r="D706" s="8"/>
      <c r="E706" s="31"/>
    </row>
    <row r="707" spans="1:5" x14ac:dyDescent="0.25">
      <c r="A707" s="8">
        <v>705</v>
      </c>
      <c r="B707" s="8"/>
      <c r="C707" s="8" t="b">
        <f>_xlfn.XLOOKUP(Table610[[#This Row],[Category No]],Table8[Category No],Table8[Chapter List],FALSE)</f>
        <v>0</v>
      </c>
      <c r="D707" s="8"/>
      <c r="E707" s="31"/>
    </row>
    <row r="708" spans="1:5" x14ac:dyDescent="0.25">
      <c r="A708" s="8">
        <v>706</v>
      </c>
      <c r="B708" s="8"/>
      <c r="C708" s="8" t="b">
        <f>_xlfn.XLOOKUP(Table610[[#This Row],[Category No]],Table8[Category No],Table8[Chapter List],FALSE)</f>
        <v>0</v>
      </c>
      <c r="D708" s="8"/>
      <c r="E708" s="31"/>
    </row>
    <row r="709" spans="1:5" x14ac:dyDescent="0.25">
      <c r="A709" s="8">
        <v>707</v>
      </c>
      <c r="B709" s="8"/>
      <c r="C709" s="8" t="b">
        <f>_xlfn.XLOOKUP(Table610[[#This Row],[Category No]],Table8[Category No],Table8[Chapter List],FALSE)</f>
        <v>0</v>
      </c>
      <c r="D709" s="8"/>
      <c r="E709" s="31"/>
    </row>
    <row r="710" spans="1:5" x14ac:dyDescent="0.25">
      <c r="A710" s="8">
        <v>708</v>
      </c>
      <c r="B710" s="8"/>
      <c r="C710" s="8" t="b">
        <f>_xlfn.XLOOKUP(Table610[[#This Row],[Category No]],Table8[Category No],Table8[Chapter List],FALSE)</f>
        <v>0</v>
      </c>
      <c r="D710" s="8"/>
      <c r="E710" s="31"/>
    </row>
    <row r="711" spans="1:5" x14ac:dyDescent="0.25">
      <c r="A711" s="8">
        <v>709</v>
      </c>
      <c r="B711" s="8"/>
      <c r="C711" s="8" t="b">
        <f>_xlfn.XLOOKUP(Table610[[#This Row],[Category No]],Table8[Category No],Table8[Chapter List],FALSE)</f>
        <v>0</v>
      </c>
      <c r="D711" s="8"/>
      <c r="E711" s="31"/>
    </row>
    <row r="712" spans="1:5" x14ac:dyDescent="0.25">
      <c r="A712" s="8">
        <v>710</v>
      </c>
      <c r="B712" s="8"/>
      <c r="C712" s="8" t="b">
        <f>_xlfn.XLOOKUP(Table610[[#This Row],[Category No]],Table8[Category No],Table8[Chapter List],FALSE)</f>
        <v>0</v>
      </c>
      <c r="D712" s="8"/>
      <c r="E712" s="31"/>
    </row>
    <row r="713" spans="1:5" x14ac:dyDescent="0.25">
      <c r="A713" s="8">
        <v>711</v>
      </c>
      <c r="B713" s="8"/>
      <c r="C713" s="8" t="b">
        <f>_xlfn.XLOOKUP(Table610[[#This Row],[Category No]],Table8[Category No],Table8[Chapter List],FALSE)</f>
        <v>0</v>
      </c>
      <c r="D713" s="8"/>
      <c r="E713" s="31"/>
    </row>
    <row r="714" spans="1:5" x14ac:dyDescent="0.25">
      <c r="A714" s="8">
        <v>712</v>
      </c>
      <c r="B714" s="8"/>
      <c r="C714" s="8" t="b">
        <f>_xlfn.XLOOKUP(Table610[[#This Row],[Category No]],Table8[Category No],Table8[Chapter List],FALSE)</f>
        <v>0</v>
      </c>
      <c r="D714" s="8"/>
      <c r="E714" s="31"/>
    </row>
    <row r="715" spans="1:5" x14ac:dyDescent="0.25">
      <c r="A715" s="8">
        <v>713</v>
      </c>
      <c r="B715" s="8"/>
      <c r="C715" s="8" t="b">
        <f>_xlfn.XLOOKUP(Table610[[#This Row],[Category No]],Table8[Category No],Table8[Chapter List],FALSE)</f>
        <v>0</v>
      </c>
      <c r="D715" s="8"/>
      <c r="E715" s="31"/>
    </row>
    <row r="716" spans="1:5" x14ac:dyDescent="0.25">
      <c r="A716" s="8">
        <v>714</v>
      </c>
      <c r="B716" s="8"/>
      <c r="C716" s="8" t="b">
        <f>_xlfn.XLOOKUP(Table610[[#This Row],[Category No]],Table8[Category No],Table8[Chapter List],FALSE)</f>
        <v>0</v>
      </c>
      <c r="D716" s="8"/>
      <c r="E716" s="31"/>
    </row>
    <row r="717" spans="1:5" x14ac:dyDescent="0.25">
      <c r="A717" s="8">
        <v>715</v>
      </c>
      <c r="B717" s="8"/>
      <c r="C717" s="8" t="b">
        <f>_xlfn.XLOOKUP(Table610[[#This Row],[Category No]],Table8[Category No],Table8[Chapter List],FALSE)</f>
        <v>0</v>
      </c>
      <c r="D717" s="8"/>
      <c r="E717" s="31"/>
    </row>
    <row r="718" spans="1:5" x14ac:dyDescent="0.25">
      <c r="A718" s="8">
        <v>716</v>
      </c>
      <c r="B718" s="8"/>
      <c r="C718" s="8" t="b">
        <f>_xlfn.XLOOKUP(Table610[[#This Row],[Category No]],Table8[Category No],Table8[Chapter List],FALSE)</f>
        <v>0</v>
      </c>
      <c r="D718" s="8"/>
      <c r="E718" s="31"/>
    </row>
    <row r="719" spans="1:5" x14ac:dyDescent="0.25">
      <c r="A719" s="8">
        <v>717</v>
      </c>
      <c r="B719" s="8"/>
      <c r="C719" s="8" t="b">
        <f>_xlfn.XLOOKUP(Table610[[#This Row],[Category No]],Table8[Category No],Table8[Chapter List],FALSE)</f>
        <v>0</v>
      </c>
      <c r="D719" s="8"/>
      <c r="E719" s="31"/>
    </row>
    <row r="720" spans="1:5" x14ac:dyDescent="0.25">
      <c r="A720" s="8">
        <v>718</v>
      </c>
      <c r="B720" s="8"/>
      <c r="C720" s="8" t="b">
        <f>_xlfn.XLOOKUP(Table610[[#This Row],[Category No]],Table8[Category No],Table8[Chapter List],FALSE)</f>
        <v>0</v>
      </c>
      <c r="D720" s="8"/>
      <c r="E720" s="31"/>
    </row>
    <row r="721" spans="1:5" x14ac:dyDescent="0.25">
      <c r="A721" s="8">
        <v>719</v>
      </c>
      <c r="B721" s="8"/>
      <c r="C721" s="8" t="b">
        <f>_xlfn.XLOOKUP(Table610[[#This Row],[Category No]],Table8[Category No],Table8[Chapter List],FALSE)</f>
        <v>0</v>
      </c>
      <c r="D721" s="8"/>
      <c r="E721" s="31"/>
    </row>
    <row r="722" spans="1:5" x14ac:dyDescent="0.25">
      <c r="A722" s="8">
        <v>720</v>
      </c>
      <c r="B722" s="8"/>
      <c r="C722" s="8" t="b">
        <f>_xlfn.XLOOKUP(Table610[[#This Row],[Category No]],Table8[Category No],Table8[Chapter List],FALSE)</f>
        <v>0</v>
      </c>
      <c r="D722" s="8"/>
      <c r="E722" s="31"/>
    </row>
    <row r="723" spans="1:5" x14ac:dyDescent="0.25">
      <c r="A723" s="8">
        <v>721</v>
      </c>
      <c r="B723" s="8"/>
      <c r="C723" s="8" t="b">
        <f>_xlfn.XLOOKUP(Table610[[#This Row],[Category No]],Table8[Category No],Table8[Chapter List],FALSE)</f>
        <v>0</v>
      </c>
      <c r="D723" s="8"/>
      <c r="E723" s="31"/>
    </row>
    <row r="724" spans="1:5" x14ac:dyDescent="0.25">
      <c r="A724" s="8">
        <v>722</v>
      </c>
      <c r="B724" s="8"/>
      <c r="C724" s="8" t="b">
        <f>_xlfn.XLOOKUP(Table610[[#This Row],[Category No]],Table8[Category No],Table8[Chapter List],FALSE)</f>
        <v>0</v>
      </c>
      <c r="D724" s="8"/>
      <c r="E724" s="31"/>
    </row>
    <row r="725" spans="1:5" x14ac:dyDescent="0.25">
      <c r="A725" s="8">
        <v>723</v>
      </c>
      <c r="B725" s="8"/>
      <c r="C725" s="8" t="b">
        <f>_xlfn.XLOOKUP(Table610[[#This Row],[Category No]],Table8[Category No],Table8[Chapter List],FALSE)</f>
        <v>0</v>
      </c>
      <c r="D725" s="8"/>
      <c r="E725" s="31"/>
    </row>
    <row r="726" spans="1:5" x14ac:dyDescent="0.25">
      <c r="A726" s="8">
        <v>724</v>
      </c>
      <c r="B726" s="8"/>
      <c r="C726" s="8" t="b">
        <f>_xlfn.XLOOKUP(Table610[[#This Row],[Category No]],Table8[Category No],Table8[Chapter List],FALSE)</f>
        <v>0</v>
      </c>
      <c r="D726" s="8"/>
      <c r="E726" s="31"/>
    </row>
    <row r="727" spans="1:5" x14ac:dyDescent="0.25">
      <c r="A727" s="8">
        <v>725</v>
      </c>
      <c r="B727" s="8"/>
      <c r="C727" s="8" t="b">
        <f>_xlfn.XLOOKUP(Table610[[#This Row],[Category No]],Table8[Category No],Table8[Chapter List],FALSE)</f>
        <v>0</v>
      </c>
      <c r="D727" s="8"/>
      <c r="E727" s="31"/>
    </row>
    <row r="728" spans="1:5" x14ac:dyDescent="0.25">
      <c r="A728" s="8">
        <v>726</v>
      </c>
      <c r="B728" s="8"/>
      <c r="C728" s="8" t="b">
        <f>_xlfn.XLOOKUP(Table610[[#This Row],[Category No]],Table8[Category No],Table8[Chapter List],FALSE)</f>
        <v>0</v>
      </c>
      <c r="D728" s="8"/>
      <c r="E728" s="31"/>
    </row>
    <row r="729" spans="1:5" x14ac:dyDescent="0.25">
      <c r="A729" s="8">
        <v>727</v>
      </c>
      <c r="B729" s="8"/>
      <c r="C729" s="8" t="b">
        <f>_xlfn.XLOOKUP(Table610[[#This Row],[Category No]],Table8[Category No],Table8[Chapter List],FALSE)</f>
        <v>0</v>
      </c>
      <c r="D729" s="8"/>
      <c r="E729" s="31"/>
    </row>
    <row r="730" spans="1:5" x14ac:dyDescent="0.25">
      <c r="A730" s="8">
        <v>728</v>
      </c>
      <c r="B730" s="8"/>
      <c r="C730" s="8" t="b">
        <f>_xlfn.XLOOKUP(Table610[[#This Row],[Category No]],Table8[Category No],Table8[Chapter List],FALSE)</f>
        <v>0</v>
      </c>
      <c r="D730" s="8"/>
      <c r="E730" s="31"/>
    </row>
    <row r="731" spans="1:5" x14ac:dyDescent="0.25">
      <c r="A731" s="8">
        <v>729</v>
      </c>
      <c r="B731" s="8"/>
      <c r="C731" s="8" t="b">
        <f>_xlfn.XLOOKUP(Table610[[#This Row],[Category No]],Table8[Category No],Table8[Chapter List],FALSE)</f>
        <v>0</v>
      </c>
      <c r="D731" s="8"/>
      <c r="E731" s="31"/>
    </row>
    <row r="732" spans="1:5" x14ac:dyDescent="0.25">
      <c r="A732" s="8">
        <v>730</v>
      </c>
      <c r="B732" s="8"/>
      <c r="C732" s="8" t="b">
        <f>_xlfn.XLOOKUP(Table610[[#This Row],[Category No]],Table8[Category No],Table8[Chapter List],FALSE)</f>
        <v>0</v>
      </c>
      <c r="D732" s="8"/>
      <c r="E732" s="31"/>
    </row>
    <row r="733" spans="1:5" x14ac:dyDescent="0.25">
      <c r="A733" s="8">
        <v>731</v>
      </c>
      <c r="B733" s="8"/>
      <c r="C733" s="8" t="b">
        <f>_xlfn.XLOOKUP(Table610[[#This Row],[Category No]],Table8[Category No],Table8[Chapter List],FALSE)</f>
        <v>0</v>
      </c>
      <c r="D733" s="8"/>
      <c r="E733" s="31"/>
    </row>
    <row r="734" spans="1:5" x14ac:dyDescent="0.25">
      <c r="A734" s="8">
        <v>732</v>
      </c>
      <c r="B734" s="8"/>
      <c r="C734" s="8" t="b">
        <f>_xlfn.XLOOKUP(Table610[[#This Row],[Category No]],Table8[Category No],Table8[Chapter List],FALSE)</f>
        <v>0</v>
      </c>
      <c r="D734" s="8"/>
      <c r="E734" s="31"/>
    </row>
    <row r="735" spans="1:5" x14ac:dyDescent="0.25">
      <c r="A735" s="8">
        <v>733</v>
      </c>
      <c r="B735" s="8"/>
      <c r="C735" s="8" t="b">
        <f>_xlfn.XLOOKUP(Table610[[#This Row],[Category No]],Table8[Category No],Table8[Chapter List],FALSE)</f>
        <v>0</v>
      </c>
      <c r="D735" s="8"/>
      <c r="E735" s="31"/>
    </row>
    <row r="736" spans="1:5" x14ac:dyDescent="0.25">
      <c r="A736" s="8">
        <v>734</v>
      </c>
      <c r="B736" s="8"/>
      <c r="C736" s="8" t="b">
        <f>_xlfn.XLOOKUP(Table610[[#This Row],[Category No]],Table8[Category No],Table8[Chapter List],FALSE)</f>
        <v>0</v>
      </c>
      <c r="D736" s="8"/>
      <c r="E736" s="31"/>
    </row>
    <row r="737" spans="1:5" x14ac:dyDescent="0.25">
      <c r="A737" s="8">
        <v>735</v>
      </c>
      <c r="B737" s="8"/>
      <c r="C737" s="8" t="b">
        <f>_xlfn.XLOOKUP(Table610[[#This Row],[Category No]],Table8[Category No],Table8[Chapter List],FALSE)</f>
        <v>0</v>
      </c>
      <c r="D737" s="8"/>
      <c r="E737" s="31"/>
    </row>
    <row r="738" spans="1:5" x14ac:dyDescent="0.25">
      <c r="A738" s="8">
        <v>736</v>
      </c>
      <c r="B738" s="8"/>
      <c r="C738" s="8" t="b">
        <f>_xlfn.XLOOKUP(Table610[[#This Row],[Category No]],Table8[Category No],Table8[Chapter List],FALSE)</f>
        <v>0</v>
      </c>
      <c r="D738" s="8"/>
      <c r="E738" s="31"/>
    </row>
    <row r="739" spans="1:5" x14ac:dyDescent="0.25">
      <c r="A739" s="8">
        <v>737</v>
      </c>
      <c r="B739" s="8"/>
      <c r="C739" s="8" t="b">
        <f>_xlfn.XLOOKUP(Table610[[#This Row],[Category No]],Table8[Category No],Table8[Chapter List],FALSE)</f>
        <v>0</v>
      </c>
      <c r="D739" s="8"/>
      <c r="E739" s="31"/>
    </row>
    <row r="740" spans="1:5" x14ac:dyDescent="0.25">
      <c r="A740" s="8">
        <v>738</v>
      </c>
      <c r="B740" s="8"/>
      <c r="C740" s="8" t="b">
        <f>_xlfn.XLOOKUP(Table610[[#This Row],[Category No]],Table8[Category No],Table8[Chapter List],FALSE)</f>
        <v>0</v>
      </c>
      <c r="D740" s="8"/>
      <c r="E740" s="31"/>
    </row>
    <row r="741" spans="1:5" x14ac:dyDescent="0.25">
      <c r="A741" s="8">
        <v>739</v>
      </c>
      <c r="B741" s="8"/>
      <c r="C741" s="8" t="b">
        <f>_xlfn.XLOOKUP(Table610[[#This Row],[Category No]],Table8[Category No],Table8[Chapter List],FALSE)</f>
        <v>0</v>
      </c>
      <c r="D741" s="8"/>
      <c r="E741" s="31"/>
    </row>
    <row r="742" spans="1:5" x14ac:dyDescent="0.25">
      <c r="A742" s="8">
        <v>740</v>
      </c>
      <c r="B742" s="8"/>
      <c r="C742" s="8" t="b">
        <f>_xlfn.XLOOKUP(Table610[[#This Row],[Category No]],Table8[Category No],Table8[Chapter List],FALSE)</f>
        <v>0</v>
      </c>
      <c r="D742" s="8"/>
      <c r="E742" s="31"/>
    </row>
    <row r="743" spans="1:5" x14ac:dyDescent="0.25">
      <c r="A743" s="8">
        <v>741</v>
      </c>
      <c r="B743" s="8"/>
      <c r="C743" s="8" t="b">
        <f>_xlfn.XLOOKUP(Table610[[#This Row],[Category No]],Table8[Category No],Table8[Chapter List],FALSE)</f>
        <v>0</v>
      </c>
      <c r="D743" s="8"/>
      <c r="E743" s="31"/>
    </row>
    <row r="744" spans="1:5" x14ac:dyDescent="0.25">
      <c r="A744" s="8">
        <v>742</v>
      </c>
      <c r="B744" s="8"/>
      <c r="C744" s="8" t="b">
        <f>_xlfn.XLOOKUP(Table610[[#This Row],[Category No]],Table8[Category No],Table8[Chapter List],FALSE)</f>
        <v>0</v>
      </c>
      <c r="D744" s="8"/>
      <c r="E744" s="31"/>
    </row>
    <row r="745" spans="1:5" x14ac:dyDescent="0.25">
      <c r="A745" s="8">
        <v>743</v>
      </c>
      <c r="B745" s="8"/>
      <c r="C745" s="8" t="b">
        <f>_xlfn.XLOOKUP(Table610[[#This Row],[Category No]],Table8[Category No],Table8[Chapter List],FALSE)</f>
        <v>0</v>
      </c>
      <c r="D745" s="8"/>
      <c r="E745" s="31"/>
    </row>
    <row r="746" spans="1:5" x14ac:dyDescent="0.25">
      <c r="A746" s="8">
        <v>744</v>
      </c>
      <c r="B746" s="8"/>
      <c r="C746" s="8" t="b">
        <f>_xlfn.XLOOKUP(Table610[[#This Row],[Category No]],Table8[Category No],Table8[Chapter List],FALSE)</f>
        <v>0</v>
      </c>
      <c r="D746" s="8"/>
      <c r="E746" s="31"/>
    </row>
    <row r="747" spans="1:5" x14ac:dyDescent="0.25">
      <c r="A747" s="8">
        <v>745</v>
      </c>
      <c r="B747" s="8"/>
      <c r="C747" s="8" t="b">
        <f>_xlfn.XLOOKUP(Table610[[#This Row],[Category No]],Table8[Category No],Table8[Chapter List],FALSE)</f>
        <v>0</v>
      </c>
      <c r="D747" s="8"/>
      <c r="E747" s="31"/>
    </row>
    <row r="748" spans="1:5" x14ac:dyDescent="0.25">
      <c r="A748" s="8">
        <v>746</v>
      </c>
      <c r="B748" s="8"/>
      <c r="C748" s="8" t="b">
        <f>_xlfn.XLOOKUP(Table610[[#This Row],[Category No]],Table8[Category No],Table8[Chapter List],FALSE)</f>
        <v>0</v>
      </c>
      <c r="D748" s="8"/>
      <c r="E748" s="31"/>
    </row>
    <row r="749" spans="1:5" x14ac:dyDescent="0.25">
      <c r="A749" s="8">
        <v>747</v>
      </c>
      <c r="B749" s="8"/>
      <c r="C749" s="8" t="b">
        <f>_xlfn.XLOOKUP(Table610[[#This Row],[Category No]],Table8[Category No],Table8[Chapter List],FALSE)</f>
        <v>0</v>
      </c>
      <c r="D749" s="8"/>
      <c r="E749" s="31"/>
    </row>
    <row r="750" spans="1:5" x14ac:dyDescent="0.25">
      <c r="A750" s="8">
        <v>748</v>
      </c>
      <c r="B750" s="8"/>
      <c r="C750" s="8" t="b">
        <f>_xlfn.XLOOKUP(Table610[[#This Row],[Category No]],Table8[Category No],Table8[Chapter List],FALSE)</f>
        <v>0</v>
      </c>
      <c r="D750" s="8"/>
      <c r="E750" s="31"/>
    </row>
    <row r="751" spans="1:5" x14ac:dyDescent="0.25">
      <c r="A751" s="8">
        <v>749</v>
      </c>
      <c r="B751" s="8"/>
      <c r="C751" s="8" t="b">
        <f>_xlfn.XLOOKUP(Table610[[#This Row],[Category No]],Table8[Category No],Table8[Chapter List],FALSE)</f>
        <v>0</v>
      </c>
      <c r="D751" s="8"/>
      <c r="E751" s="31"/>
    </row>
    <row r="752" spans="1:5" x14ac:dyDescent="0.25">
      <c r="A752" s="8">
        <v>750</v>
      </c>
      <c r="B752" s="8"/>
      <c r="C752" s="8" t="b">
        <f>_xlfn.XLOOKUP(Table610[[#This Row],[Category No]],Table8[Category No],Table8[Chapter List],FALSE)</f>
        <v>0</v>
      </c>
      <c r="D752" s="8"/>
      <c r="E752" s="31"/>
    </row>
    <row r="753" spans="1:5" x14ac:dyDescent="0.25">
      <c r="A753" s="8">
        <v>751</v>
      </c>
      <c r="B753" s="8"/>
      <c r="C753" s="8" t="b">
        <f>_xlfn.XLOOKUP(Table610[[#This Row],[Category No]],Table8[Category No],Table8[Chapter List],FALSE)</f>
        <v>0</v>
      </c>
      <c r="D753" s="8"/>
      <c r="E753" s="31"/>
    </row>
    <row r="754" spans="1:5" x14ac:dyDescent="0.25">
      <c r="A754" s="8">
        <v>752</v>
      </c>
      <c r="B754" s="8"/>
      <c r="C754" s="8" t="b">
        <f>_xlfn.XLOOKUP(Table610[[#This Row],[Category No]],Table8[Category No],Table8[Chapter List],FALSE)</f>
        <v>0</v>
      </c>
      <c r="D754" s="8"/>
      <c r="E754" s="31"/>
    </row>
    <row r="755" spans="1:5" x14ac:dyDescent="0.25">
      <c r="A755" s="8">
        <v>753</v>
      </c>
      <c r="B755" s="8"/>
      <c r="C755" s="8" t="b">
        <f>_xlfn.XLOOKUP(Table610[[#This Row],[Category No]],Table8[Category No],Table8[Chapter List],FALSE)</f>
        <v>0</v>
      </c>
      <c r="D755" s="8"/>
      <c r="E755" s="31"/>
    </row>
    <row r="756" spans="1:5" x14ac:dyDescent="0.25">
      <c r="A756" s="8">
        <v>754</v>
      </c>
      <c r="B756" s="8"/>
      <c r="C756" s="8" t="b">
        <f>_xlfn.XLOOKUP(Table610[[#This Row],[Category No]],Table8[Category No],Table8[Chapter List],FALSE)</f>
        <v>0</v>
      </c>
      <c r="D756" s="8"/>
      <c r="E756" s="31"/>
    </row>
    <row r="757" spans="1:5" x14ac:dyDescent="0.25">
      <c r="A757" s="8">
        <v>755</v>
      </c>
      <c r="B757" s="8"/>
      <c r="C757" s="8" t="b">
        <f>_xlfn.XLOOKUP(Table610[[#This Row],[Category No]],Table8[Category No],Table8[Chapter List],FALSE)</f>
        <v>0</v>
      </c>
      <c r="D757" s="8"/>
      <c r="E757" s="31"/>
    </row>
    <row r="758" spans="1:5" x14ac:dyDescent="0.25">
      <c r="A758" s="8">
        <v>756</v>
      </c>
      <c r="B758" s="8"/>
      <c r="C758" s="8" t="b">
        <f>_xlfn.XLOOKUP(Table610[[#This Row],[Category No]],Table8[Category No],Table8[Chapter List],FALSE)</f>
        <v>0</v>
      </c>
      <c r="D758" s="8"/>
      <c r="E758" s="31"/>
    </row>
    <row r="759" spans="1:5" x14ac:dyDescent="0.25">
      <c r="A759" s="8">
        <v>757</v>
      </c>
      <c r="B759" s="8"/>
      <c r="C759" s="8" t="b">
        <f>_xlfn.XLOOKUP(Table610[[#This Row],[Category No]],Table8[Category No],Table8[Chapter List],FALSE)</f>
        <v>0</v>
      </c>
      <c r="D759" s="8"/>
      <c r="E759" s="31"/>
    </row>
    <row r="760" spans="1:5" x14ac:dyDescent="0.25">
      <c r="A760" s="8">
        <v>758</v>
      </c>
      <c r="B760" s="8"/>
      <c r="C760" s="8" t="b">
        <f>_xlfn.XLOOKUP(Table610[[#This Row],[Category No]],Table8[Category No],Table8[Chapter List],FALSE)</f>
        <v>0</v>
      </c>
      <c r="D760" s="8"/>
      <c r="E760" s="31"/>
    </row>
    <row r="761" spans="1:5" x14ac:dyDescent="0.25">
      <c r="A761" s="8">
        <v>759</v>
      </c>
      <c r="B761" s="8"/>
      <c r="C761" s="8" t="b">
        <f>_xlfn.XLOOKUP(Table610[[#This Row],[Category No]],Table8[Category No],Table8[Chapter List],FALSE)</f>
        <v>0</v>
      </c>
      <c r="D761" s="8"/>
      <c r="E761" s="31"/>
    </row>
    <row r="762" spans="1:5" x14ac:dyDescent="0.25">
      <c r="A762" s="8">
        <v>760</v>
      </c>
      <c r="B762" s="8"/>
      <c r="C762" s="8" t="b">
        <f>_xlfn.XLOOKUP(Table610[[#This Row],[Category No]],Table8[Category No],Table8[Chapter List],FALSE)</f>
        <v>0</v>
      </c>
      <c r="D762" s="8"/>
      <c r="E762" s="31"/>
    </row>
    <row r="763" spans="1:5" x14ac:dyDescent="0.25">
      <c r="A763" s="8">
        <v>761</v>
      </c>
      <c r="B763" s="8"/>
      <c r="C763" s="8" t="b">
        <f>_xlfn.XLOOKUP(Table610[[#This Row],[Category No]],Table8[Category No],Table8[Chapter List],FALSE)</f>
        <v>0</v>
      </c>
      <c r="D763" s="8"/>
      <c r="E763" s="31"/>
    </row>
    <row r="764" spans="1:5" x14ac:dyDescent="0.25">
      <c r="A764" s="8">
        <v>762</v>
      </c>
      <c r="B764" s="8"/>
      <c r="C764" s="8" t="b">
        <f>_xlfn.XLOOKUP(Table610[[#This Row],[Category No]],Table8[Category No],Table8[Chapter List],FALSE)</f>
        <v>0</v>
      </c>
      <c r="D764" s="8"/>
      <c r="E764" s="31"/>
    </row>
    <row r="765" spans="1:5" x14ac:dyDescent="0.25">
      <c r="A765" s="8">
        <v>763</v>
      </c>
      <c r="B765" s="8"/>
      <c r="C765" s="8" t="b">
        <f>_xlfn.XLOOKUP(Table610[[#This Row],[Category No]],Table8[Category No],Table8[Chapter List],FALSE)</f>
        <v>0</v>
      </c>
      <c r="D765" s="8"/>
      <c r="E765" s="31"/>
    </row>
    <row r="766" spans="1:5" x14ac:dyDescent="0.25">
      <c r="A766" s="8">
        <v>764</v>
      </c>
      <c r="B766" s="8"/>
      <c r="C766" s="8" t="b">
        <f>_xlfn.XLOOKUP(Table610[[#This Row],[Category No]],Table8[Category No],Table8[Chapter List],FALSE)</f>
        <v>0</v>
      </c>
      <c r="D766" s="8"/>
      <c r="E766" s="31"/>
    </row>
    <row r="767" spans="1:5" x14ac:dyDescent="0.25">
      <c r="A767" s="8">
        <v>765</v>
      </c>
      <c r="B767" s="8"/>
      <c r="C767" s="8" t="b">
        <f>_xlfn.XLOOKUP(Table610[[#This Row],[Category No]],Table8[Category No],Table8[Chapter List],FALSE)</f>
        <v>0</v>
      </c>
      <c r="D767" s="8"/>
      <c r="E767" s="31"/>
    </row>
    <row r="768" spans="1:5" x14ac:dyDescent="0.25">
      <c r="A768" s="8">
        <v>766</v>
      </c>
      <c r="B768" s="8"/>
      <c r="C768" s="8" t="b">
        <f>_xlfn.XLOOKUP(Table610[[#This Row],[Category No]],Table8[Category No],Table8[Chapter List],FALSE)</f>
        <v>0</v>
      </c>
      <c r="D768" s="8"/>
      <c r="E768" s="31"/>
    </row>
    <row r="769" spans="1:5" x14ac:dyDescent="0.25">
      <c r="A769" s="8">
        <v>767</v>
      </c>
      <c r="B769" s="8"/>
      <c r="C769" s="8" t="b">
        <f>_xlfn.XLOOKUP(Table610[[#This Row],[Category No]],Table8[Category No],Table8[Chapter List],FALSE)</f>
        <v>0</v>
      </c>
      <c r="D769" s="8"/>
      <c r="E769" s="31"/>
    </row>
    <row r="770" spans="1:5" x14ac:dyDescent="0.25">
      <c r="A770" s="8">
        <v>768</v>
      </c>
      <c r="B770" s="8"/>
      <c r="C770" s="8" t="b">
        <f>_xlfn.XLOOKUP(Table610[[#This Row],[Category No]],Table8[Category No],Table8[Chapter List],FALSE)</f>
        <v>0</v>
      </c>
      <c r="D770" s="8"/>
      <c r="E770" s="31"/>
    </row>
    <row r="771" spans="1:5" x14ac:dyDescent="0.25">
      <c r="A771" s="8">
        <v>769</v>
      </c>
      <c r="B771" s="8"/>
      <c r="C771" s="8" t="b">
        <f>_xlfn.XLOOKUP(Table610[[#This Row],[Category No]],Table8[Category No],Table8[Chapter List],FALSE)</f>
        <v>0</v>
      </c>
      <c r="D771" s="8"/>
      <c r="E771" s="31"/>
    </row>
    <row r="772" spans="1:5" x14ac:dyDescent="0.25">
      <c r="A772" s="8">
        <v>770</v>
      </c>
      <c r="B772" s="8"/>
      <c r="C772" s="8" t="b">
        <f>_xlfn.XLOOKUP(Table610[[#This Row],[Category No]],Table8[Category No],Table8[Chapter List],FALSE)</f>
        <v>0</v>
      </c>
      <c r="D772" s="8"/>
      <c r="E772" s="31"/>
    </row>
    <row r="773" spans="1:5" x14ac:dyDescent="0.25">
      <c r="A773" s="8">
        <v>771</v>
      </c>
      <c r="B773" s="8"/>
      <c r="C773" s="8" t="b">
        <f>_xlfn.XLOOKUP(Table610[[#This Row],[Category No]],Table8[Category No],Table8[Chapter List],FALSE)</f>
        <v>0</v>
      </c>
      <c r="D773" s="8"/>
      <c r="E773" s="31"/>
    </row>
    <row r="774" spans="1:5" x14ac:dyDescent="0.25">
      <c r="A774" s="8">
        <v>772</v>
      </c>
      <c r="B774" s="8"/>
      <c r="C774" s="8" t="b">
        <f>_xlfn.XLOOKUP(Table610[[#This Row],[Category No]],Table8[Category No],Table8[Chapter List],FALSE)</f>
        <v>0</v>
      </c>
      <c r="D774" s="8"/>
      <c r="E774" s="31"/>
    </row>
    <row r="775" spans="1:5" x14ac:dyDescent="0.25">
      <c r="A775" s="8">
        <v>773</v>
      </c>
      <c r="B775" s="8"/>
      <c r="C775" s="8" t="b">
        <f>_xlfn.XLOOKUP(Table610[[#This Row],[Category No]],Table8[Category No],Table8[Chapter List],FALSE)</f>
        <v>0</v>
      </c>
      <c r="D775" s="8"/>
      <c r="E775" s="31"/>
    </row>
    <row r="776" spans="1:5" x14ac:dyDescent="0.25">
      <c r="A776" s="8">
        <v>774</v>
      </c>
      <c r="B776" s="8"/>
      <c r="C776" s="8" t="b">
        <f>_xlfn.XLOOKUP(Table610[[#This Row],[Category No]],Table8[Category No],Table8[Chapter List],FALSE)</f>
        <v>0</v>
      </c>
      <c r="D776" s="8"/>
      <c r="E776" s="31"/>
    </row>
    <row r="777" spans="1:5" x14ac:dyDescent="0.25">
      <c r="A777" s="8">
        <v>775</v>
      </c>
      <c r="B777" s="8"/>
      <c r="C777" s="8" t="b">
        <f>_xlfn.XLOOKUP(Table610[[#This Row],[Category No]],Table8[Category No],Table8[Chapter List],FALSE)</f>
        <v>0</v>
      </c>
      <c r="D777" s="8"/>
      <c r="E777" s="31"/>
    </row>
    <row r="778" spans="1:5" x14ac:dyDescent="0.25">
      <c r="A778" s="8">
        <v>776</v>
      </c>
      <c r="B778" s="8"/>
      <c r="C778" s="8" t="b">
        <f>_xlfn.XLOOKUP(Table610[[#This Row],[Category No]],Table8[Category No],Table8[Chapter List],FALSE)</f>
        <v>0</v>
      </c>
      <c r="D778" s="8"/>
      <c r="E778" s="31"/>
    </row>
    <row r="779" spans="1:5" x14ac:dyDescent="0.25">
      <c r="A779" s="8">
        <v>777</v>
      </c>
      <c r="B779" s="8"/>
      <c r="C779" s="8" t="b">
        <f>_xlfn.XLOOKUP(Table610[[#This Row],[Category No]],Table8[Category No],Table8[Chapter List],FALSE)</f>
        <v>0</v>
      </c>
      <c r="D779" s="8"/>
      <c r="E779" s="31"/>
    </row>
    <row r="780" spans="1:5" x14ac:dyDescent="0.25">
      <c r="A780" s="8">
        <v>778</v>
      </c>
      <c r="B780" s="8"/>
      <c r="C780" s="8" t="b">
        <f>_xlfn.XLOOKUP(Table610[[#This Row],[Category No]],Table8[Category No],Table8[Chapter List],FALSE)</f>
        <v>0</v>
      </c>
      <c r="D780" s="8"/>
      <c r="E780" s="31"/>
    </row>
    <row r="781" spans="1:5" x14ac:dyDescent="0.25">
      <c r="A781" s="8">
        <v>779</v>
      </c>
      <c r="B781" s="8"/>
      <c r="C781" s="8" t="b">
        <f>_xlfn.XLOOKUP(Table610[[#This Row],[Category No]],Table8[Category No],Table8[Chapter List],FALSE)</f>
        <v>0</v>
      </c>
      <c r="D781" s="8"/>
      <c r="E781" s="31"/>
    </row>
    <row r="782" spans="1:5" x14ac:dyDescent="0.25">
      <c r="A782" s="8">
        <v>780</v>
      </c>
      <c r="B782" s="8"/>
      <c r="C782" s="8" t="b">
        <f>_xlfn.XLOOKUP(Table610[[#This Row],[Category No]],Table8[Category No],Table8[Chapter List],FALSE)</f>
        <v>0</v>
      </c>
      <c r="D782" s="8"/>
      <c r="E782" s="31"/>
    </row>
    <row r="783" spans="1:5" x14ac:dyDescent="0.25">
      <c r="A783" s="8">
        <v>781</v>
      </c>
      <c r="B783" s="8"/>
      <c r="C783" s="8" t="b">
        <f>_xlfn.XLOOKUP(Table610[[#This Row],[Category No]],Table8[Category No],Table8[Chapter List],FALSE)</f>
        <v>0</v>
      </c>
      <c r="D783" s="8"/>
      <c r="E783" s="31"/>
    </row>
    <row r="784" spans="1:5" x14ac:dyDescent="0.25">
      <c r="A784" s="8">
        <v>782</v>
      </c>
      <c r="B784" s="8"/>
      <c r="C784" s="8" t="b">
        <f>_xlfn.XLOOKUP(Table610[[#This Row],[Category No]],Table8[Category No],Table8[Chapter List],FALSE)</f>
        <v>0</v>
      </c>
      <c r="D784" s="8"/>
      <c r="E784" s="31"/>
    </row>
    <row r="785" spans="1:5" x14ac:dyDescent="0.25">
      <c r="A785" s="8">
        <v>783</v>
      </c>
      <c r="B785" s="8"/>
      <c r="C785" s="8" t="b">
        <f>_xlfn.XLOOKUP(Table610[[#This Row],[Category No]],Table8[Category No],Table8[Chapter List],FALSE)</f>
        <v>0</v>
      </c>
      <c r="D785" s="8"/>
      <c r="E785" s="31"/>
    </row>
    <row r="786" spans="1:5" x14ac:dyDescent="0.25">
      <c r="A786" s="8">
        <v>784</v>
      </c>
      <c r="B786" s="8"/>
      <c r="C786" s="8" t="b">
        <f>_xlfn.XLOOKUP(Table610[[#This Row],[Category No]],Table8[Category No],Table8[Chapter List],FALSE)</f>
        <v>0</v>
      </c>
      <c r="D786" s="8"/>
      <c r="E786" s="31"/>
    </row>
    <row r="787" spans="1:5" x14ac:dyDescent="0.25">
      <c r="A787" s="8">
        <v>785</v>
      </c>
      <c r="B787" s="8"/>
      <c r="C787" s="8" t="b">
        <f>_xlfn.XLOOKUP(Table610[[#This Row],[Category No]],Table8[Category No],Table8[Chapter List],FALSE)</f>
        <v>0</v>
      </c>
      <c r="D787" s="8"/>
      <c r="E787" s="31"/>
    </row>
    <row r="788" spans="1:5" x14ac:dyDescent="0.25">
      <c r="A788" s="8">
        <v>786</v>
      </c>
      <c r="B788" s="8"/>
      <c r="C788" s="8" t="b">
        <f>_xlfn.XLOOKUP(Table610[[#This Row],[Category No]],Table8[Category No],Table8[Chapter List],FALSE)</f>
        <v>0</v>
      </c>
      <c r="D788" s="8"/>
      <c r="E788" s="31"/>
    </row>
    <row r="789" spans="1:5" x14ac:dyDescent="0.25">
      <c r="A789" s="8">
        <v>787</v>
      </c>
      <c r="B789" s="8"/>
      <c r="C789" s="8" t="b">
        <f>_xlfn.XLOOKUP(Table610[[#This Row],[Category No]],Table8[Category No],Table8[Chapter List],FALSE)</f>
        <v>0</v>
      </c>
      <c r="D789" s="8"/>
      <c r="E789" s="31"/>
    </row>
    <row r="790" spans="1:5" x14ac:dyDescent="0.25">
      <c r="A790" s="8">
        <v>788</v>
      </c>
      <c r="B790" s="8"/>
      <c r="C790" s="8" t="b">
        <f>_xlfn.XLOOKUP(Table610[[#This Row],[Category No]],Table8[Category No],Table8[Chapter List],FALSE)</f>
        <v>0</v>
      </c>
      <c r="D790" s="8"/>
      <c r="E790" s="31"/>
    </row>
    <row r="791" spans="1:5" x14ac:dyDescent="0.25">
      <c r="A791" s="8">
        <v>789</v>
      </c>
      <c r="B791" s="8"/>
      <c r="C791" s="8" t="b">
        <f>_xlfn.XLOOKUP(Table610[[#This Row],[Category No]],Table8[Category No],Table8[Chapter List],FALSE)</f>
        <v>0</v>
      </c>
      <c r="D791" s="8"/>
      <c r="E791" s="31"/>
    </row>
    <row r="792" spans="1:5" x14ac:dyDescent="0.25">
      <c r="A792" s="8">
        <v>790</v>
      </c>
      <c r="B792" s="8"/>
      <c r="C792" s="8" t="b">
        <f>_xlfn.XLOOKUP(Table610[[#This Row],[Category No]],Table8[Category No],Table8[Chapter List],FALSE)</f>
        <v>0</v>
      </c>
      <c r="D792" s="8"/>
      <c r="E792" s="31"/>
    </row>
    <row r="793" spans="1:5" x14ac:dyDescent="0.25">
      <c r="A793" s="8">
        <v>791</v>
      </c>
      <c r="B793" s="8"/>
      <c r="C793" s="8" t="b">
        <f>_xlfn.XLOOKUP(Table610[[#This Row],[Category No]],Table8[Category No],Table8[Chapter List],FALSE)</f>
        <v>0</v>
      </c>
      <c r="D793" s="8"/>
      <c r="E793" s="31"/>
    </row>
    <row r="794" spans="1:5" x14ac:dyDescent="0.25">
      <c r="A794" s="8">
        <v>792</v>
      </c>
      <c r="B794" s="8"/>
      <c r="C794" s="8" t="b">
        <f>_xlfn.XLOOKUP(Table610[[#This Row],[Category No]],Table8[Category No],Table8[Chapter List],FALSE)</f>
        <v>0</v>
      </c>
      <c r="D794" s="8"/>
      <c r="E794" s="31"/>
    </row>
    <row r="795" spans="1:5" x14ac:dyDescent="0.25">
      <c r="A795" s="8">
        <v>793</v>
      </c>
      <c r="B795" s="8"/>
      <c r="C795" s="8" t="b">
        <f>_xlfn.XLOOKUP(Table610[[#This Row],[Category No]],Table8[Category No],Table8[Chapter List],FALSE)</f>
        <v>0</v>
      </c>
      <c r="D795" s="8"/>
      <c r="E795" s="31"/>
    </row>
    <row r="796" spans="1:5" x14ac:dyDescent="0.25">
      <c r="A796" s="8">
        <v>794</v>
      </c>
      <c r="B796" s="8"/>
      <c r="C796" s="8" t="b">
        <f>_xlfn.XLOOKUP(Table610[[#This Row],[Category No]],Table8[Category No],Table8[Chapter List],FALSE)</f>
        <v>0</v>
      </c>
      <c r="D796" s="8"/>
      <c r="E796" s="31"/>
    </row>
    <row r="797" spans="1:5" x14ac:dyDescent="0.25">
      <c r="A797" s="8">
        <v>795</v>
      </c>
      <c r="B797" s="8"/>
      <c r="C797" s="8" t="b">
        <f>_xlfn.XLOOKUP(Table610[[#This Row],[Category No]],Table8[Category No],Table8[Chapter List],FALSE)</f>
        <v>0</v>
      </c>
      <c r="D797" s="8"/>
      <c r="E797" s="31"/>
    </row>
    <row r="798" spans="1:5" x14ac:dyDescent="0.25">
      <c r="A798" s="8">
        <v>796</v>
      </c>
      <c r="B798" s="8"/>
      <c r="C798" s="8" t="b">
        <f>_xlfn.XLOOKUP(Table610[[#This Row],[Category No]],Table8[Category No],Table8[Chapter List],FALSE)</f>
        <v>0</v>
      </c>
      <c r="D798" s="8"/>
      <c r="E798" s="31"/>
    </row>
    <row r="799" spans="1:5" x14ac:dyDescent="0.25">
      <c r="A799" s="8">
        <v>797</v>
      </c>
      <c r="B799" s="8"/>
      <c r="C799" s="8" t="b">
        <f>_xlfn.XLOOKUP(Table610[[#This Row],[Category No]],Table8[Category No],Table8[Chapter List],FALSE)</f>
        <v>0</v>
      </c>
      <c r="D799" s="8"/>
      <c r="E799" s="31"/>
    </row>
    <row r="800" spans="1:5" x14ac:dyDescent="0.25">
      <c r="A800" s="8">
        <v>798</v>
      </c>
      <c r="B800" s="8"/>
      <c r="C800" s="8" t="b">
        <f>_xlfn.XLOOKUP(Table610[[#This Row],[Category No]],Table8[Category No],Table8[Chapter List],FALSE)</f>
        <v>0</v>
      </c>
      <c r="D800" s="8"/>
      <c r="E800" s="31"/>
    </row>
    <row r="801" spans="1:5" x14ac:dyDescent="0.25">
      <c r="A801" s="8">
        <v>799</v>
      </c>
      <c r="B801" s="8"/>
      <c r="C801" s="8" t="b">
        <f>_xlfn.XLOOKUP(Table610[[#This Row],[Category No]],Table8[Category No],Table8[Chapter List],FALSE)</f>
        <v>0</v>
      </c>
      <c r="D801" s="8"/>
      <c r="E801" s="31"/>
    </row>
    <row r="802" spans="1:5" x14ac:dyDescent="0.25">
      <c r="A802" s="8">
        <v>800</v>
      </c>
      <c r="B802" s="8"/>
      <c r="C802" s="8" t="b">
        <f>_xlfn.XLOOKUP(Table610[[#This Row],[Category No]],Table8[Category No],Table8[Chapter List],FALSE)</f>
        <v>0</v>
      </c>
      <c r="D802" s="8"/>
      <c r="E802" s="31"/>
    </row>
    <row r="803" spans="1:5" x14ac:dyDescent="0.25">
      <c r="A803" s="8">
        <v>801</v>
      </c>
      <c r="B803" s="8"/>
      <c r="C803" s="8" t="b">
        <f>_xlfn.XLOOKUP(Table610[[#This Row],[Category No]],Table8[Category No],Table8[Chapter List],FALSE)</f>
        <v>0</v>
      </c>
      <c r="D803" s="8"/>
      <c r="E803" s="31"/>
    </row>
    <row r="804" spans="1:5" x14ac:dyDescent="0.25">
      <c r="A804" s="8">
        <v>802</v>
      </c>
      <c r="B804" s="8"/>
      <c r="C804" s="8" t="b">
        <f>_xlfn.XLOOKUP(Table610[[#This Row],[Category No]],Table8[Category No],Table8[Chapter List],FALSE)</f>
        <v>0</v>
      </c>
      <c r="D804" s="8"/>
      <c r="E804" s="31"/>
    </row>
    <row r="805" spans="1:5" x14ac:dyDescent="0.25">
      <c r="A805" s="8">
        <v>803</v>
      </c>
      <c r="B805" s="8"/>
      <c r="C805" s="8" t="b">
        <f>_xlfn.XLOOKUP(Table610[[#This Row],[Category No]],Table8[Category No],Table8[Chapter List],FALSE)</f>
        <v>0</v>
      </c>
      <c r="D805" s="8"/>
      <c r="E805" s="31"/>
    </row>
    <row r="806" spans="1:5" x14ac:dyDescent="0.25">
      <c r="A806" s="8">
        <v>804</v>
      </c>
      <c r="B806" s="8"/>
      <c r="C806" s="8" t="b">
        <f>_xlfn.XLOOKUP(Table610[[#This Row],[Category No]],Table8[Category No],Table8[Chapter List],FALSE)</f>
        <v>0</v>
      </c>
      <c r="D806" s="8"/>
      <c r="E806" s="31"/>
    </row>
    <row r="807" spans="1:5" x14ac:dyDescent="0.25">
      <c r="A807" s="8">
        <v>805</v>
      </c>
      <c r="B807" s="8"/>
      <c r="C807" s="8" t="b">
        <f>_xlfn.XLOOKUP(Table610[[#This Row],[Category No]],Table8[Category No],Table8[Chapter List],FALSE)</f>
        <v>0</v>
      </c>
      <c r="D807" s="8"/>
      <c r="E807" s="31"/>
    </row>
    <row r="808" spans="1:5" x14ac:dyDescent="0.25">
      <c r="A808" s="8">
        <v>806</v>
      </c>
      <c r="B808" s="8"/>
      <c r="C808" s="8" t="b">
        <f>_xlfn.XLOOKUP(Table610[[#This Row],[Category No]],Table8[Category No],Table8[Chapter List],FALSE)</f>
        <v>0</v>
      </c>
      <c r="D808" s="8"/>
      <c r="E808" s="31"/>
    </row>
    <row r="809" spans="1:5" x14ac:dyDescent="0.25">
      <c r="A809" s="8">
        <v>807</v>
      </c>
      <c r="B809" s="8"/>
      <c r="C809" s="8" t="b">
        <f>_xlfn.XLOOKUP(Table610[[#This Row],[Category No]],Table8[Category No],Table8[Chapter List],FALSE)</f>
        <v>0</v>
      </c>
      <c r="D809" s="8"/>
      <c r="E809" s="31"/>
    </row>
    <row r="810" spans="1:5" x14ac:dyDescent="0.25">
      <c r="A810" s="8">
        <v>808</v>
      </c>
      <c r="B810" s="8"/>
      <c r="C810" s="8" t="b">
        <f>_xlfn.XLOOKUP(Table610[[#This Row],[Category No]],Table8[Category No],Table8[Chapter List],FALSE)</f>
        <v>0</v>
      </c>
      <c r="D810" s="8"/>
      <c r="E810" s="31"/>
    </row>
    <row r="811" spans="1:5" x14ac:dyDescent="0.25">
      <c r="A811" s="8">
        <v>809</v>
      </c>
      <c r="B811" s="8"/>
      <c r="C811" s="8" t="b">
        <f>_xlfn.XLOOKUP(Table610[[#This Row],[Category No]],Table8[Category No],Table8[Chapter List],FALSE)</f>
        <v>0</v>
      </c>
      <c r="D811" s="8"/>
      <c r="E811" s="31"/>
    </row>
    <row r="812" spans="1:5" x14ac:dyDescent="0.25">
      <c r="A812" s="8">
        <v>810</v>
      </c>
      <c r="B812" s="8"/>
      <c r="C812" s="8" t="b">
        <f>_xlfn.XLOOKUP(Table610[[#This Row],[Category No]],Table8[Category No],Table8[Chapter List],FALSE)</f>
        <v>0</v>
      </c>
      <c r="D812" s="8"/>
      <c r="E812" s="31"/>
    </row>
    <row r="813" spans="1:5" x14ac:dyDescent="0.25">
      <c r="A813" s="8">
        <v>811</v>
      </c>
      <c r="B813" s="8"/>
      <c r="C813" s="8" t="b">
        <f>_xlfn.XLOOKUP(Table610[[#This Row],[Category No]],Table8[Category No],Table8[Chapter List],FALSE)</f>
        <v>0</v>
      </c>
      <c r="D813" s="8"/>
      <c r="E813" s="31"/>
    </row>
    <row r="814" spans="1:5" x14ac:dyDescent="0.25">
      <c r="A814" s="8">
        <v>812</v>
      </c>
      <c r="B814" s="8"/>
      <c r="C814" s="8" t="b">
        <f>_xlfn.XLOOKUP(Table610[[#This Row],[Category No]],Table8[Category No],Table8[Chapter List],FALSE)</f>
        <v>0</v>
      </c>
      <c r="D814" s="8"/>
      <c r="E814" s="31"/>
    </row>
    <row r="815" spans="1:5" x14ac:dyDescent="0.25">
      <c r="A815" s="8">
        <v>813</v>
      </c>
      <c r="B815" s="8"/>
      <c r="C815" s="8" t="b">
        <f>_xlfn.XLOOKUP(Table610[[#This Row],[Category No]],Table8[Category No],Table8[Chapter List],FALSE)</f>
        <v>0</v>
      </c>
      <c r="D815" s="8"/>
      <c r="E815" s="31"/>
    </row>
    <row r="816" spans="1:5" x14ac:dyDescent="0.25">
      <c r="A816" s="8">
        <v>814</v>
      </c>
      <c r="B816" s="8"/>
      <c r="C816" s="8" t="b">
        <f>_xlfn.XLOOKUP(Table610[[#This Row],[Category No]],Table8[Category No],Table8[Chapter List],FALSE)</f>
        <v>0</v>
      </c>
      <c r="D816" s="8"/>
      <c r="E816" s="31"/>
    </row>
    <row r="817" spans="1:5" x14ac:dyDescent="0.25">
      <c r="A817" s="8">
        <v>815</v>
      </c>
      <c r="B817" s="8"/>
      <c r="C817" s="8" t="b">
        <f>_xlfn.XLOOKUP(Table610[[#This Row],[Category No]],Table8[Category No],Table8[Chapter List],FALSE)</f>
        <v>0</v>
      </c>
      <c r="D817" s="8"/>
      <c r="E817" s="31"/>
    </row>
    <row r="818" spans="1:5" x14ac:dyDescent="0.25">
      <c r="A818" s="8">
        <v>816</v>
      </c>
      <c r="B818" s="8"/>
      <c r="C818" s="8" t="b">
        <f>_xlfn.XLOOKUP(Table610[[#This Row],[Category No]],Table8[Category No],Table8[Chapter List],FALSE)</f>
        <v>0</v>
      </c>
      <c r="D818" s="8"/>
      <c r="E818" s="31"/>
    </row>
    <row r="819" spans="1:5" x14ac:dyDescent="0.25">
      <c r="A819" s="8">
        <v>817</v>
      </c>
      <c r="B819" s="8"/>
      <c r="C819" s="8" t="b">
        <f>_xlfn.XLOOKUP(Table610[[#This Row],[Category No]],Table8[Category No],Table8[Chapter List],FALSE)</f>
        <v>0</v>
      </c>
      <c r="D819" s="8"/>
      <c r="E819" s="31"/>
    </row>
    <row r="820" spans="1:5" x14ac:dyDescent="0.25">
      <c r="A820" s="8">
        <v>818</v>
      </c>
      <c r="B820" s="8"/>
      <c r="C820" s="8" t="b">
        <f>_xlfn.XLOOKUP(Table610[[#This Row],[Category No]],Table8[Category No],Table8[Chapter List],FALSE)</f>
        <v>0</v>
      </c>
      <c r="D820" s="8"/>
      <c r="E820" s="31"/>
    </row>
    <row r="821" spans="1:5" x14ac:dyDescent="0.25">
      <c r="A821" s="8">
        <v>819</v>
      </c>
      <c r="B821" s="8"/>
      <c r="C821" s="8" t="b">
        <f>_xlfn.XLOOKUP(Table610[[#This Row],[Category No]],Table8[Category No],Table8[Chapter List],FALSE)</f>
        <v>0</v>
      </c>
      <c r="D821" s="8"/>
      <c r="E821" s="31"/>
    </row>
    <row r="822" spans="1:5" x14ac:dyDescent="0.25">
      <c r="A822" s="8">
        <v>820</v>
      </c>
      <c r="B822" s="8"/>
      <c r="C822" s="8" t="b">
        <f>_xlfn.XLOOKUP(Table610[[#This Row],[Category No]],Table8[Category No],Table8[Chapter List],FALSE)</f>
        <v>0</v>
      </c>
      <c r="D822" s="8"/>
      <c r="E822" s="31"/>
    </row>
    <row r="823" spans="1:5" x14ac:dyDescent="0.25">
      <c r="A823" s="8">
        <v>821</v>
      </c>
      <c r="B823" s="8"/>
      <c r="C823" s="8" t="b">
        <f>_xlfn.XLOOKUP(Table610[[#This Row],[Category No]],Table8[Category No],Table8[Chapter List],FALSE)</f>
        <v>0</v>
      </c>
      <c r="D823" s="8"/>
      <c r="E823" s="31"/>
    </row>
    <row r="824" spans="1:5" x14ac:dyDescent="0.25">
      <c r="A824" s="8">
        <v>822</v>
      </c>
      <c r="B824" s="8"/>
      <c r="C824" s="8" t="b">
        <f>_xlfn.XLOOKUP(Table610[[#This Row],[Category No]],Table8[Category No],Table8[Chapter List],FALSE)</f>
        <v>0</v>
      </c>
      <c r="D824" s="8"/>
      <c r="E824" s="31"/>
    </row>
    <row r="825" spans="1:5" x14ac:dyDescent="0.25">
      <c r="A825" s="8">
        <v>823</v>
      </c>
      <c r="B825" s="8"/>
      <c r="C825" s="8" t="b">
        <f>_xlfn.XLOOKUP(Table610[[#This Row],[Category No]],Table8[Category No],Table8[Chapter List],FALSE)</f>
        <v>0</v>
      </c>
      <c r="D825" s="8"/>
      <c r="E825" s="31"/>
    </row>
    <row r="826" spans="1:5" x14ac:dyDescent="0.25">
      <c r="A826" s="8">
        <v>824</v>
      </c>
      <c r="B826" s="8"/>
      <c r="C826" s="8" t="b">
        <f>_xlfn.XLOOKUP(Table610[[#This Row],[Category No]],Table8[Category No],Table8[Chapter List],FALSE)</f>
        <v>0</v>
      </c>
      <c r="D826" s="8"/>
      <c r="E826" s="31"/>
    </row>
    <row r="827" spans="1:5" x14ac:dyDescent="0.25">
      <c r="A827" s="8">
        <v>825</v>
      </c>
      <c r="B827" s="8"/>
      <c r="C827" s="8" t="b">
        <f>_xlfn.XLOOKUP(Table610[[#This Row],[Category No]],Table8[Category No],Table8[Chapter List],FALSE)</f>
        <v>0</v>
      </c>
      <c r="D827" s="8"/>
      <c r="E827" s="31"/>
    </row>
    <row r="828" spans="1:5" x14ac:dyDescent="0.25">
      <c r="A828" s="8">
        <v>826</v>
      </c>
      <c r="B828" s="8"/>
      <c r="C828" s="8" t="b">
        <f>_xlfn.XLOOKUP(Table610[[#This Row],[Category No]],Table8[Category No],Table8[Chapter List],FALSE)</f>
        <v>0</v>
      </c>
      <c r="D828" s="8"/>
      <c r="E828" s="31"/>
    </row>
    <row r="829" spans="1:5" x14ac:dyDescent="0.25">
      <c r="A829" s="8">
        <v>827</v>
      </c>
      <c r="B829" s="8"/>
      <c r="C829" s="8" t="b">
        <f>_xlfn.XLOOKUP(Table610[[#This Row],[Category No]],Table8[Category No],Table8[Chapter List],FALSE)</f>
        <v>0</v>
      </c>
      <c r="D829" s="8"/>
      <c r="E829" s="31"/>
    </row>
    <row r="830" spans="1:5" x14ac:dyDescent="0.25">
      <c r="A830" s="8">
        <v>828</v>
      </c>
      <c r="B830" s="8"/>
      <c r="C830" s="8" t="b">
        <f>_xlfn.XLOOKUP(Table610[[#This Row],[Category No]],Table8[Category No],Table8[Chapter List],FALSE)</f>
        <v>0</v>
      </c>
      <c r="D830" s="8"/>
      <c r="E830" s="31"/>
    </row>
    <row r="831" spans="1:5" x14ac:dyDescent="0.25">
      <c r="A831" s="8">
        <v>829</v>
      </c>
      <c r="B831" s="8"/>
      <c r="C831" s="8" t="b">
        <f>_xlfn.XLOOKUP(Table610[[#This Row],[Category No]],Table8[Category No],Table8[Chapter List],FALSE)</f>
        <v>0</v>
      </c>
      <c r="D831" s="8"/>
      <c r="E831" s="31"/>
    </row>
    <row r="832" spans="1:5" x14ac:dyDescent="0.25">
      <c r="A832" s="8">
        <v>830</v>
      </c>
      <c r="B832" s="8"/>
      <c r="C832" s="8" t="b">
        <f>_xlfn.XLOOKUP(Table610[[#This Row],[Category No]],Table8[Category No],Table8[Chapter List],FALSE)</f>
        <v>0</v>
      </c>
      <c r="D832" s="8"/>
      <c r="E832" s="31"/>
    </row>
    <row r="833" spans="1:5" x14ac:dyDescent="0.25">
      <c r="A833" s="8">
        <v>831</v>
      </c>
      <c r="B833" s="8"/>
      <c r="C833" s="8" t="b">
        <f>_xlfn.XLOOKUP(Table610[[#This Row],[Category No]],Table8[Category No],Table8[Chapter List],FALSE)</f>
        <v>0</v>
      </c>
      <c r="D833" s="8"/>
      <c r="E833" s="31"/>
    </row>
    <row r="834" spans="1:5" x14ac:dyDescent="0.25">
      <c r="A834" s="8">
        <v>832</v>
      </c>
      <c r="B834" s="8"/>
      <c r="C834" s="8" t="b">
        <f>_xlfn.XLOOKUP(Table610[[#This Row],[Category No]],Table8[Category No],Table8[Chapter List],FALSE)</f>
        <v>0</v>
      </c>
      <c r="D834" s="8"/>
      <c r="E834" s="31"/>
    </row>
    <row r="835" spans="1:5" x14ac:dyDescent="0.25">
      <c r="A835" s="8">
        <v>833</v>
      </c>
      <c r="B835" s="8"/>
      <c r="C835" s="8" t="b">
        <f>_xlfn.XLOOKUP(Table610[[#This Row],[Category No]],Table8[Category No],Table8[Chapter List],FALSE)</f>
        <v>0</v>
      </c>
      <c r="D835" s="8"/>
      <c r="E835" s="31"/>
    </row>
    <row r="836" spans="1:5" x14ac:dyDescent="0.25">
      <c r="A836" s="8">
        <v>834</v>
      </c>
      <c r="B836" s="8"/>
      <c r="C836" s="8" t="b">
        <f>_xlfn.XLOOKUP(Table610[[#This Row],[Category No]],Table8[Category No],Table8[Chapter List],FALSE)</f>
        <v>0</v>
      </c>
      <c r="D836" s="8"/>
      <c r="E836" s="31"/>
    </row>
    <row r="837" spans="1:5" x14ac:dyDescent="0.25">
      <c r="A837" s="8">
        <v>835</v>
      </c>
      <c r="B837" s="8"/>
      <c r="C837" s="8" t="b">
        <f>_xlfn.XLOOKUP(Table610[[#This Row],[Category No]],Table8[Category No],Table8[Chapter List],FALSE)</f>
        <v>0</v>
      </c>
      <c r="D837" s="8"/>
      <c r="E837" s="31"/>
    </row>
    <row r="838" spans="1:5" x14ac:dyDescent="0.25">
      <c r="A838" s="8">
        <v>836</v>
      </c>
      <c r="B838" s="8"/>
      <c r="C838" s="8" t="b">
        <f>_xlfn.XLOOKUP(Table610[[#This Row],[Category No]],Table8[Category No],Table8[Chapter List],FALSE)</f>
        <v>0</v>
      </c>
      <c r="D838" s="8"/>
      <c r="E838" s="31"/>
    </row>
    <row r="839" spans="1:5" x14ac:dyDescent="0.25">
      <c r="A839" s="8">
        <v>837</v>
      </c>
      <c r="B839" s="8"/>
      <c r="C839" s="8" t="b">
        <f>_xlfn.XLOOKUP(Table610[[#This Row],[Category No]],Table8[Category No],Table8[Chapter List],FALSE)</f>
        <v>0</v>
      </c>
      <c r="D839" s="8"/>
      <c r="E839" s="31"/>
    </row>
    <row r="840" spans="1:5" x14ac:dyDescent="0.25">
      <c r="A840" s="8">
        <v>838</v>
      </c>
      <c r="B840" s="8"/>
      <c r="C840" s="8" t="b">
        <f>_xlfn.XLOOKUP(Table610[[#This Row],[Category No]],Table8[Category No],Table8[Chapter List],FALSE)</f>
        <v>0</v>
      </c>
      <c r="D840" s="8"/>
      <c r="E840" s="31"/>
    </row>
    <row r="841" spans="1:5" x14ac:dyDescent="0.25">
      <c r="A841" s="8">
        <v>839</v>
      </c>
      <c r="B841" s="8"/>
      <c r="C841" s="8" t="b">
        <f>_xlfn.XLOOKUP(Table610[[#This Row],[Category No]],Table8[Category No],Table8[Chapter List],FALSE)</f>
        <v>0</v>
      </c>
      <c r="D841" s="8"/>
      <c r="E841" s="31"/>
    </row>
    <row r="842" spans="1:5" x14ac:dyDescent="0.25">
      <c r="A842" s="8">
        <v>840</v>
      </c>
      <c r="B842" s="8"/>
      <c r="C842" s="8" t="b">
        <f>_xlfn.XLOOKUP(Table610[[#This Row],[Category No]],Table8[Category No],Table8[Chapter List],FALSE)</f>
        <v>0</v>
      </c>
      <c r="D842" s="8"/>
      <c r="E842" s="31"/>
    </row>
    <row r="843" spans="1:5" x14ac:dyDescent="0.25">
      <c r="A843" s="8">
        <v>841</v>
      </c>
      <c r="B843" s="8"/>
      <c r="C843" s="8" t="b">
        <f>_xlfn.XLOOKUP(Table610[[#This Row],[Category No]],Table8[Category No],Table8[Chapter List],FALSE)</f>
        <v>0</v>
      </c>
      <c r="D843" s="8"/>
      <c r="E843" s="31"/>
    </row>
    <row r="844" spans="1:5" x14ac:dyDescent="0.25">
      <c r="A844" s="8">
        <v>842</v>
      </c>
      <c r="B844" s="8"/>
      <c r="C844" s="8" t="b">
        <f>_xlfn.XLOOKUP(Table610[[#This Row],[Category No]],Table8[Category No],Table8[Chapter List],FALSE)</f>
        <v>0</v>
      </c>
      <c r="D844" s="8"/>
      <c r="E844" s="31"/>
    </row>
    <row r="845" spans="1:5" x14ac:dyDescent="0.25">
      <c r="A845" s="8">
        <v>843</v>
      </c>
      <c r="B845" s="8"/>
      <c r="C845" s="8" t="b">
        <f>_xlfn.XLOOKUP(Table610[[#This Row],[Category No]],Table8[Category No],Table8[Chapter List],FALSE)</f>
        <v>0</v>
      </c>
      <c r="D845" s="8"/>
      <c r="E845" s="31"/>
    </row>
    <row r="846" spans="1:5" x14ac:dyDescent="0.25">
      <c r="A846" s="8">
        <v>844</v>
      </c>
      <c r="B846" s="8"/>
      <c r="C846" s="8" t="b">
        <f>_xlfn.XLOOKUP(Table610[[#This Row],[Category No]],Table8[Category No],Table8[Chapter List],FALSE)</f>
        <v>0</v>
      </c>
      <c r="D846" s="8"/>
      <c r="E846" s="31"/>
    </row>
    <row r="847" spans="1:5" x14ac:dyDescent="0.25">
      <c r="A847" s="8">
        <v>845</v>
      </c>
      <c r="B847" s="8"/>
      <c r="C847" s="8" t="b">
        <f>_xlfn.XLOOKUP(Table610[[#This Row],[Category No]],Table8[Category No],Table8[Chapter List],FALSE)</f>
        <v>0</v>
      </c>
      <c r="D847" s="8"/>
      <c r="E847" s="31"/>
    </row>
    <row r="848" spans="1:5" x14ac:dyDescent="0.25">
      <c r="A848" s="8">
        <v>846</v>
      </c>
      <c r="B848" s="8"/>
      <c r="C848" s="8" t="b">
        <f>_xlfn.XLOOKUP(Table610[[#This Row],[Category No]],Table8[Category No],Table8[Chapter List],FALSE)</f>
        <v>0</v>
      </c>
      <c r="D848" s="8"/>
      <c r="E848" s="31"/>
    </row>
    <row r="849" spans="1:5" x14ac:dyDescent="0.25">
      <c r="A849" s="8">
        <v>847</v>
      </c>
      <c r="B849" s="8"/>
      <c r="C849" s="8" t="b">
        <f>_xlfn.XLOOKUP(Table610[[#This Row],[Category No]],Table8[Category No],Table8[Chapter List],FALSE)</f>
        <v>0</v>
      </c>
      <c r="D849" s="8"/>
      <c r="E849" s="31"/>
    </row>
    <row r="850" spans="1:5" x14ac:dyDescent="0.25">
      <c r="A850" s="8">
        <v>848</v>
      </c>
      <c r="B850" s="8"/>
      <c r="C850" s="8" t="b">
        <f>_xlfn.XLOOKUP(Table610[[#This Row],[Category No]],Table8[Category No],Table8[Chapter List],FALSE)</f>
        <v>0</v>
      </c>
      <c r="D850" s="8"/>
      <c r="E850" s="31"/>
    </row>
    <row r="851" spans="1:5" x14ac:dyDescent="0.25">
      <c r="A851" s="8">
        <v>849</v>
      </c>
      <c r="B851" s="8"/>
      <c r="C851" s="8" t="b">
        <f>_xlfn.XLOOKUP(Table610[[#This Row],[Category No]],Table8[Category No],Table8[Chapter List],FALSE)</f>
        <v>0</v>
      </c>
      <c r="D851" s="8"/>
      <c r="E851" s="31"/>
    </row>
    <row r="852" spans="1:5" x14ac:dyDescent="0.25">
      <c r="A852" s="8">
        <v>850</v>
      </c>
      <c r="B852" s="8"/>
      <c r="C852" s="8" t="b">
        <f>_xlfn.XLOOKUP(Table610[[#This Row],[Category No]],Table8[Category No],Table8[Chapter List],FALSE)</f>
        <v>0</v>
      </c>
      <c r="D852" s="8"/>
      <c r="E852" s="31"/>
    </row>
    <row r="853" spans="1:5" x14ac:dyDescent="0.25">
      <c r="A853" s="8">
        <v>851</v>
      </c>
      <c r="B853" s="8"/>
      <c r="C853" s="8" t="b">
        <f>_xlfn.XLOOKUP(Table610[[#This Row],[Category No]],Table8[Category No],Table8[Chapter List],FALSE)</f>
        <v>0</v>
      </c>
      <c r="D853" s="8"/>
      <c r="E853" s="31"/>
    </row>
    <row r="854" spans="1:5" x14ac:dyDescent="0.25">
      <c r="A854" s="8">
        <v>852</v>
      </c>
      <c r="B854" s="8"/>
      <c r="C854" s="8" t="b">
        <f>_xlfn.XLOOKUP(Table610[[#This Row],[Category No]],Table8[Category No],Table8[Chapter List],FALSE)</f>
        <v>0</v>
      </c>
      <c r="D854" s="8"/>
      <c r="E854" s="31"/>
    </row>
    <row r="855" spans="1:5" x14ac:dyDescent="0.25">
      <c r="A855" s="8">
        <v>853</v>
      </c>
      <c r="B855" s="8"/>
      <c r="C855" s="8" t="b">
        <f>_xlfn.XLOOKUP(Table610[[#This Row],[Category No]],Table8[Category No],Table8[Chapter List],FALSE)</f>
        <v>0</v>
      </c>
      <c r="D855" s="8"/>
      <c r="E855" s="31"/>
    </row>
    <row r="856" spans="1:5" x14ac:dyDescent="0.25">
      <c r="A856" s="8">
        <v>854</v>
      </c>
      <c r="B856" s="8"/>
      <c r="C856" s="8" t="b">
        <f>_xlfn.XLOOKUP(Table610[[#This Row],[Category No]],Table8[Category No],Table8[Chapter List],FALSE)</f>
        <v>0</v>
      </c>
      <c r="D856" s="8"/>
      <c r="E856" s="31"/>
    </row>
    <row r="857" spans="1:5" x14ac:dyDescent="0.25">
      <c r="A857" s="8">
        <v>855</v>
      </c>
      <c r="B857" s="8"/>
      <c r="C857" s="8" t="b">
        <f>_xlfn.XLOOKUP(Table610[[#This Row],[Category No]],Table8[Category No],Table8[Chapter List],FALSE)</f>
        <v>0</v>
      </c>
      <c r="D857" s="8"/>
      <c r="E857" s="31"/>
    </row>
    <row r="858" spans="1:5" x14ac:dyDescent="0.25">
      <c r="A858" s="8">
        <v>856</v>
      </c>
      <c r="B858" s="8"/>
      <c r="C858" s="8" t="b">
        <f>_xlfn.XLOOKUP(Table610[[#This Row],[Category No]],Table8[Category No],Table8[Chapter List],FALSE)</f>
        <v>0</v>
      </c>
      <c r="D858" s="8"/>
      <c r="E858" s="31"/>
    </row>
    <row r="859" spans="1:5" x14ac:dyDescent="0.25">
      <c r="A859" s="8">
        <v>857</v>
      </c>
      <c r="B859" s="8"/>
      <c r="C859" s="8" t="b">
        <f>_xlfn.XLOOKUP(Table610[[#This Row],[Category No]],Table8[Category No],Table8[Chapter List],FALSE)</f>
        <v>0</v>
      </c>
      <c r="D859" s="8"/>
      <c r="E859" s="31"/>
    </row>
    <row r="860" spans="1:5" x14ac:dyDescent="0.25">
      <c r="A860" s="8">
        <v>858</v>
      </c>
      <c r="B860" s="8"/>
      <c r="C860" s="8" t="b">
        <f>_xlfn.XLOOKUP(Table610[[#This Row],[Category No]],Table8[Category No],Table8[Chapter List],FALSE)</f>
        <v>0</v>
      </c>
      <c r="D860" s="8"/>
      <c r="E860" s="31"/>
    </row>
    <row r="861" spans="1:5" x14ac:dyDescent="0.25">
      <c r="A861" s="8">
        <v>859</v>
      </c>
      <c r="B861" s="8"/>
      <c r="C861" s="8" t="b">
        <f>_xlfn.XLOOKUP(Table610[[#This Row],[Category No]],Table8[Category No],Table8[Chapter List],FALSE)</f>
        <v>0</v>
      </c>
      <c r="D861" s="8"/>
      <c r="E861" s="31"/>
    </row>
    <row r="862" spans="1:5" x14ac:dyDescent="0.25">
      <c r="A862" s="8">
        <v>860</v>
      </c>
      <c r="B862" s="8"/>
      <c r="C862" s="8" t="b">
        <f>_xlfn.XLOOKUP(Table610[[#This Row],[Category No]],Table8[Category No],Table8[Chapter List],FALSE)</f>
        <v>0</v>
      </c>
      <c r="D862" s="8"/>
      <c r="E862" s="31"/>
    </row>
    <row r="863" spans="1:5" x14ac:dyDescent="0.25">
      <c r="A863" s="8">
        <v>861</v>
      </c>
      <c r="B863" s="8"/>
      <c r="C863" s="8" t="b">
        <f>_xlfn.XLOOKUP(Table610[[#This Row],[Category No]],Table8[Category No],Table8[Chapter List],FALSE)</f>
        <v>0</v>
      </c>
      <c r="D863" s="8"/>
      <c r="E863" s="31"/>
    </row>
    <row r="864" spans="1:5" x14ac:dyDescent="0.25">
      <c r="A864" s="8">
        <v>862</v>
      </c>
      <c r="B864" s="8"/>
      <c r="C864" s="8" t="b">
        <f>_xlfn.XLOOKUP(Table610[[#This Row],[Category No]],Table8[Category No],Table8[Chapter List],FALSE)</f>
        <v>0</v>
      </c>
      <c r="D864" s="8"/>
      <c r="E864" s="31"/>
    </row>
    <row r="865" spans="1:5" x14ac:dyDescent="0.25">
      <c r="A865" s="8">
        <v>863</v>
      </c>
      <c r="B865" s="8"/>
      <c r="C865" s="8" t="b">
        <f>_xlfn.XLOOKUP(Table610[[#This Row],[Category No]],Table8[Category No],Table8[Chapter List],FALSE)</f>
        <v>0</v>
      </c>
      <c r="D865" s="8"/>
      <c r="E865" s="31"/>
    </row>
    <row r="866" spans="1:5" x14ac:dyDescent="0.25">
      <c r="A866" s="8">
        <v>864</v>
      </c>
      <c r="B866" s="8"/>
      <c r="C866" s="8" t="b">
        <f>_xlfn.XLOOKUP(Table610[[#This Row],[Category No]],Table8[Category No],Table8[Chapter List],FALSE)</f>
        <v>0</v>
      </c>
      <c r="D866" s="8"/>
      <c r="E866" s="31"/>
    </row>
    <row r="867" spans="1:5" x14ac:dyDescent="0.25">
      <c r="A867" s="8">
        <v>865</v>
      </c>
      <c r="B867" s="8"/>
      <c r="C867" s="8" t="b">
        <f>_xlfn.XLOOKUP(Table610[[#This Row],[Category No]],Table8[Category No],Table8[Chapter List],FALSE)</f>
        <v>0</v>
      </c>
      <c r="D867" s="8"/>
      <c r="E867" s="31"/>
    </row>
    <row r="868" spans="1:5" x14ac:dyDescent="0.25">
      <c r="A868" s="8">
        <v>866</v>
      </c>
      <c r="B868" s="8"/>
      <c r="C868" s="8" t="b">
        <f>_xlfn.XLOOKUP(Table610[[#This Row],[Category No]],Table8[Category No],Table8[Chapter List],FALSE)</f>
        <v>0</v>
      </c>
      <c r="D868" s="8"/>
      <c r="E868" s="31"/>
    </row>
    <row r="869" spans="1:5" x14ac:dyDescent="0.25">
      <c r="A869" s="8">
        <v>867</v>
      </c>
      <c r="B869" s="8"/>
      <c r="C869" s="8" t="b">
        <f>_xlfn.XLOOKUP(Table610[[#This Row],[Category No]],Table8[Category No],Table8[Chapter List],FALSE)</f>
        <v>0</v>
      </c>
      <c r="D869" s="8"/>
      <c r="E869" s="31"/>
    </row>
    <row r="870" spans="1:5" x14ac:dyDescent="0.25">
      <c r="A870" s="8">
        <v>868</v>
      </c>
      <c r="B870" s="8"/>
      <c r="C870" s="8" t="b">
        <f>_xlfn.XLOOKUP(Table610[[#This Row],[Category No]],Table8[Category No],Table8[Chapter List],FALSE)</f>
        <v>0</v>
      </c>
      <c r="D870" s="8"/>
      <c r="E870" s="31"/>
    </row>
    <row r="871" spans="1:5" x14ac:dyDescent="0.25">
      <c r="A871" s="8">
        <v>869</v>
      </c>
      <c r="B871" s="8"/>
      <c r="C871" s="8" t="b">
        <f>_xlfn.XLOOKUP(Table610[[#This Row],[Category No]],Table8[Category No],Table8[Chapter List],FALSE)</f>
        <v>0</v>
      </c>
      <c r="D871" s="8"/>
      <c r="E871" s="31"/>
    </row>
    <row r="872" spans="1:5" x14ac:dyDescent="0.25">
      <c r="A872" s="8">
        <v>870</v>
      </c>
      <c r="B872" s="8"/>
      <c r="C872" s="8" t="b">
        <f>_xlfn.XLOOKUP(Table610[[#This Row],[Category No]],Table8[Category No],Table8[Chapter List],FALSE)</f>
        <v>0</v>
      </c>
      <c r="D872" s="8"/>
      <c r="E872" s="31"/>
    </row>
    <row r="873" spans="1:5" x14ac:dyDescent="0.25">
      <c r="A873" s="8">
        <v>871</v>
      </c>
      <c r="B873" s="8"/>
      <c r="C873" s="8" t="b">
        <f>_xlfn.XLOOKUP(Table610[[#This Row],[Category No]],Table8[Category No],Table8[Chapter List],FALSE)</f>
        <v>0</v>
      </c>
      <c r="D873" s="8"/>
      <c r="E873" s="31"/>
    </row>
    <row r="874" spans="1:5" x14ac:dyDescent="0.25">
      <c r="A874" s="8">
        <v>872</v>
      </c>
      <c r="B874" s="8"/>
      <c r="C874" s="8" t="b">
        <f>_xlfn.XLOOKUP(Table610[[#This Row],[Category No]],Table8[Category No],Table8[Chapter List],FALSE)</f>
        <v>0</v>
      </c>
      <c r="D874" s="8"/>
      <c r="E874" s="31"/>
    </row>
    <row r="875" spans="1:5" x14ac:dyDescent="0.25">
      <c r="A875" s="8">
        <v>873</v>
      </c>
      <c r="B875" s="8"/>
      <c r="C875" s="8" t="b">
        <f>_xlfn.XLOOKUP(Table610[[#This Row],[Category No]],Table8[Category No],Table8[Chapter List],FALSE)</f>
        <v>0</v>
      </c>
      <c r="D875" s="8"/>
      <c r="E875" s="31"/>
    </row>
    <row r="876" spans="1:5" x14ac:dyDescent="0.25">
      <c r="A876" s="8">
        <v>874</v>
      </c>
      <c r="B876" s="8"/>
      <c r="C876" s="8" t="b">
        <f>_xlfn.XLOOKUP(Table610[[#This Row],[Category No]],Table8[Category No],Table8[Chapter List],FALSE)</f>
        <v>0</v>
      </c>
      <c r="D876" s="8"/>
      <c r="E876" s="31"/>
    </row>
    <row r="877" spans="1:5" x14ac:dyDescent="0.25">
      <c r="A877" s="8">
        <v>875</v>
      </c>
      <c r="B877" s="8"/>
      <c r="C877" s="8" t="b">
        <f>_xlfn.XLOOKUP(Table610[[#This Row],[Category No]],Table8[Category No],Table8[Chapter List],FALSE)</f>
        <v>0</v>
      </c>
      <c r="D877" s="8"/>
      <c r="E877" s="31"/>
    </row>
    <row r="878" spans="1:5" x14ac:dyDescent="0.25">
      <c r="A878" s="8">
        <v>876</v>
      </c>
      <c r="B878" s="8"/>
      <c r="C878" s="8" t="b">
        <f>_xlfn.XLOOKUP(Table610[[#This Row],[Category No]],Table8[Category No],Table8[Chapter List],FALSE)</f>
        <v>0</v>
      </c>
      <c r="D878" s="8"/>
      <c r="E878" s="31"/>
    </row>
    <row r="879" spans="1:5" x14ac:dyDescent="0.25">
      <c r="A879" s="8">
        <v>877</v>
      </c>
      <c r="B879" s="8"/>
      <c r="C879" s="8" t="b">
        <f>_xlfn.XLOOKUP(Table610[[#This Row],[Category No]],Table8[Category No],Table8[Chapter List],FALSE)</f>
        <v>0</v>
      </c>
      <c r="D879" s="8"/>
      <c r="E879" s="31"/>
    </row>
    <row r="880" spans="1:5" x14ac:dyDescent="0.25">
      <c r="A880" s="8">
        <v>878</v>
      </c>
      <c r="B880" s="8"/>
      <c r="C880" s="8" t="b">
        <f>_xlfn.XLOOKUP(Table610[[#This Row],[Category No]],Table8[Category No],Table8[Chapter List],FALSE)</f>
        <v>0</v>
      </c>
      <c r="D880" s="8"/>
      <c r="E880" s="31"/>
    </row>
    <row r="881" spans="1:5" x14ac:dyDescent="0.25">
      <c r="A881" s="8">
        <v>879</v>
      </c>
      <c r="B881" s="8"/>
      <c r="C881" s="8" t="b">
        <f>_xlfn.XLOOKUP(Table610[[#This Row],[Category No]],Table8[Category No],Table8[Chapter List],FALSE)</f>
        <v>0</v>
      </c>
      <c r="D881" s="8"/>
      <c r="E881" s="31"/>
    </row>
    <row r="882" spans="1:5" x14ac:dyDescent="0.25">
      <c r="A882" s="8">
        <v>880</v>
      </c>
      <c r="B882" s="8"/>
      <c r="C882" s="8" t="b">
        <f>_xlfn.XLOOKUP(Table610[[#This Row],[Category No]],Table8[Category No],Table8[Chapter List],FALSE)</f>
        <v>0</v>
      </c>
      <c r="D882" s="8"/>
      <c r="E882" s="31"/>
    </row>
    <row r="883" spans="1:5" x14ac:dyDescent="0.25">
      <c r="A883" s="8">
        <v>881</v>
      </c>
      <c r="B883" s="8"/>
      <c r="C883" s="8" t="b">
        <f>_xlfn.XLOOKUP(Table610[[#This Row],[Category No]],Table8[Category No],Table8[Chapter List],FALSE)</f>
        <v>0</v>
      </c>
      <c r="D883" s="8"/>
      <c r="E883" s="31"/>
    </row>
    <row r="884" spans="1:5" x14ac:dyDescent="0.25">
      <c r="A884" s="8">
        <v>882</v>
      </c>
      <c r="B884" s="8"/>
      <c r="C884" s="8" t="b">
        <f>_xlfn.XLOOKUP(Table610[[#This Row],[Category No]],Table8[Category No],Table8[Chapter List],FALSE)</f>
        <v>0</v>
      </c>
      <c r="D884" s="8"/>
      <c r="E884" s="31"/>
    </row>
    <row r="885" spans="1:5" x14ac:dyDescent="0.25">
      <c r="A885" s="8">
        <v>883</v>
      </c>
      <c r="B885" s="8"/>
      <c r="C885" s="8" t="b">
        <f>_xlfn.XLOOKUP(Table610[[#This Row],[Category No]],Table8[Category No],Table8[Chapter List],FALSE)</f>
        <v>0</v>
      </c>
      <c r="D885" s="8"/>
      <c r="E885" s="31"/>
    </row>
    <row r="886" spans="1:5" x14ac:dyDescent="0.25">
      <c r="A886" s="8">
        <v>884</v>
      </c>
      <c r="B886" s="8"/>
      <c r="C886" s="8" t="b">
        <f>_xlfn.XLOOKUP(Table610[[#This Row],[Category No]],Table8[Category No],Table8[Chapter List],FALSE)</f>
        <v>0</v>
      </c>
      <c r="D886" s="8"/>
      <c r="E886" s="31"/>
    </row>
    <row r="887" spans="1:5" x14ac:dyDescent="0.25">
      <c r="A887" s="8">
        <v>885</v>
      </c>
      <c r="B887" s="8"/>
      <c r="C887" s="8" t="b">
        <f>_xlfn.XLOOKUP(Table610[[#This Row],[Category No]],Table8[Category No],Table8[Chapter List],FALSE)</f>
        <v>0</v>
      </c>
      <c r="D887" s="8"/>
      <c r="E887" s="31"/>
    </row>
    <row r="888" spans="1:5" x14ac:dyDescent="0.25">
      <c r="A888" s="8">
        <v>886</v>
      </c>
      <c r="B888" s="8"/>
      <c r="C888" s="8" t="b">
        <f>_xlfn.XLOOKUP(Table610[[#This Row],[Category No]],Table8[Category No],Table8[Chapter List],FALSE)</f>
        <v>0</v>
      </c>
      <c r="D888" s="8"/>
      <c r="E888" s="31"/>
    </row>
    <row r="889" spans="1:5" x14ac:dyDescent="0.25">
      <c r="A889" s="8">
        <v>887</v>
      </c>
      <c r="B889" s="8"/>
      <c r="C889" s="8" t="b">
        <f>_xlfn.XLOOKUP(Table610[[#This Row],[Category No]],Table8[Category No],Table8[Chapter List],FALSE)</f>
        <v>0</v>
      </c>
      <c r="D889" s="8"/>
      <c r="E889" s="31"/>
    </row>
    <row r="890" spans="1:5" x14ac:dyDescent="0.25">
      <c r="A890" s="8">
        <v>888</v>
      </c>
      <c r="B890" s="8"/>
      <c r="C890" s="8" t="b">
        <f>_xlfn.XLOOKUP(Table610[[#This Row],[Category No]],Table8[Category No],Table8[Chapter List],FALSE)</f>
        <v>0</v>
      </c>
      <c r="D890" s="8"/>
      <c r="E890" s="31"/>
    </row>
    <row r="891" spans="1:5" x14ac:dyDescent="0.25">
      <c r="A891" s="8">
        <v>889</v>
      </c>
      <c r="B891" s="8"/>
      <c r="C891" s="8" t="b">
        <f>_xlfn.XLOOKUP(Table610[[#This Row],[Category No]],Table8[Category No],Table8[Chapter List],FALSE)</f>
        <v>0</v>
      </c>
      <c r="D891" s="8"/>
      <c r="E891" s="31"/>
    </row>
    <row r="892" spans="1:5" x14ac:dyDescent="0.25">
      <c r="A892" s="8">
        <v>890</v>
      </c>
      <c r="B892" s="8"/>
      <c r="C892" s="8" t="b">
        <f>_xlfn.XLOOKUP(Table610[[#This Row],[Category No]],Table8[Category No],Table8[Chapter List],FALSE)</f>
        <v>0</v>
      </c>
      <c r="D892" s="8"/>
      <c r="E892" s="31"/>
    </row>
    <row r="893" spans="1:5" x14ac:dyDescent="0.25">
      <c r="A893" s="8">
        <v>891</v>
      </c>
      <c r="B893" s="8"/>
      <c r="C893" s="8" t="b">
        <f>_xlfn.XLOOKUP(Table610[[#This Row],[Category No]],Table8[Category No],Table8[Chapter List],FALSE)</f>
        <v>0</v>
      </c>
      <c r="D893" s="8"/>
      <c r="E893" s="31"/>
    </row>
    <row r="894" spans="1:5" x14ac:dyDescent="0.25">
      <c r="A894" s="8">
        <v>892</v>
      </c>
      <c r="B894" s="8"/>
      <c r="C894" s="8" t="b">
        <f>_xlfn.XLOOKUP(Table610[[#This Row],[Category No]],Table8[Category No],Table8[Chapter List],FALSE)</f>
        <v>0</v>
      </c>
      <c r="D894" s="8"/>
      <c r="E894" s="31"/>
    </row>
    <row r="895" spans="1:5" x14ac:dyDescent="0.25">
      <c r="A895" s="8">
        <v>893</v>
      </c>
      <c r="B895" s="8"/>
      <c r="C895" s="8" t="b">
        <f>_xlfn.XLOOKUP(Table610[[#This Row],[Category No]],Table8[Category No],Table8[Chapter List],FALSE)</f>
        <v>0</v>
      </c>
      <c r="D895" s="8"/>
      <c r="E895" s="31"/>
    </row>
    <row r="896" spans="1:5" x14ac:dyDescent="0.25">
      <c r="A896" s="8">
        <v>894</v>
      </c>
      <c r="B896" s="8"/>
      <c r="C896" s="8" t="b">
        <f>_xlfn.XLOOKUP(Table610[[#This Row],[Category No]],Table8[Category No],Table8[Chapter List],FALSE)</f>
        <v>0</v>
      </c>
      <c r="D896" s="8"/>
      <c r="E896" s="31"/>
    </row>
    <row r="897" spans="1:5" x14ac:dyDescent="0.25">
      <c r="A897" s="8">
        <v>895</v>
      </c>
      <c r="B897" s="8"/>
      <c r="C897" s="8" t="b">
        <f>_xlfn.XLOOKUP(Table610[[#This Row],[Category No]],Table8[Category No],Table8[Chapter List],FALSE)</f>
        <v>0</v>
      </c>
      <c r="D897" s="8"/>
      <c r="E897" s="31"/>
    </row>
    <row r="898" spans="1:5" x14ac:dyDescent="0.25">
      <c r="A898" s="8">
        <v>896</v>
      </c>
      <c r="B898" s="8"/>
      <c r="C898" s="8" t="b">
        <f>_xlfn.XLOOKUP(Table610[[#This Row],[Category No]],Table8[Category No],Table8[Chapter List],FALSE)</f>
        <v>0</v>
      </c>
      <c r="D898" s="8"/>
      <c r="E898" s="31"/>
    </row>
    <row r="899" spans="1:5" x14ac:dyDescent="0.25">
      <c r="A899" s="8">
        <v>897</v>
      </c>
      <c r="B899" s="8"/>
      <c r="C899" s="8" t="b">
        <f>_xlfn.XLOOKUP(Table610[[#This Row],[Category No]],Table8[Category No],Table8[Chapter List],FALSE)</f>
        <v>0</v>
      </c>
      <c r="D899" s="8"/>
      <c r="E899" s="31"/>
    </row>
    <row r="900" spans="1:5" x14ac:dyDescent="0.25">
      <c r="A900" s="8">
        <v>898</v>
      </c>
      <c r="B900" s="8"/>
      <c r="C900" s="8" t="b">
        <f>_xlfn.XLOOKUP(Table610[[#This Row],[Category No]],Table8[Category No],Table8[Chapter List],FALSE)</f>
        <v>0</v>
      </c>
      <c r="D900" s="8"/>
      <c r="E900" s="31"/>
    </row>
    <row r="901" spans="1:5" x14ac:dyDescent="0.25">
      <c r="A901" s="8">
        <v>899</v>
      </c>
      <c r="B901" s="8"/>
      <c r="C901" s="8" t="b">
        <f>_xlfn.XLOOKUP(Table610[[#This Row],[Category No]],Table8[Category No],Table8[Chapter List],FALSE)</f>
        <v>0</v>
      </c>
      <c r="D901" s="8"/>
      <c r="E901" s="31"/>
    </row>
    <row r="902" spans="1:5" x14ac:dyDescent="0.25">
      <c r="A902" s="8">
        <v>900</v>
      </c>
      <c r="B902" s="8"/>
      <c r="C902" s="8" t="b">
        <f>_xlfn.XLOOKUP(Table610[[#This Row],[Category No]],Table8[Category No],Table8[Chapter List],FALSE)</f>
        <v>0</v>
      </c>
      <c r="D902" s="8"/>
      <c r="E902" s="31"/>
    </row>
    <row r="903" spans="1:5" x14ac:dyDescent="0.25">
      <c r="A903" s="8">
        <v>901</v>
      </c>
      <c r="B903" s="8"/>
      <c r="C903" s="8" t="b">
        <f>_xlfn.XLOOKUP(Table610[[#This Row],[Category No]],Table8[Category No],Table8[Chapter List],FALSE)</f>
        <v>0</v>
      </c>
      <c r="D903" s="8"/>
      <c r="E903" s="31"/>
    </row>
    <row r="904" spans="1:5" x14ac:dyDescent="0.25">
      <c r="A904" s="8">
        <v>902</v>
      </c>
      <c r="B904" s="8"/>
      <c r="C904" s="8" t="b">
        <f>_xlfn.XLOOKUP(Table610[[#This Row],[Category No]],Table8[Category No],Table8[Chapter List],FALSE)</f>
        <v>0</v>
      </c>
      <c r="D904" s="8"/>
      <c r="E904" s="31"/>
    </row>
    <row r="905" spans="1:5" x14ac:dyDescent="0.25">
      <c r="A905" s="8">
        <v>903</v>
      </c>
      <c r="B905" s="8"/>
      <c r="C905" s="8" t="b">
        <f>_xlfn.XLOOKUP(Table610[[#This Row],[Category No]],Table8[Category No],Table8[Chapter List],FALSE)</f>
        <v>0</v>
      </c>
      <c r="D905" s="8"/>
      <c r="E905" s="31"/>
    </row>
    <row r="906" spans="1:5" x14ac:dyDescent="0.25">
      <c r="A906" s="8">
        <v>904</v>
      </c>
      <c r="B906" s="8"/>
      <c r="C906" s="8" t="b">
        <f>_xlfn.XLOOKUP(Table610[[#This Row],[Category No]],Table8[Category No],Table8[Chapter List],FALSE)</f>
        <v>0</v>
      </c>
      <c r="D906" s="8"/>
      <c r="E906" s="31"/>
    </row>
    <row r="907" spans="1:5" x14ac:dyDescent="0.25">
      <c r="A907" s="8">
        <v>905</v>
      </c>
      <c r="B907" s="8"/>
      <c r="C907" s="8" t="b">
        <f>_xlfn.XLOOKUP(Table610[[#This Row],[Category No]],Table8[Category No],Table8[Chapter List],FALSE)</f>
        <v>0</v>
      </c>
      <c r="D907" s="8"/>
      <c r="E907" s="31"/>
    </row>
    <row r="908" spans="1:5" x14ac:dyDescent="0.25">
      <c r="A908" s="8">
        <v>906</v>
      </c>
      <c r="B908" s="8"/>
      <c r="C908" s="8" t="b">
        <f>_xlfn.XLOOKUP(Table610[[#This Row],[Category No]],Table8[Category No],Table8[Chapter List],FALSE)</f>
        <v>0</v>
      </c>
      <c r="D908" s="8"/>
      <c r="E908" s="31"/>
    </row>
    <row r="909" spans="1:5" x14ac:dyDescent="0.25">
      <c r="A909" s="8">
        <v>907</v>
      </c>
      <c r="B909" s="8"/>
      <c r="C909" s="8" t="b">
        <f>_xlfn.XLOOKUP(Table610[[#This Row],[Category No]],Table8[Category No],Table8[Chapter List],FALSE)</f>
        <v>0</v>
      </c>
      <c r="D909" s="8"/>
      <c r="E909" s="31"/>
    </row>
    <row r="910" spans="1:5" x14ac:dyDescent="0.25">
      <c r="A910" s="8">
        <v>908</v>
      </c>
      <c r="B910" s="8"/>
      <c r="C910" s="8" t="b">
        <f>_xlfn.XLOOKUP(Table610[[#This Row],[Category No]],Table8[Category No],Table8[Chapter List],FALSE)</f>
        <v>0</v>
      </c>
      <c r="D910" s="8"/>
      <c r="E910" s="31"/>
    </row>
    <row r="911" spans="1:5" x14ac:dyDescent="0.25">
      <c r="A911" s="8">
        <v>909</v>
      </c>
      <c r="B911" s="8"/>
      <c r="C911" s="8" t="b">
        <f>_xlfn.XLOOKUP(Table610[[#This Row],[Category No]],Table8[Category No],Table8[Chapter List],FALSE)</f>
        <v>0</v>
      </c>
      <c r="D911" s="8"/>
      <c r="E911" s="31"/>
    </row>
    <row r="912" spans="1:5" x14ac:dyDescent="0.25">
      <c r="A912" s="8">
        <v>910</v>
      </c>
      <c r="B912" s="8"/>
      <c r="C912" s="8" t="b">
        <f>_xlfn.XLOOKUP(Table610[[#This Row],[Category No]],Table8[Category No],Table8[Chapter List],FALSE)</f>
        <v>0</v>
      </c>
      <c r="D912" s="8"/>
      <c r="E912" s="31"/>
    </row>
    <row r="913" spans="1:5" x14ac:dyDescent="0.25">
      <c r="A913" s="8">
        <v>911</v>
      </c>
      <c r="B913" s="8"/>
      <c r="C913" s="8" t="b">
        <f>_xlfn.XLOOKUP(Table610[[#This Row],[Category No]],Table8[Category No],Table8[Chapter List],FALSE)</f>
        <v>0</v>
      </c>
      <c r="D913" s="8"/>
      <c r="E913" s="31"/>
    </row>
    <row r="914" spans="1:5" x14ac:dyDescent="0.25">
      <c r="A914" s="8">
        <v>912</v>
      </c>
      <c r="B914" s="8"/>
      <c r="C914" s="8" t="b">
        <f>_xlfn.XLOOKUP(Table610[[#This Row],[Category No]],Table8[Category No],Table8[Chapter List],FALSE)</f>
        <v>0</v>
      </c>
      <c r="D914" s="8"/>
      <c r="E914" s="31"/>
    </row>
    <row r="915" spans="1:5" x14ac:dyDescent="0.25">
      <c r="A915" s="8">
        <v>913</v>
      </c>
      <c r="B915" s="8"/>
      <c r="C915" s="8" t="b">
        <f>_xlfn.XLOOKUP(Table610[[#This Row],[Category No]],Table8[Category No],Table8[Chapter List],FALSE)</f>
        <v>0</v>
      </c>
      <c r="D915" s="8"/>
      <c r="E915" s="31"/>
    </row>
    <row r="916" spans="1:5" x14ac:dyDescent="0.25">
      <c r="A916" s="8">
        <v>914</v>
      </c>
      <c r="B916" s="8"/>
      <c r="C916" s="8" t="b">
        <f>_xlfn.XLOOKUP(Table610[[#This Row],[Category No]],Table8[Category No],Table8[Chapter List],FALSE)</f>
        <v>0</v>
      </c>
      <c r="D916" s="8"/>
      <c r="E916" s="31"/>
    </row>
    <row r="917" spans="1:5" x14ac:dyDescent="0.25">
      <c r="A917" s="8">
        <v>915</v>
      </c>
      <c r="B917" s="8"/>
      <c r="C917" s="8" t="b">
        <f>_xlfn.XLOOKUP(Table610[[#This Row],[Category No]],Table8[Category No],Table8[Chapter List],FALSE)</f>
        <v>0</v>
      </c>
      <c r="D917" s="8"/>
      <c r="E917" s="31"/>
    </row>
    <row r="918" spans="1:5" x14ac:dyDescent="0.25">
      <c r="A918" s="8">
        <v>916</v>
      </c>
      <c r="B918" s="8"/>
      <c r="C918" s="8" t="b">
        <f>_xlfn.XLOOKUP(Table610[[#This Row],[Category No]],Table8[Category No],Table8[Chapter List],FALSE)</f>
        <v>0</v>
      </c>
      <c r="D918" s="8"/>
      <c r="E918" s="31"/>
    </row>
    <row r="919" spans="1:5" x14ac:dyDescent="0.25">
      <c r="A919" s="8">
        <v>917</v>
      </c>
      <c r="B919" s="8"/>
      <c r="C919" s="8" t="b">
        <f>_xlfn.XLOOKUP(Table610[[#This Row],[Category No]],Table8[Category No],Table8[Chapter List],FALSE)</f>
        <v>0</v>
      </c>
      <c r="D919" s="8"/>
      <c r="E919" s="31"/>
    </row>
    <row r="920" spans="1:5" x14ac:dyDescent="0.25">
      <c r="A920" s="8">
        <v>918</v>
      </c>
      <c r="B920" s="8"/>
      <c r="C920" s="8" t="b">
        <f>_xlfn.XLOOKUP(Table610[[#This Row],[Category No]],Table8[Category No],Table8[Chapter List],FALSE)</f>
        <v>0</v>
      </c>
      <c r="D920" s="8"/>
      <c r="E920" s="31"/>
    </row>
    <row r="921" spans="1:5" x14ac:dyDescent="0.25">
      <c r="A921" s="8">
        <v>919</v>
      </c>
      <c r="B921" s="8"/>
      <c r="C921" s="8" t="b">
        <f>_xlfn.XLOOKUP(Table610[[#This Row],[Category No]],Table8[Category No],Table8[Chapter List],FALSE)</f>
        <v>0</v>
      </c>
      <c r="D921" s="8"/>
      <c r="E921" s="31"/>
    </row>
    <row r="922" spans="1:5" x14ac:dyDescent="0.25">
      <c r="A922" s="8">
        <v>920</v>
      </c>
      <c r="B922" s="8"/>
      <c r="C922" s="8" t="b">
        <f>_xlfn.XLOOKUP(Table610[[#This Row],[Category No]],Table8[Category No],Table8[Chapter List],FALSE)</f>
        <v>0</v>
      </c>
      <c r="D922" s="8"/>
      <c r="E922" s="31"/>
    </row>
    <row r="923" spans="1:5" x14ac:dyDescent="0.25">
      <c r="A923" s="8">
        <v>921</v>
      </c>
      <c r="B923" s="8"/>
      <c r="C923" s="8" t="b">
        <f>_xlfn.XLOOKUP(Table610[[#This Row],[Category No]],Table8[Category No],Table8[Chapter List],FALSE)</f>
        <v>0</v>
      </c>
      <c r="D923" s="8"/>
      <c r="E923" s="31"/>
    </row>
    <row r="924" spans="1:5" x14ac:dyDescent="0.25">
      <c r="A924" s="8">
        <v>922</v>
      </c>
      <c r="B924" s="8"/>
      <c r="C924" s="8" t="b">
        <f>_xlfn.XLOOKUP(Table610[[#This Row],[Category No]],Table8[Category No],Table8[Chapter List],FALSE)</f>
        <v>0</v>
      </c>
      <c r="D924" s="8"/>
      <c r="E924" s="31"/>
    </row>
    <row r="925" spans="1:5" x14ac:dyDescent="0.25">
      <c r="A925" s="8">
        <v>923</v>
      </c>
      <c r="B925" s="8"/>
      <c r="C925" s="8" t="b">
        <f>_xlfn.XLOOKUP(Table610[[#This Row],[Category No]],Table8[Category No],Table8[Chapter List],FALSE)</f>
        <v>0</v>
      </c>
      <c r="D925" s="8"/>
      <c r="E925" s="31"/>
    </row>
    <row r="926" spans="1:5" x14ac:dyDescent="0.25">
      <c r="A926" s="8">
        <v>924</v>
      </c>
      <c r="B926" s="8"/>
      <c r="C926" s="8" t="b">
        <f>_xlfn.XLOOKUP(Table610[[#This Row],[Category No]],Table8[Category No],Table8[Chapter List],FALSE)</f>
        <v>0</v>
      </c>
      <c r="D926" s="8"/>
      <c r="E926" s="31"/>
    </row>
    <row r="927" spans="1:5" x14ac:dyDescent="0.25">
      <c r="A927" s="8">
        <v>925</v>
      </c>
      <c r="B927" s="8"/>
      <c r="C927" s="8" t="b">
        <f>_xlfn.XLOOKUP(Table610[[#This Row],[Category No]],Table8[Category No],Table8[Chapter List],FALSE)</f>
        <v>0</v>
      </c>
      <c r="D927" s="8"/>
      <c r="E927" s="31"/>
    </row>
    <row r="928" spans="1:5" x14ac:dyDescent="0.25">
      <c r="A928" s="8">
        <v>926</v>
      </c>
      <c r="B928" s="8"/>
      <c r="C928" s="8" t="b">
        <f>_xlfn.XLOOKUP(Table610[[#This Row],[Category No]],Table8[Category No],Table8[Chapter List],FALSE)</f>
        <v>0</v>
      </c>
      <c r="D928" s="8"/>
      <c r="E928" s="31"/>
    </row>
    <row r="929" spans="1:5" x14ac:dyDescent="0.25">
      <c r="A929" s="8">
        <v>927</v>
      </c>
      <c r="B929" s="8"/>
      <c r="C929" s="8" t="b">
        <f>_xlfn.XLOOKUP(Table610[[#This Row],[Category No]],Table8[Category No],Table8[Chapter List],FALSE)</f>
        <v>0</v>
      </c>
      <c r="D929" s="8"/>
      <c r="E929" s="31"/>
    </row>
    <row r="930" spans="1:5" x14ac:dyDescent="0.25">
      <c r="A930" s="8">
        <v>928</v>
      </c>
      <c r="B930" s="8"/>
      <c r="C930" s="8" t="b">
        <f>_xlfn.XLOOKUP(Table610[[#This Row],[Category No]],Table8[Category No],Table8[Chapter List],FALSE)</f>
        <v>0</v>
      </c>
      <c r="D930" s="8"/>
      <c r="E930" s="31"/>
    </row>
    <row r="931" spans="1:5" x14ac:dyDescent="0.25">
      <c r="A931" s="8">
        <v>929</v>
      </c>
      <c r="B931" s="8"/>
      <c r="C931" s="8" t="b">
        <f>_xlfn.XLOOKUP(Table610[[#This Row],[Category No]],Table8[Category No],Table8[Chapter List],FALSE)</f>
        <v>0</v>
      </c>
      <c r="D931" s="8"/>
      <c r="E931" s="31"/>
    </row>
    <row r="932" spans="1:5" x14ac:dyDescent="0.25">
      <c r="A932" s="8">
        <v>930</v>
      </c>
      <c r="B932" s="8"/>
      <c r="C932" s="8" t="b">
        <f>_xlfn.XLOOKUP(Table610[[#This Row],[Category No]],Table8[Category No],Table8[Chapter List],FALSE)</f>
        <v>0</v>
      </c>
      <c r="D932" s="8"/>
      <c r="E932" s="31"/>
    </row>
    <row r="933" spans="1:5" x14ac:dyDescent="0.25">
      <c r="A933" s="8">
        <v>931</v>
      </c>
      <c r="B933" s="8"/>
      <c r="C933" s="8" t="b">
        <f>_xlfn.XLOOKUP(Table610[[#This Row],[Category No]],Table8[Category No],Table8[Chapter List],FALSE)</f>
        <v>0</v>
      </c>
      <c r="D933" s="8"/>
      <c r="E933" s="31"/>
    </row>
    <row r="934" spans="1:5" x14ac:dyDescent="0.25">
      <c r="A934" s="8">
        <v>932</v>
      </c>
      <c r="B934" s="8"/>
      <c r="C934" s="8" t="b">
        <f>_xlfn.XLOOKUP(Table610[[#This Row],[Category No]],Table8[Category No],Table8[Chapter List],FALSE)</f>
        <v>0</v>
      </c>
      <c r="D934" s="8"/>
      <c r="E934" s="31"/>
    </row>
    <row r="935" spans="1:5" x14ac:dyDescent="0.25">
      <c r="A935" s="8">
        <v>933</v>
      </c>
      <c r="B935" s="8"/>
      <c r="C935" s="8" t="b">
        <f>_xlfn.XLOOKUP(Table610[[#This Row],[Category No]],Table8[Category No],Table8[Chapter List],FALSE)</f>
        <v>0</v>
      </c>
      <c r="D935" s="8"/>
      <c r="E935" s="31"/>
    </row>
    <row r="936" spans="1:5" x14ac:dyDescent="0.25">
      <c r="A936" s="8">
        <v>934</v>
      </c>
      <c r="B936" s="8"/>
      <c r="C936" s="8" t="b">
        <f>_xlfn.XLOOKUP(Table610[[#This Row],[Category No]],Table8[Category No],Table8[Chapter List],FALSE)</f>
        <v>0</v>
      </c>
      <c r="D936" s="8"/>
      <c r="E936" s="31"/>
    </row>
    <row r="937" spans="1:5" x14ac:dyDescent="0.25">
      <c r="A937" s="8">
        <v>935</v>
      </c>
      <c r="B937" s="8"/>
      <c r="C937" s="8" t="b">
        <f>_xlfn.XLOOKUP(Table610[[#This Row],[Category No]],Table8[Category No],Table8[Chapter List],FALSE)</f>
        <v>0</v>
      </c>
      <c r="D937" s="8"/>
      <c r="E937" s="31"/>
    </row>
    <row r="938" spans="1:5" x14ac:dyDescent="0.25">
      <c r="A938" s="8">
        <v>936</v>
      </c>
      <c r="B938" s="8"/>
      <c r="C938" s="8" t="b">
        <f>_xlfn.XLOOKUP(Table610[[#This Row],[Category No]],Table8[Category No],Table8[Chapter List],FALSE)</f>
        <v>0</v>
      </c>
      <c r="D938" s="8"/>
      <c r="E938" s="31"/>
    </row>
    <row r="939" spans="1:5" x14ac:dyDescent="0.25">
      <c r="A939" s="8">
        <v>937</v>
      </c>
      <c r="B939" s="8"/>
      <c r="C939" s="8" t="b">
        <f>_xlfn.XLOOKUP(Table610[[#This Row],[Category No]],Table8[Category No],Table8[Chapter List],FALSE)</f>
        <v>0</v>
      </c>
      <c r="D939" s="8"/>
      <c r="E939" s="31"/>
    </row>
    <row r="940" spans="1:5" x14ac:dyDescent="0.25">
      <c r="A940" s="8">
        <v>938</v>
      </c>
      <c r="B940" s="8"/>
      <c r="C940" s="8" t="b">
        <f>_xlfn.XLOOKUP(Table610[[#This Row],[Category No]],Table8[Category No],Table8[Chapter List],FALSE)</f>
        <v>0</v>
      </c>
      <c r="D940" s="8"/>
      <c r="E940" s="31"/>
    </row>
    <row r="941" spans="1:5" x14ac:dyDescent="0.25">
      <c r="A941" s="8">
        <v>939</v>
      </c>
      <c r="B941" s="8"/>
      <c r="C941" s="8" t="b">
        <f>_xlfn.XLOOKUP(Table610[[#This Row],[Category No]],Table8[Category No],Table8[Chapter List],FALSE)</f>
        <v>0</v>
      </c>
      <c r="D941" s="8"/>
      <c r="E941" s="31"/>
    </row>
    <row r="942" spans="1:5" x14ac:dyDescent="0.25">
      <c r="A942" s="8">
        <v>940</v>
      </c>
      <c r="B942" s="8"/>
      <c r="C942" s="8" t="b">
        <f>_xlfn.XLOOKUP(Table610[[#This Row],[Category No]],Table8[Category No],Table8[Chapter List],FALSE)</f>
        <v>0</v>
      </c>
      <c r="D942" s="8"/>
      <c r="E942" s="31"/>
    </row>
    <row r="943" spans="1:5" x14ac:dyDescent="0.25">
      <c r="A943" s="8">
        <v>941</v>
      </c>
      <c r="B943" s="8"/>
      <c r="C943" s="8" t="b">
        <f>_xlfn.XLOOKUP(Table610[[#This Row],[Category No]],Table8[Category No],Table8[Chapter List],FALSE)</f>
        <v>0</v>
      </c>
      <c r="D943" s="8"/>
      <c r="E943" s="31"/>
    </row>
    <row r="944" spans="1:5" x14ac:dyDescent="0.25">
      <c r="A944" s="8">
        <v>942</v>
      </c>
      <c r="B944" s="8"/>
      <c r="C944" s="8" t="b">
        <f>_xlfn.XLOOKUP(Table610[[#This Row],[Category No]],Table8[Category No],Table8[Chapter List],FALSE)</f>
        <v>0</v>
      </c>
      <c r="D944" s="8"/>
      <c r="E944" s="31"/>
    </row>
    <row r="945" spans="1:5" x14ac:dyDescent="0.25">
      <c r="A945" s="8">
        <v>943</v>
      </c>
      <c r="B945" s="8"/>
      <c r="C945" s="8" t="b">
        <f>_xlfn.XLOOKUP(Table610[[#This Row],[Category No]],Table8[Category No],Table8[Chapter List],FALSE)</f>
        <v>0</v>
      </c>
      <c r="D945" s="8"/>
      <c r="E945" s="31"/>
    </row>
    <row r="946" spans="1:5" x14ac:dyDescent="0.25">
      <c r="A946" s="8">
        <v>944</v>
      </c>
      <c r="B946" s="8"/>
      <c r="C946" s="8" t="b">
        <f>_xlfn.XLOOKUP(Table610[[#This Row],[Category No]],Table8[Category No],Table8[Chapter List],FALSE)</f>
        <v>0</v>
      </c>
      <c r="D946" s="8"/>
      <c r="E946" s="31"/>
    </row>
    <row r="947" spans="1:5" x14ac:dyDescent="0.25">
      <c r="A947" s="8">
        <v>945</v>
      </c>
      <c r="B947" s="8"/>
      <c r="C947" s="8" t="b">
        <f>_xlfn.XLOOKUP(Table610[[#This Row],[Category No]],Table8[Category No],Table8[Chapter List],FALSE)</f>
        <v>0</v>
      </c>
      <c r="D947" s="8"/>
      <c r="E947" s="31"/>
    </row>
    <row r="948" spans="1:5" x14ac:dyDescent="0.25">
      <c r="A948" s="8">
        <v>946</v>
      </c>
      <c r="B948" s="8"/>
      <c r="C948" s="8" t="b">
        <f>_xlfn.XLOOKUP(Table610[[#This Row],[Category No]],Table8[Category No],Table8[Chapter List],FALSE)</f>
        <v>0</v>
      </c>
      <c r="D948" s="8"/>
      <c r="E948" s="31"/>
    </row>
    <row r="949" spans="1:5" x14ac:dyDescent="0.25">
      <c r="A949" s="8">
        <v>947</v>
      </c>
      <c r="B949" s="8"/>
      <c r="C949" s="8" t="b">
        <f>_xlfn.XLOOKUP(Table610[[#This Row],[Category No]],Table8[Category No],Table8[Chapter List],FALSE)</f>
        <v>0</v>
      </c>
      <c r="D949" s="8"/>
      <c r="E949" s="31"/>
    </row>
    <row r="950" spans="1:5" x14ac:dyDescent="0.25">
      <c r="A950" s="8">
        <v>948</v>
      </c>
      <c r="B950" s="8"/>
      <c r="C950" s="8" t="b">
        <f>_xlfn.XLOOKUP(Table610[[#This Row],[Category No]],Table8[Category No],Table8[Chapter List],FALSE)</f>
        <v>0</v>
      </c>
      <c r="D950" s="8"/>
      <c r="E950" s="31"/>
    </row>
    <row r="951" spans="1:5" x14ac:dyDescent="0.25">
      <c r="A951" s="8">
        <v>949</v>
      </c>
      <c r="B951" s="8"/>
      <c r="C951" s="8" t="b">
        <f>_xlfn.XLOOKUP(Table610[[#This Row],[Category No]],Table8[Category No],Table8[Chapter List],FALSE)</f>
        <v>0</v>
      </c>
      <c r="D951" s="8"/>
      <c r="E951" s="31"/>
    </row>
    <row r="952" spans="1:5" x14ac:dyDescent="0.25">
      <c r="A952" s="8">
        <v>950</v>
      </c>
      <c r="B952" s="8"/>
      <c r="C952" s="8" t="b">
        <f>_xlfn.XLOOKUP(Table610[[#This Row],[Category No]],Table8[Category No],Table8[Chapter List],FALSE)</f>
        <v>0</v>
      </c>
      <c r="D952" s="8"/>
      <c r="E952" s="31"/>
    </row>
    <row r="953" spans="1:5" x14ac:dyDescent="0.25">
      <c r="A953" s="8">
        <v>951</v>
      </c>
      <c r="B953" s="8"/>
      <c r="C953" s="8" t="b">
        <f>_xlfn.XLOOKUP(Table610[[#This Row],[Category No]],Table8[Category No],Table8[Chapter List],FALSE)</f>
        <v>0</v>
      </c>
      <c r="D953" s="8"/>
      <c r="E953" s="31"/>
    </row>
    <row r="954" spans="1:5" x14ac:dyDescent="0.25">
      <c r="A954" s="8">
        <v>952</v>
      </c>
      <c r="B954" s="8"/>
      <c r="C954" s="8" t="b">
        <f>_xlfn.XLOOKUP(Table610[[#This Row],[Category No]],Table8[Category No],Table8[Chapter List],FALSE)</f>
        <v>0</v>
      </c>
      <c r="D954" s="8"/>
      <c r="E954" s="31"/>
    </row>
    <row r="955" spans="1:5" x14ac:dyDescent="0.25">
      <c r="A955" s="8">
        <v>953</v>
      </c>
      <c r="B955" s="8"/>
      <c r="C955" s="8" t="b">
        <f>_xlfn.XLOOKUP(Table610[[#This Row],[Category No]],Table8[Category No],Table8[Chapter List],FALSE)</f>
        <v>0</v>
      </c>
      <c r="D955" s="8"/>
      <c r="E955" s="31"/>
    </row>
    <row r="956" spans="1:5" x14ac:dyDescent="0.25">
      <c r="A956" s="8">
        <v>954</v>
      </c>
      <c r="B956" s="8"/>
      <c r="C956" s="8" t="b">
        <f>_xlfn.XLOOKUP(Table610[[#This Row],[Category No]],Table8[Category No],Table8[Chapter List],FALSE)</f>
        <v>0</v>
      </c>
      <c r="D956" s="8"/>
      <c r="E956" s="31"/>
    </row>
    <row r="957" spans="1:5" x14ac:dyDescent="0.25">
      <c r="A957" s="8">
        <v>955</v>
      </c>
      <c r="B957" s="8"/>
      <c r="C957" s="8" t="b">
        <f>_xlfn.XLOOKUP(Table610[[#This Row],[Category No]],Table8[Category No],Table8[Chapter List],FALSE)</f>
        <v>0</v>
      </c>
      <c r="D957" s="8"/>
      <c r="E957" s="31"/>
    </row>
    <row r="958" spans="1:5" x14ac:dyDescent="0.25">
      <c r="A958" s="8">
        <v>956</v>
      </c>
      <c r="B958" s="8"/>
      <c r="C958" s="8" t="b">
        <f>_xlfn.XLOOKUP(Table610[[#This Row],[Category No]],Table8[Category No],Table8[Chapter List],FALSE)</f>
        <v>0</v>
      </c>
      <c r="D958" s="8"/>
      <c r="E958" s="31"/>
    </row>
    <row r="959" spans="1:5" x14ac:dyDescent="0.25">
      <c r="A959" s="8">
        <v>957</v>
      </c>
      <c r="B959" s="8"/>
      <c r="C959" s="8" t="b">
        <f>_xlfn.XLOOKUP(Table610[[#This Row],[Category No]],Table8[Category No],Table8[Chapter List],FALSE)</f>
        <v>0</v>
      </c>
      <c r="D959" s="8"/>
      <c r="E959" s="31"/>
    </row>
    <row r="960" spans="1:5" x14ac:dyDescent="0.25">
      <c r="A960" s="8">
        <v>958</v>
      </c>
      <c r="B960" s="8"/>
      <c r="C960" s="8" t="b">
        <f>_xlfn.XLOOKUP(Table610[[#This Row],[Category No]],Table8[Category No],Table8[Chapter List],FALSE)</f>
        <v>0</v>
      </c>
      <c r="D960" s="8"/>
      <c r="E960" s="31"/>
    </row>
    <row r="961" spans="1:5" x14ac:dyDescent="0.25">
      <c r="A961" s="8">
        <v>959</v>
      </c>
      <c r="B961" s="8"/>
      <c r="C961" s="8" t="b">
        <f>_xlfn.XLOOKUP(Table610[[#This Row],[Category No]],Table8[Category No],Table8[Chapter List],FALSE)</f>
        <v>0</v>
      </c>
      <c r="D961" s="8"/>
      <c r="E961" s="31"/>
    </row>
    <row r="962" spans="1:5" x14ac:dyDescent="0.25">
      <c r="A962" s="8">
        <v>960</v>
      </c>
      <c r="B962" s="8"/>
      <c r="C962" s="8" t="b">
        <f>_xlfn.XLOOKUP(Table610[[#This Row],[Category No]],Table8[Category No],Table8[Chapter List],FALSE)</f>
        <v>0</v>
      </c>
      <c r="D962" s="8"/>
      <c r="E962" s="31"/>
    </row>
    <row r="963" spans="1:5" x14ac:dyDescent="0.25">
      <c r="A963" s="8">
        <v>961</v>
      </c>
      <c r="B963" s="8"/>
      <c r="C963" s="8" t="b">
        <f>_xlfn.XLOOKUP(Table610[[#This Row],[Category No]],Table8[Category No],Table8[Chapter List],FALSE)</f>
        <v>0</v>
      </c>
      <c r="D963" s="8"/>
      <c r="E963" s="31"/>
    </row>
    <row r="964" spans="1:5" x14ac:dyDescent="0.25">
      <c r="A964" s="8">
        <v>962</v>
      </c>
      <c r="B964" s="8"/>
      <c r="C964" s="8" t="b">
        <f>_xlfn.XLOOKUP(Table610[[#This Row],[Category No]],Table8[Category No],Table8[Chapter List],FALSE)</f>
        <v>0</v>
      </c>
      <c r="D964" s="8"/>
      <c r="E964" s="31"/>
    </row>
    <row r="965" spans="1:5" x14ac:dyDescent="0.25">
      <c r="A965" s="8">
        <v>963</v>
      </c>
      <c r="B965" s="8"/>
      <c r="C965" s="8" t="b">
        <f>_xlfn.XLOOKUP(Table610[[#This Row],[Category No]],Table8[Category No],Table8[Chapter List],FALSE)</f>
        <v>0</v>
      </c>
      <c r="D965" s="8"/>
      <c r="E965" s="31"/>
    </row>
    <row r="966" spans="1:5" x14ac:dyDescent="0.25">
      <c r="A966" s="8">
        <v>964</v>
      </c>
      <c r="B966" s="8"/>
      <c r="C966" s="8" t="b">
        <f>_xlfn.XLOOKUP(Table610[[#This Row],[Category No]],Table8[Category No],Table8[Chapter List],FALSE)</f>
        <v>0</v>
      </c>
      <c r="D966" s="8"/>
      <c r="E966" s="31"/>
    </row>
    <row r="967" spans="1:5" x14ac:dyDescent="0.25">
      <c r="A967" s="8">
        <v>965</v>
      </c>
      <c r="B967" s="8"/>
      <c r="C967" s="8" t="b">
        <f>_xlfn.XLOOKUP(Table610[[#This Row],[Category No]],Table8[Category No],Table8[Chapter List],FALSE)</f>
        <v>0</v>
      </c>
      <c r="D967" s="8"/>
      <c r="E967" s="31"/>
    </row>
    <row r="968" spans="1:5" x14ac:dyDescent="0.25">
      <c r="A968" s="8">
        <v>966</v>
      </c>
      <c r="B968" s="8"/>
      <c r="C968" s="8" t="b">
        <f>_xlfn.XLOOKUP(Table610[[#This Row],[Category No]],Table8[Category No],Table8[Chapter List],FALSE)</f>
        <v>0</v>
      </c>
      <c r="D968" s="8"/>
      <c r="E968" s="31"/>
    </row>
    <row r="969" spans="1:5" x14ac:dyDescent="0.25">
      <c r="A969" s="8">
        <v>967</v>
      </c>
      <c r="B969" s="8"/>
      <c r="C969" s="8" t="b">
        <f>_xlfn.XLOOKUP(Table610[[#This Row],[Category No]],Table8[Category No],Table8[Chapter List],FALSE)</f>
        <v>0</v>
      </c>
      <c r="D969" s="8"/>
      <c r="E969" s="31"/>
    </row>
    <row r="970" spans="1:5" x14ac:dyDescent="0.25">
      <c r="A970" s="8">
        <v>968</v>
      </c>
      <c r="B970" s="8"/>
      <c r="C970" s="8" t="b">
        <f>_xlfn.XLOOKUP(Table610[[#This Row],[Category No]],Table8[Category No],Table8[Chapter List],FALSE)</f>
        <v>0</v>
      </c>
      <c r="D970" s="8"/>
      <c r="E970" s="31"/>
    </row>
    <row r="971" spans="1:5" x14ac:dyDescent="0.25">
      <c r="A971" s="8">
        <v>969</v>
      </c>
      <c r="B971" s="8"/>
      <c r="C971" s="8" t="b">
        <f>_xlfn.XLOOKUP(Table610[[#This Row],[Category No]],Table8[Category No],Table8[Chapter List],FALSE)</f>
        <v>0</v>
      </c>
      <c r="D971" s="8"/>
      <c r="E971" s="31"/>
    </row>
    <row r="972" spans="1:5" x14ac:dyDescent="0.25">
      <c r="A972" s="8">
        <v>970</v>
      </c>
      <c r="B972" s="8"/>
      <c r="C972" s="8" t="b">
        <f>_xlfn.XLOOKUP(Table610[[#This Row],[Category No]],Table8[Category No],Table8[Chapter List],FALSE)</f>
        <v>0</v>
      </c>
      <c r="D972" s="8"/>
      <c r="E972" s="31"/>
    </row>
    <row r="973" spans="1:5" x14ac:dyDescent="0.25">
      <c r="A973" s="8">
        <v>971</v>
      </c>
      <c r="B973" s="8"/>
      <c r="C973" s="8" t="b">
        <f>_xlfn.XLOOKUP(Table610[[#This Row],[Category No]],Table8[Category No],Table8[Chapter List],FALSE)</f>
        <v>0</v>
      </c>
      <c r="D973" s="8"/>
      <c r="E973" s="31"/>
    </row>
    <row r="974" spans="1:5" x14ac:dyDescent="0.25">
      <c r="A974" s="8">
        <v>972</v>
      </c>
      <c r="B974" s="8"/>
      <c r="C974" s="8" t="b">
        <f>_xlfn.XLOOKUP(Table610[[#This Row],[Category No]],Table8[Category No],Table8[Chapter List],FALSE)</f>
        <v>0</v>
      </c>
      <c r="D974" s="8"/>
      <c r="E974" s="31"/>
    </row>
    <row r="975" spans="1:5" x14ac:dyDescent="0.25">
      <c r="A975" s="8">
        <v>973</v>
      </c>
      <c r="B975" s="8"/>
      <c r="C975" s="8" t="b">
        <f>_xlfn.XLOOKUP(Table610[[#This Row],[Category No]],Table8[Category No],Table8[Chapter List],FALSE)</f>
        <v>0</v>
      </c>
      <c r="D975" s="8"/>
      <c r="E975" s="31"/>
    </row>
    <row r="976" spans="1:5" x14ac:dyDescent="0.25">
      <c r="A976" s="8">
        <v>974</v>
      </c>
      <c r="B976" s="8"/>
      <c r="C976" s="8" t="b">
        <f>_xlfn.XLOOKUP(Table610[[#This Row],[Category No]],Table8[Category No],Table8[Chapter List],FALSE)</f>
        <v>0</v>
      </c>
      <c r="D976" s="8"/>
      <c r="E976" s="31"/>
    </row>
    <row r="977" spans="1:5" x14ac:dyDescent="0.25">
      <c r="A977" s="8">
        <v>975</v>
      </c>
      <c r="B977" s="8"/>
      <c r="C977" s="8" t="b">
        <f>_xlfn.XLOOKUP(Table610[[#This Row],[Category No]],Table8[Category No],Table8[Chapter List],FALSE)</f>
        <v>0</v>
      </c>
      <c r="D977" s="8"/>
      <c r="E977" s="31"/>
    </row>
    <row r="978" spans="1:5" x14ac:dyDescent="0.25">
      <c r="A978" s="8">
        <v>976</v>
      </c>
      <c r="B978" s="8"/>
      <c r="C978" s="8" t="b">
        <f>_xlfn.XLOOKUP(Table610[[#This Row],[Category No]],Table8[Category No],Table8[Chapter List],FALSE)</f>
        <v>0</v>
      </c>
      <c r="D978" s="8"/>
      <c r="E978" s="31"/>
    </row>
    <row r="979" spans="1:5" x14ac:dyDescent="0.25">
      <c r="A979" s="8">
        <v>977</v>
      </c>
      <c r="B979" s="8"/>
      <c r="C979" s="8" t="b">
        <f>_xlfn.XLOOKUP(Table610[[#This Row],[Category No]],Table8[Category No],Table8[Chapter List],FALSE)</f>
        <v>0</v>
      </c>
      <c r="D979" s="8"/>
      <c r="E979" s="31"/>
    </row>
    <row r="980" spans="1:5" x14ac:dyDescent="0.25">
      <c r="A980" s="8">
        <v>978</v>
      </c>
      <c r="B980" s="8"/>
      <c r="C980" s="8" t="b">
        <f>_xlfn.XLOOKUP(Table610[[#This Row],[Category No]],Table8[Category No],Table8[Chapter List],FALSE)</f>
        <v>0</v>
      </c>
      <c r="D980" s="8"/>
      <c r="E980" s="31"/>
    </row>
    <row r="981" spans="1:5" x14ac:dyDescent="0.25">
      <c r="A981" s="8">
        <v>979</v>
      </c>
      <c r="B981" s="8"/>
      <c r="C981" s="8" t="b">
        <f>_xlfn.XLOOKUP(Table610[[#This Row],[Category No]],Table8[Category No],Table8[Chapter List],FALSE)</f>
        <v>0</v>
      </c>
      <c r="D981" s="8"/>
      <c r="E981" s="31"/>
    </row>
    <row r="982" spans="1:5" x14ac:dyDescent="0.25">
      <c r="A982" s="8">
        <v>980</v>
      </c>
      <c r="B982" s="8"/>
      <c r="C982" s="8" t="b">
        <f>_xlfn.XLOOKUP(Table610[[#This Row],[Category No]],Table8[Category No],Table8[Chapter List],FALSE)</f>
        <v>0</v>
      </c>
      <c r="D982" s="8"/>
      <c r="E982" s="31"/>
    </row>
    <row r="983" spans="1:5" x14ac:dyDescent="0.25">
      <c r="A983" s="8">
        <v>981</v>
      </c>
      <c r="B983" s="8"/>
      <c r="C983" s="8" t="b">
        <f>_xlfn.XLOOKUP(Table610[[#This Row],[Category No]],Table8[Category No],Table8[Chapter List],FALSE)</f>
        <v>0</v>
      </c>
      <c r="D983" s="8"/>
      <c r="E983" s="31"/>
    </row>
    <row r="984" spans="1:5" x14ac:dyDescent="0.25">
      <c r="A984" s="8">
        <v>982</v>
      </c>
      <c r="B984" s="8"/>
      <c r="C984" s="8" t="b">
        <f>_xlfn.XLOOKUP(Table610[[#This Row],[Category No]],Table8[Category No],Table8[Chapter List],FALSE)</f>
        <v>0</v>
      </c>
      <c r="D984" s="8"/>
      <c r="E984" s="31"/>
    </row>
    <row r="985" spans="1:5" x14ac:dyDescent="0.25">
      <c r="A985" s="8">
        <v>983</v>
      </c>
      <c r="B985" s="8"/>
      <c r="C985" s="8" t="b">
        <f>_xlfn.XLOOKUP(Table610[[#This Row],[Category No]],Table8[Category No],Table8[Chapter List],FALSE)</f>
        <v>0</v>
      </c>
      <c r="D985" s="8"/>
      <c r="E985" s="31"/>
    </row>
    <row r="986" spans="1:5" x14ac:dyDescent="0.25">
      <c r="A986" s="8">
        <v>984</v>
      </c>
      <c r="B986" s="8"/>
      <c r="C986" s="8" t="b">
        <f>_xlfn.XLOOKUP(Table610[[#This Row],[Category No]],Table8[Category No],Table8[Chapter List],FALSE)</f>
        <v>0</v>
      </c>
      <c r="D986" s="8"/>
      <c r="E986" s="31"/>
    </row>
    <row r="987" spans="1:5" x14ac:dyDescent="0.25">
      <c r="A987" s="8">
        <v>985</v>
      </c>
      <c r="B987" s="8"/>
      <c r="C987" s="8" t="b">
        <f>_xlfn.XLOOKUP(Table610[[#This Row],[Category No]],Table8[Category No],Table8[Chapter List],FALSE)</f>
        <v>0</v>
      </c>
      <c r="D987" s="8"/>
      <c r="E987" s="31"/>
    </row>
    <row r="988" spans="1:5" x14ac:dyDescent="0.25">
      <c r="A988" s="8">
        <v>986</v>
      </c>
      <c r="B988" s="8"/>
      <c r="C988" s="8" t="b">
        <f>_xlfn.XLOOKUP(Table610[[#This Row],[Category No]],Table8[Category No],Table8[Chapter List],FALSE)</f>
        <v>0</v>
      </c>
      <c r="D988" s="8"/>
      <c r="E988" s="31"/>
    </row>
    <row r="989" spans="1:5" x14ac:dyDescent="0.25">
      <c r="A989" s="8">
        <v>987</v>
      </c>
      <c r="B989" s="8"/>
      <c r="C989" s="8" t="b">
        <f>_xlfn.XLOOKUP(Table610[[#This Row],[Category No]],Table8[Category No],Table8[Chapter List],FALSE)</f>
        <v>0</v>
      </c>
      <c r="D989" s="8"/>
      <c r="E989" s="31"/>
    </row>
    <row r="990" spans="1:5" x14ac:dyDescent="0.25">
      <c r="A990" s="8">
        <v>988</v>
      </c>
      <c r="B990" s="8"/>
      <c r="C990" s="8" t="b">
        <f>_xlfn.XLOOKUP(Table610[[#This Row],[Category No]],Table8[Category No],Table8[Chapter List],FALSE)</f>
        <v>0</v>
      </c>
      <c r="D990" s="8"/>
      <c r="E990" s="31"/>
    </row>
    <row r="991" spans="1:5" x14ac:dyDescent="0.25">
      <c r="A991" s="8">
        <v>989</v>
      </c>
      <c r="B991" s="8"/>
      <c r="C991" s="8" t="b">
        <f>_xlfn.XLOOKUP(Table610[[#This Row],[Category No]],Table8[Category No],Table8[Chapter List],FALSE)</f>
        <v>0</v>
      </c>
      <c r="D991" s="8"/>
      <c r="E991" s="31"/>
    </row>
    <row r="992" spans="1:5" x14ac:dyDescent="0.25">
      <c r="A992" s="8">
        <v>990</v>
      </c>
      <c r="B992" s="8"/>
      <c r="C992" s="8" t="b">
        <f>_xlfn.XLOOKUP(Table610[[#This Row],[Category No]],Table8[Category No],Table8[Chapter List],FALSE)</f>
        <v>0</v>
      </c>
      <c r="D992" s="8"/>
      <c r="E992" s="31"/>
    </row>
    <row r="993" spans="1:5" x14ac:dyDescent="0.25">
      <c r="A993" s="8">
        <v>991</v>
      </c>
      <c r="B993" s="8"/>
      <c r="C993" s="8" t="b">
        <f>_xlfn.XLOOKUP(Table610[[#This Row],[Category No]],Table8[Category No],Table8[Chapter List],FALSE)</f>
        <v>0</v>
      </c>
      <c r="D993" s="8"/>
      <c r="E993" s="31"/>
    </row>
    <row r="994" spans="1:5" x14ac:dyDescent="0.25">
      <c r="A994" s="8">
        <v>992</v>
      </c>
      <c r="B994" s="8"/>
      <c r="C994" s="8" t="b">
        <f>_xlfn.XLOOKUP(Table610[[#This Row],[Category No]],Table8[Category No],Table8[Chapter List],FALSE)</f>
        <v>0</v>
      </c>
      <c r="D994" s="8"/>
      <c r="E994" s="31"/>
    </row>
    <row r="995" spans="1:5" x14ac:dyDescent="0.25">
      <c r="A995" s="8">
        <v>993</v>
      </c>
      <c r="B995" s="8"/>
      <c r="C995" s="8" t="b">
        <f>_xlfn.XLOOKUP(Table610[[#This Row],[Category No]],Table8[Category No],Table8[Chapter List],FALSE)</f>
        <v>0</v>
      </c>
      <c r="D995" s="8"/>
      <c r="E995" s="31"/>
    </row>
    <row r="996" spans="1:5" x14ac:dyDescent="0.25">
      <c r="A996" s="8">
        <v>994</v>
      </c>
      <c r="B996" s="8"/>
      <c r="C996" s="8" t="b">
        <f>_xlfn.XLOOKUP(Table610[[#This Row],[Category No]],Table8[Category No],Table8[Chapter List],FALSE)</f>
        <v>0</v>
      </c>
      <c r="D996" s="8"/>
      <c r="E996" s="31"/>
    </row>
    <row r="997" spans="1:5" x14ac:dyDescent="0.25">
      <c r="A997" s="8">
        <v>995</v>
      </c>
      <c r="B997" s="8"/>
      <c r="C997" s="8" t="b">
        <f>_xlfn.XLOOKUP(Table610[[#This Row],[Category No]],Table8[Category No],Table8[Chapter List],FALSE)</f>
        <v>0</v>
      </c>
      <c r="D997" s="8"/>
      <c r="E997" s="31"/>
    </row>
    <row r="998" spans="1:5" x14ac:dyDescent="0.25">
      <c r="A998" s="8">
        <v>996</v>
      </c>
      <c r="B998" s="8"/>
      <c r="C998" s="8" t="b">
        <f>_xlfn.XLOOKUP(Table610[[#This Row],[Category No]],Table8[Category No],Table8[Chapter List],FALSE)</f>
        <v>0</v>
      </c>
      <c r="D998" s="8"/>
      <c r="E998" s="31"/>
    </row>
    <row r="999" spans="1:5" x14ac:dyDescent="0.25">
      <c r="A999" s="8">
        <v>997</v>
      </c>
      <c r="B999" s="8"/>
      <c r="C999" s="8" t="b">
        <f>_xlfn.XLOOKUP(Table610[[#This Row],[Category No]],Table8[Category No],Table8[Chapter List],FALSE)</f>
        <v>0</v>
      </c>
      <c r="D999" s="8"/>
      <c r="E999" s="31"/>
    </row>
    <row r="1000" spans="1:5" x14ac:dyDescent="0.25">
      <c r="A1000" s="8">
        <v>998</v>
      </c>
      <c r="B1000" s="8"/>
      <c r="C1000" s="8" t="b">
        <f>_xlfn.XLOOKUP(Table610[[#This Row],[Category No]],Table8[Category No],Table8[Chapter List],FALSE)</f>
        <v>0</v>
      </c>
      <c r="D1000" s="8"/>
      <c r="E1000" s="31"/>
    </row>
    <row r="1001" spans="1:5" x14ac:dyDescent="0.25">
      <c r="A1001" s="8">
        <v>999</v>
      </c>
      <c r="B1001" s="8"/>
      <c r="C1001" s="8" t="b">
        <f>_xlfn.XLOOKUP(Table610[[#This Row],[Category No]],Table8[Category No],Table8[Chapter List],FALSE)</f>
        <v>0</v>
      </c>
      <c r="D1001" s="8"/>
      <c r="E1001" s="31"/>
    </row>
  </sheetData>
  <mergeCells count="13">
    <mergeCell ref="F127:F129"/>
    <mergeCell ref="F130:F133"/>
    <mergeCell ref="F65:F70"/>
    <mergeCell ref="F72:F78"/>
    <mergeCell ref="F79:F86"/>
    <mergeCell ref="F87:F92"/>
    <mergeCell ref="F93:F96"/>
    <mergeCell ref="F112:F117"/>
    <mergeCell ref="F118:F121"/>
    <mergeCell ref="F122:F125"/>
    <mergeCell ref="F97:F101"/>
    <mergeCell ref="F102:F105"/>
    <mergeCell ref="F106:F111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8325-85BD-4E86-ACA8-D5FF4A1C5690}">
  <dimension ref="A1:F1000"/>
  <sheetViews>
    <sheetView topLeftCell="A22" workbookViewId="0">
      <selection activeCell="E34" sqref="E34"/>
    </sheetView>
  </sheetViews>
  <sheetFormatPr defaultRowHeight="13.8" x14ac:dyDescent="0.3"/>
  <cols>
    <col min="1" max="1" width="9.33203125" style="41" bestFit="1" customWidth="1"/>
    <col min="2" max="2" width="14.21875" style="41" bestFit="1" customWidth="1"/>
    <col min="3" max="3" width="55.33203125" style="41" bestFit="1" customWidth="1"/>
    <col min="4" max="4" width="13.44140625" style="41" bestFit="1" customWidth="1"/>
    <col min="5" max="5" width="91.88671875" style="41" bestFit="1" customWidth="1"/>
    <col min="6" max="6" width="19.6640625" style="41" bestFit="1" customWidth="1"/>
    <col min="7" max="16384" width="8.88671875" style="41"/>
  </cols>
  <sheetData>
    <row r="1" spans="1:6" x14ac:dyDescent="0.3">
      <c r="A1" s="38" t="s">
        <v>1</v>
      </c>
      <c r="B1" s="39" t="s">
        <v>125</v>
      </c>
      <c r="C1" s="39" t="s">
        <v>126</v>
      </c>
      <c r="D1" s="40" t="s">
        <v>132</v>
      </c>
      <c r="E1" s="39" t="s">
        <v>0</v>
      </c>
    </row>
    <row r="2" spans="1:6" x14ac:dyDescent="0.3">
      <c r="A2" s="42">
        <v>1</v>
      </c>
      <c r="B2" s="42" t="s">
        <v>63</v>
      </c>
      <c r="C2" s="42" t="str">
        <f>_xlfn.XLOOKUP(Table61011[[#This Row],[Category No]],Table8[Category No],Table8[Chapter List],FALSE)</f>
        <v>Later Vedic Period</v>
      </c>
      <c r="D2" s="42" t="s">
        <v>495</v>
      </c>
      <c r="E2" s="43" t="s">
        <v>496</v>
      </c>
    </row>
    <row r="3" spans="1:6" x14ac:dyDescent="0.3">
      <c r="A3" s="42">
        <v>2</v>
      </c>
      <c r="B3" s="42" t="s">
        <v>64</v>
      </c>
      <c r="C3" s="42" t="str">
        <f>_xlfn.XLOOKUP(Table61011[[#This Row],[Category No]],Table8[Category No],Table8[Chapter List],FALSE)</f>
        <v>Evolution of Jainism and Buddhism</v>
      </c>
      <c r="D3" s="42"/>
      <c r="E3" s="43" t="s">
        <v>683</v>
      </c>
      <c r="F3" s="57" t="s">
        <v>687</v>
      </c>
    </row>
    <row r="4" spans="1:6" x14ac:dyDescent="0.3">
      <c r="A4" s="42">
        <v>3</v>
      </c>
      <c r="B4" s="42" t="s">
        <v>64</v>
      </c>
      <c r="C4" s="42" t="str">
        <f>_xlfn.XLOOKUP(Table61011[[#This Row],[Category No]],Table8[Category No],Table8[Chapter List],FALSE)</f>
        <v>Evolution of Jainism and Buddhism</v>
      </c>
      <c r="D4" s="42"/>
      <c r="E4" s="43" t="s">
        <v>684</v>
      </c>
      <c r="F4" s="57"/>
    </row>
    <row r="5" spans="1:6" x14ac:dyDescent="0.3">
      <c r="A5" s="42">
        <v>4</v>
      </c>
      <c r="B5" s="42" t="s">
        <v>64</v>
      </c>
      <c r="C5" s="42" t="str">
        <f>_xlfn.XLOOKUP(Table61011[[#This Row],[Category No]],Table8[Category No],Table8[Chapter List],FALSE)</f>
        <v>Evolution of Jainism and Buddhism</v>
      </c>
      <c r="D5" s="42"/>
      <c r="E5" s="43" t="s">
        <v>685</v>
      </c>
      <c r="F5" s="57"/>
    </row>
    <row r="6" spans="1:6" x14ac:dyDescent="0.3">
      <c r="A6" s="42">
        <v>5</v>
      </c>
      <c r="B6" s="42" t="s">
        <v>64</v>
      </c>
      <c r="C6" s="42" t="str">
        <f>_xlfn.XLOOKUP(Table61011[[#This Row],[Category No]],Table8[Category No],Table8[Chapter List],FALSE)</f>
        <v>Evolution of Jainism and Buddhism</v>
      </c>
      <c r="D6" s="42"/>
      <c r="E6" s="43" t="s">
        <v>686</v>
      </c>
      <c r="F6" s="57"/>
    </row>
    <row r="7" spans="1:6" x14ac:dyDescent="0.3">
      <c r="A7" s="42">
        <v>6</v>
      </c>
      <c r="B7" s="42" t="s">
        <v>64</v>
      </c>
      <c r="C7" s="42" t="str">
        <f>_xlfn.XLOOKUP(Table61011[[#This Row],[Category No]],Table8[Category No],Table8[Chapter List],FALSE)</f>
        <v>Evolution of Jainism and Buddhism</v>
      </c>
      <c r="D7" s="42"/>
      <c r="E7" s="43" t="s">
        <v>688</v>
      </c>
      <c r="F7" s="57" t="s">
        <v>693</v>
      </c>
    </row>
    <row r="8" spans="1:6" x14ac:dyDescent="0.3">
      <c r="A8" s="42">
        <v>7</v>
      </c>
      <c r="B8" s="42" t="s">
        <v>64</v>
      </c>
      <c r="C8" s="42" t="str">
        <f>_xlfn.XLOOKUP(Table61011[[#This Row],[Category No]],Table8[Category No],Table8[Chapter List],FALSE)</f>
        <v>Evolution of Jainism and Buddhism</v>
      </c>
      <c r="D8" s="42"/>
      <c r="E8" s="43" t="s">
        <v>689</v>
      </c>
      <c r="F8" s="57"/>
    </row>
    <row r="9" spans="1:6" x14ac:dyDescent="0.3">
      <c r="A9" s="42">
        <v>8</v>
      </c>
      <c r="B9" s="42" t="s">
        <v>64</v>
      </c>
      <c r="C9" s="42" t="str">
        <f>_xlfn.XLOOKUP(Table61011[[#This Row],[Category No]],Table8[Category No],Table8[Chapter List],FALSE)</f>
        <v>Evolution of Jainism and Buddhism</v>
      </c>
      <c r="D9" s="42"/>
      <c r="E9" s="43" t="s">
        <v>690</v>
      </c>
      <c r="F9" s="57"/>
    </row>
    <row r="10" spans="1:6" x14ac:dyDescent="0.3">
      <c r="A10" s="42">
        <v>9</v>
      </c>
      <c r="B10" s="42" t="s">
        <v>64</v>
      </c>
      <c r="C10" s="42" t="str">
        <f>_xlfn.XLOOKUP(Table61011[[#This Row],[Category No]],Table8[Category No],Table8[Chapter List],FALSE)</f>
        <v>Evolution of Jainism and Buddhism</v>
      </c>
      <c r="D10" s="42"/>
      <c r="E10" s="43" t="s">
        <v>691</v>
      </c>
      <c r="F10" s="57"/>
    </row>
    <row r="11" spans="1:6" x14ac:dyDescent="0.3">
      <c r="A11" s="42">
        <v>10</v>
      </c>
      <c r="B11" s="42" t="s">
        <v>64</v>
      </c>
      <c r="C11" s="42" t="str">
        <f>_xlfn.XLOOKUP(Table61011[[#This Row],[Category No]],Table8[Category No],Table8[Chapter List],FALSE)</f>
        <v>Evolution of Jainism and Buddhism</v>
      </c>
      <c r="D11" s="42"/>
      <c r="E11" s="43" t="s">
        <v>692</v>
      </c>
      <c r="F11" s="57"/>
    </row>
    <row r="12" spans="1:6" x14ac:dyDescent="0.3">
      <c r="A12" s="42">
        <v>11</v>
      </c>
      <c r="B12" s="42" t="s">
        <v>67</v>
      </c>
      <c r="C12" s="42" t="str">
        <f>_xlfn.XLOOKUP(Table61011[[#This Row],[Category No]],Table8[Category No],Table8[Chapter List],FALSE)</f>
        <v>Post-Mauryan India (200 BC - 300 CE)</v>
      </c>
      <c r="D12" s="42"/>
      <c r="E12" s="43" t="s">
        <v>1236</v>
      </c>
      <c r="F12" s="57" t="s">
        <v>1215</v>
      </c>
    </row>
    <row r="13" spans="1:6" x14ac:dyDescent="0.3">
      <c r="A13" s="42">
        <v>12</v>
      </c>
      <c r="B13" s="42" t="s">
        <v>67</v>
      </c>
      <c r="C13" s="42" t="str">
        <f>_xlfn.XLOOKUP(Table61011[[#This Row],[Category No]],Table8[Category No],Table8[Chapter List],FALSE)</f>
        <v>Post-Mauryan India (200 BC - 300 CE)</v>
      </c>
      <c r="D13" s="42" t="s">
        <v>1238</v>
      </c>
      <c r="E13" s="43" t="s">
        <v>1237</v>
      </c>
      <c r="F13" s="57"/>
    </row>
    <row r="14" spans="1:6" x14ac:dyDescent="0.3">
      <c r="A14" s="42">
        <v>13</v>
      </c>
      <c r="B14" s="42" t="s">
        <v>67</v>
      </c>
      <c r="C14" s="42" t="str">
        <f>_xlfn.XLOOKUP(Table61011[[#This Row],[Category No]],Table8[Category No],Table8[Chapter List],FALSE)</f>
        <v>Post-Mauryan India (200 BC - 300 CE)</v>
      </c>
      <c r="D14" s="42" t="s">
        <v>1239</v>
      </c>
      <c r="E14" s="43" t="s">
        <v>1240</v>
      </c>
      <c r="F14" s="57"/>
    </row>
    <row r="15" spans="1:6" x14ac:dyDescent="0.3">
      <c r="A15" s="42">
        <v>14</v>
      </c>
      <c r="B15" s="42" t="s">
        <v>67</v>
      </c>
      <c r="C15" s="42" t="str">
        <f>_xlfn.XLOOKUP(Table61011[[#This Row],[Category No]],Table8[Category No],Table8[Chapter List],FALSE)</f>
        <v>Post-Mauryan India (200 BC - 300 CE)</v>
      </c>
      <c r="D15" s="42" t="s">
        <v>1242</v>
      </c>
      <c r="E15" s="43" t="s">
        <v>1241</v>
      </c>
      <c r="F15" s="57"/>
    </row>
    <row r="16" spans="1:6" x14ac:dyDescent="0.3">
      <c r="A16" s="42">
        <v>15</v>
      </c>
      <c r="B16" s="42" t="s">
        <v>67</v>
      </c>
      <c r="C16" s="42" t="str">
        <f>_xlfn.XLOOKUP(Table61011[[#This Row],[Category No]],Table8[Category No],Table8[Chapter List],FALSE)</f>
        <v>Post-Mauryan India (200 BC - 300 CE)</v>
      </c>
      <c r="D16" s="42" t="s">
        <v>1273</v>
      </c>
      <c r="E16" s="43" t="s">
        <v>1274</v>
      </c>
      <c r="F16" s="42" t="s">
        <v>1217</v>
      </c>
    </row>
    <row r="17" spans="1:6" x14ac:dyDescent="0.3">
      <c r="A17" s="42">
        <v>16</v>
      </c>
      <c r="B17" s="42" t="s">
        <v>67</v>
      </c>
      <c r="C17" s="42" t="str">
        <f>_xlfn.XLOOKUP(Table61011[[#This Row],[Category No]],Table8[Category No],Table8[Chapter List],FALSE)</f>
        <v>Post-Mauryan India (200 BC - 300 CE)</v>
      </c>
      <c r="D17" s="42"/>
      <c r="E17" s="43" t="s">
        <v>1311</v>
      </c>
      <c r="F17" s="42" t="s">
        <v>1219</v>
      </c>
    </row>
    <row r="18" spans="1:6" x14ac:dyDescent="0.25">
      <c r="A18" s="42">
        <v>17</v>
      </c>
      <c r="B18" s="42" t="s">
        <v>68</v>
      </c>
      <c r="C18" s="42" t="str">
        <f>_xlfn.XLOOKUP(Table61011[[#This Row],[Category No]],Table8[Category No],Table8[Chapter List],FALSE)</f>
        <v>Sangam Period (South Indian Dynasties)</v>
      </c>
      <c r="D18" s="8" t="s">
        <v>1464</v>
      </c>
      <c r="E18" s="31" t="s">
        <v>1465</v>
      </c>
    </row>
    <row r="19" spans="1:6" x14ac:dyDescent="0.3">
      <c r="A19" s="42">
        <v>18</v>
      </c>
      <c r="B19" s="42" t="s">
        <v>68</v>
      </c>
      <c r="C19" s="42" t="str">
        <f>_xlfn.XLOOKUP(Table61011[[#This Row],[Category No]],Table8[Category No],Table8[Chapter List],FALSE)</f>
        <v>Sangam Period (South Indian Dynasties)</v>
      </c>
      <c r="D19" s="42" t="s">
        <v>1466</v>
      </c>
      <c r="E19" s="43" t="s">
        <v>1467</v>
      </c>
    </row>
    <row r="20" spans="1:6" x14ac:dyDescent="0.3">
      <c r="A20" s="42">
        <v>19</v>
      </c>
      <c r="B20" s="42" t="s">
        <v>68</v>
      </c>
      <c r="C20" s="42" t="str">
        <f>_xlfn.XLOOKUP(Table61011[[#This Row],[Category No]],Table8[Category No],Table8[Chapter List],FALSE)</f>
        <v>Sangam Period (South Indian Dynasties)</v>
      </c>
      <c r="D20" s="42" t="s">
        <v>1468</v>
      </c>
      <c r="E20" s="43" t="s">
        <v>1469</v>
      </c>
    </row>
    <row r="21" spans="1:6" x14ac:dyDescent="0.3">
      <c r="A21" s="42">
        <v>20</v>
      </c>
      <c r="B21" s="42" t="s">
        <v>69</v>
      </c>
      <c r="C21" s="42" t="str">
        <f>_xlfn.XLOOKUP(Table61011[[#This Row],[Category No]],Table8[Category No],Table8[Chapter List],FALSE)</f>
        <v>Imperial Guptas &amp; Vakataks, Post Gupta Empire</v>
      </c>
      <c r="D21" s="42"/>
      <c r="E21" s="43" t="s">
        <v>1735</v>
      </c>
    </row>
    <row r="22" spans="1:6" x14ac:dyDescent="0.3">
      <c r="A22" s="42">
        <v>21</v>
      </c>
      <c r="B22" s="42" t="s">
        <v>69</v>
      </c>
      <c r="C22" s="42" t="str">
        <f>_xlfn.XLOOKUP(Table61011[[#This Row],[Category No]],Table8[Category No],Table8[Chapter List],FALSE)</f>
        <v>Imperial Guptas &amp; Vakataks, Post Gupta Empire</v>
      </c>
      <c r="D22" s="42"/>
      <c r="E22" s="43" t="s">
        <v>1753</v>
      </c>
    </row>
    <row r="23" spans="1:6" x14ac:dyDescent="0.3">
      <c r="A23" s="42">
        <v>22</v>
      </c>
      <c r="B23" s="42" t="s">
        <v>69</v>
      </c>
      <c r="C23" s="42" t="str">
        <f>_xlfn.XLOOKUP(Table61011[[#This Row],[Category No]],Table8[Category No],Table8[Chapter List],FALSE)</f>
        <v>Imperial Guptas &amp; Vakataks, Post Gupta Empire</v>
      </c>
      <c r="D23" s="42"/>
      <c r="E23" s="43" t="s">
        <v>1754</v>
      </c>
    </row>
    <row r="24" spans="1:6" x14ac:dyDescent="0.3">
      <c r="A24" s="42">
        <v>23</v>
      </c>
      <c r="B24" s="42" t="s">
        <v>70</v>
      </c>
      <c r="C24" s="42" t="str">
        <f>_xlfn.XLOOKUP(Table61011[[#This Row],[Category No]],Table8[Category No],Table8[Chapter List],FALSE)</f>
        <v>Harshavardhana/ Vardhan Dynasty/ Pushyabhuti Dynasty</v>
      </c>
      <c r="D24" s="42"/>
      <c r="E24" s="43" t="s">
        <v>1881</v>
      </c>
    </row>
    <row r="25" spans="1:6" x14ac:dyDescent="0.3">
      <c r="A25" s="42">
        <v>24</v>
      </c>
      <c r="B25" s="42" t="s">
        <v>70</v>
      </c>
      <c r="C25" s="42" t="str">
        <f>_xlfn.XLOOKUP(Table61011[[#This Row],[Category No]],Table8[Category No],Table8[Chapter List],FALSE)</f>
        <v>Harshavardhana/ Vardhan Dynasty/ Pushyabhuti Dynasty</v>
      </c>
      <c r="D25" s="42"/>
      <c r="E25" s="43" t="s">
        <v>1882</v>
      </c>
    </row>
    <row r="26" spans="1:6" x14ac:dyDescent="0.3">
      <c r="A26" s="42">
        <v>25</v>
      </c>
      <c r="B26" s="42" t="s">
        <v>75</v>
      </c>
      <c r="C26" s="42" t="str">
        <f>_xlfn.XLOOKUP(Table61011[[#This Row],[Category No]],Table8[Category No],Table8[Chapter List],FALSE)</f>
        <v>Early Medieval India's Major Dynasties Part 2 - (750 - 1000)CE</v>
      </c>
      <c r="D26" s="42" t="s">
        <v>2124</v>
      </c>
      <c r="E26" s="43" t="s">
        <v>2125</v>
      </c>
      <c r="F26" s="57" t="s">
        <v>2122</v>
      </c>
    </row>
    <row r="27" spans="1:6" x14ac:dyDescent="0.3">
      <c r="A27" s="42">
        <v>26</v>
      </c>
      <c r="B27" s="42" t="s">
        <v>75</v>
      </c>
      <c r="C27" s="42" t="str">
        <f>_xlfn.XLOOKUP(Table61011[[#This Row],[Category No]],Table8[Category No],Table8[Chapter List],FALSE)</f>
        <v>Early Medieval India's Major Dynasties Part 2 - (750 - 1000)CE</v>
      </c>
      <c r="D27" s="42"/>
      <c r="E27" s="43" t="s">
        <v>2120</v>
      </c>
      <c r="F27" s="57"/>
    </row>
    <row r="28" spans="1:6" x14ac:dyDescent="0.3">
      <c r="A28" s="42">
        <v>27</v>
      </c>
      <c r="B28" s="42" t="s">
        <v>76</v>
      </c>
      <c r="C28" s="42" t="str">
        <f>_xlfn.XLOOKUP(Table61011[[#This Row],[Category No]],Table8[Category No],Table8[Chapter List],FALSE)</f>
        <v>Early Medieval India's Major Dynasties Part 3 - (1000 - 1200) CE</v>
      </c>
      <c r="D28" s="42"/>
      <c r="E28" s="43" t="s">
        <v>2319</v>
      </c>
      <c r="F28" s="57" t="s">
        <v>2307</v>
      </c>
    </row>
    <row r="29" spans="1:6" x14ac:dyDescent="0.3">
      <c r="A29" s="42">
        <v>28</v>
      </c>
      <c r="B29" s="42" t="s">
        <v>76</v>
      </c>
      <c r="C29" s="42" t="str">
        <f>_xlfn.XLOOKUP(Table61011[[#This Row],[Category No]],Table8[Category No],Table8[Chapter List],FALSE)</f>
        <v>Early Medieval India's Major Dynasties Part 3 - (1000 - 1200) CE</v>
      </c>
      <c r="D29" s="42"/>
      <c r="E29" s="43" t="s">
        <v>2322</v>
      </c>
      <c r="F29" s="57"/>
    </row>
    <row r="30" spans="1:6" x14ac:dyDescent="0.3">
      <c r="A30" s="42">
        <v>29</v>
      </c>
      <c r="B30" s="42" t="s">
        <v>76</v>
      </c>
      <c r="C30" s="42" t="str">
        <f>_xlfn.XLOOKUP(Table61011[[#This Row],[Category No]],Table8[Category No],Table8[Chapter List],FALSE)</f>
        <v>Early Medieval India's Major Dynasties Part 3 - (1000 - 1200) CE</v>
      </c>
      <c r="D30" s="42" t="s">
        <v>2419</v>
      </c>
      <c r="E30" s="43" t="s">
        <v>2420</v>
      </c>
      <c r="F30" s="42" t="s">
        <v>2418</v>
      </c>
    </row>
    <row r="31" spans="1:6" x14ac:dyDescent="0.3">
      <c r="A31" s="42">
        <v>30</v>
      </c>
      <c r="B31" s="42" t="s">
        <v>76</v>
      </c>
      <c r="C31" s="42" t="str">
        <f>_xlfn.XLOOKUP(Table61011[[#This Row],[Category No]],Table8[Category No],Table8[Chapter List],FALSE)</f>
        <v>Early Medieval India's Major Dynasties Part 3 - (1000 - 1200) CE</v>
      </c>
      <c r="D31" s="42"/>
      <c r="E31" s="43" t="s">
        <v>2519</v>
      </c>
    </row>
    <row r="32" spans="1:6" x14ac:dyDescent="0.3">
      <c r="A32" s="42">
        <v>31</v>
      </c>
      <c r="B32" s="42" t="s">
        <v>76</v>
      </c>
      <c r="C32" s="42" t="str">
        <f>_xlfn.XLOOKUP(Table61011[[#This Row],[Category No]],Table8[Category No],Table8[Chapter List],FALSE)</f>
        <v>Early Medieval India's Major Dynasties Part 3 - (1000 - 1200) CE</v>
      </c>
      <c r="D32" s="42"/>
      <c r="E32" s="43" t="s">
        <v>2520</v>
      </c>
    </row>
    <row r="33" spans="1:5" x14ac:dyDescent="0.3">
      <c r="A33" s="42">
        <v>32</v>
      </c>
      <c r="B33" s="42" t="s">
        <v>76</v>
      </c>
      <c r="C33" s="42" t="str">
        <f>_xlfn.XLOOKUP(Table61011[[#This Row],[Category No]],Table8[Category No],Table8[Chapter List],FALSE)</f>
        <v>Early Medieval India's Major Dynasties Part 3 - (1000 - 1200) CE</v>
      </c>
      <c r="D33" s="42"/>
      <c r="E33" s="43" t="s">
        <v>2521</v>
      </c>
    </row>
    <row r="34" spans="1:5" x14ac:dyDescent="0.3">
      <c r="A34" s="42">
        <v>33</v>
      </c>
      <c r="B34" s="42" t="s">
        <v>76</v>
      </c>
      <c r="C34" s="42" t="str">
        <f>_xlfn.XLOOKUP(Table61011[[#This Row],[Category No]],Table8[Category No],Table8[Chapter List],FALSE)</f>
        <v>Early Medieval India's Major Dynasties Part 3 - (1000 - 1200) CE</v>
      </c>
      <c r="D34" s="42" t="s">
        <v>2565</v>
      </c>
      <c r="E34" s="43" t="s">
        <v>2566</v>
      </c>
    </row>
    <row r="35" spans="1:5" x14ac:dyDescent="0.3">
      <c r="A35" s="42">
        <v>34</v>
      </c>
      <c r="B35" s="42" t="s">
        <v>76</v>
      </c>
      <c r="C35" s="42" t="str">
        <f>_xlfn.XLOOKUP(Table61011[[#This Row],[Category No]],Table8[Category No],Table8[Chapter List],FALSE)</f>
        <v>Early Medieval India's Major Dynasties Part 3 - (1000 - 1200) CE</v>
      </c>
      <c r="D35" s="42"/>
      <c r="E35" s="43"/>
    </row>
    <row r="36" spans="1:5" x14ac:dyDescent="0.3">
      <c r="A36" s="42">
        <v>35</v>
      </c>
      <c r="B36" s="42" t="s">
        <v>76</v>
      </c>
      <c r="C36" s="42" t="str">
        <f>_xlfn.XLOOKUP(Table61011[[#This Row],[Category No]],Table8[Category No],Table8[Chapter List],FALSE)</f>
        <v>Early Medieval India's Major Dynasties Part 3 - (1000 - 1200) CE</v>
      </c>
      <c r="D36" s="42"/>
      <c r="E36" s="43"/>
    </row>
    <row r="37" spans="1:5" x14ac:dyDescent="0.3">
      <c r="A37" s="42">
        <v>36</v>
      </c>
      <c r="B37" s="42"/>
      <c r="C37" s="42" t="b">
        <f>_xlfn.XLOOKUP(Table61011[[#This Row],[Category No]],Table8[Category No],Table8[Chapter List],FALSE)</f>
        <v>0</v>
      </c>
      <c r="D37" s="42"/>
      <c r="E37" s="43"/>
    </row>
    <row r="38" spans="1:5" x14ac:dyDescent="0.3">
      <c r="A38" s="42">
        <v>37</v>
      </c>
      <c r="B38" s="42"/>
      <c r="C38" s="42" t="b">
        <f>_xlfn.XLOOKUP(Table61011[[#This Row],[Category No]],Table8[Category No],Table8[Chapter List],FALSE)</f>
        <v>0</v>
      </c>
      <c r="D38" s="42"/>
      <c r="E38" s="43"/>
    </row>
    <row r="39" spans="1:5" x14ac:dyDescent="0.3">
      <c r="A39" s="42">
        <v>38</v>
      </c>
      <c r="B39" s="42"/>
      <c r="C39" s="42" t="b">
        <f>_xlfn.XLOOKUP(Table61011[[#This Row],[Category No]],Table8[Category No],Table8[Chapter List],FALSE)</f>
        <v>0</v>
      </c>
      <c r="D39" s="42"/>
      <c r="E39" s="43"/>
    </row>
    <row r="40" spans="1:5" x14ac:dyDescent="0.3">
      <c r="A40" s="42">
        <v>39</v>
      </c>
      <c r="B40" s="42"/>
      <c r="C40" s="42" t="b">
        <f>_xlfn.XLOOKUP(Table61011[[#This Row],[Category No]],Table8[Category No],Table8[Chapter List],FALSE)</f>
        <v>0</v>
      </c>
      <c r="D40" s="42"/>
      <c r="E40" s="43"/>
    </row>
    <row r="41" spans="1:5" x14ac:dyDescent="0.3">
      <c r="A41" s="42">
        <v>40</v>
      </c>
      <c r="B41" s="42"/>
      <c r="C41" s="42" t="b">
        <f>_xlfn.XLOOKUP(Table61011[[#This Row],[Category No]],Table8[Category No],Table8[Chapter List],FALSE)</f>
        <v>0</v>
      </c>
      <c r="D41" s="42"/>
      <c r="E41" s="43"/>
    </row>
    <row r="42" spans="1:5" x14ac:dyDescent="0.3">
      <c r="A42" s="42">
        <v>41</v>
      </c>
      <c r="B42" s="42"/>
      <c r="C42" s="42" t="b">
        <f>_xlfn.XLOOKUP(Table61011[[#This Row],[Category No]],Table8[Category No],Table8[Chapter List],FALSE)</f>
        <v>0</v>
      </c>
      <c r="D42" s="42"/>
      <c r="E42" s="43"/>
    </row>
    <row r="43" spans="1:5" x14ac:dyDescent="0.3">
      <c r="A43" s="42">
        <v>42</v>
      </c>
      <c r="B43" s="42"/>
      <c r="C43" s="42" t="b">
        <f>_xlfn.XLOOKUP(Table61011[[#This Row],[Category No]],Table8[Category No],Table8[Chapter List],FALSE)</f>
        <v>0</v>
      </c>
      <c r="D43" s="42"/>
      <c r="E43" s="43"/>
    </row>
    <row r="44" spans="1:5" x14ac:dyDescent="0.3">
      <c r="A44" s="42">
        <v>43</v>
      </c>
      <c r="B44" s="42"/>
      <c r="C44" s="42" t="b">
        <f>_xlfn.XLOOKUP(Table61011[[#This Row],[Category No]],Table8[Category No],Table8[Chapter List],FALSE)</f>
        <v>0</v>
      </c>
      <c r="D44" s="42"/>
      <c r="E44" s="43"/>
    </row>
    <row r="45" spans="1:5" x14ac:dyDescent="0.3">
      <c r="A45" s="42">
        <v>44</v>
      </c>
      <c r="B45" s="42"/>
      <c r="C45" s="42" t="b">
        <f>_xlfn.XLOOKUP(Table61011[[#This Row],[Category No]],Table8[Category No],Table8[Chapter List],FALSE)</f>
        <v>0</v>
      </c>
      <c r="D45" s="42"/>
      <c r="E45" s="43"/>
    </row>
    <row r="46" spans="1:5" x14ac:dyDescent="0.3">
      <c r="A46" s="42">
        <v>45</v>
      </c>
      <c r="B46" s="42"/>
      <c r="C46" s="42" t="b">
        <f>_xlfn.XLOOKUP(Table61011[[#This Row],[Category No]],Table8[Category No],Table8[Chapter List],FALSE)</f>
        <v>0</v>
      </c>
      <c r="D46" s="42"/>
      <c r="E46" s="43"/>
    </row>
    <row r="47" spans="1:5" x14ac:dyDescent="0.3">
      <c r="A47" s="42">
        <v>46</v>
      </c>
      <c r="B47" s="42"/>
      <c r="C47" s="42" t="b">
        <f>_xlfn.XLOOKUP(Table61011[[#This Row],[Category No]],Table8[Category No],Table8[Chapter List],FALSE)</f>
        <v>0</v>
      </c>
      <c r="D47" s="42"/>
      <c r="E47" s="43"/>
    </row>
    <row r="48" spans="1:5" x14ac:dyDescent="0.3">
      <c r="A48" s="42">
        <v>47</v>
      </c>
      <c r="B48" s="42"/>
      <c r="C48" s="42" t="b">
        <f>_xlfn.XLOOKUP(Table61011[[#This Row],[Category No]],Table8[Category No],Table8[Chapter List],FALSE)</f>
        <v>0</v>
      </c>
      <c r="D48" s="42"/>
      <c r="E48" s="43"/>
    </row>
    <row r="49" spans="1:5" x14ac:dyDescent="0.3">
      <c r="A49" s="42">
        <v>48</v>
      </c>
      <c r="B49" s="42"/>
      <c r="C49" s="42" t="b">
        <f>_xlfn.XLOOKUP(Table61011[[#This Row],[Category No]],Table8[Category No],Table8[Chapter List],FALSE)</f>
        <v>0</v>
      </c>
      <c r="D49" s="42"/>
      <c r="E49" s="43"/>
    </row>
    <row r="50" spans="1:5" x14ac:dyDescent="0.3">
      <c r="A50" s="42">
        <v>49</v>
      </c>
      <c r="B50" s="42"/>
      <c r="C50" s="42" t="b">
        <f>_xlfn.XLOOKUP(Table61011[[#This Row],[Category No]],Table8[Category No],Table8[Chapter List],FALSE)</f>
        <v>0</v>
      </c>
      <c r="D50" s="42"/>
      <c r="E50" s="43"/>
    </row>
    <row r="51" spans="1:5" x14ac:dyDescent="0.3">
      <c r="A51" s="42">
        <v>50</v>
      </c>
      <c r="B51" s="42"/>
      <c r="C51" s="42" t="b">
        <f>_xlfn.XLOOKUP(Table61011[[#This Row],[Category No]],Table8[Category No],Table8[Chapter List],FALSE)</f>
        <v>0</v>
      </c>
      <c r="D51" s="42"/>
      <c r="E51" s="43"/>
    </row>
    <row r="52" spans="1:5" x14ac:dyDescent="0.3">
      <c r="A52" s="42">
        <v>51</v>
      </c>
      <c r="B52" s="42"/>
      <c r="C52" s="42" t="b">
        <f>_xlfn.XLOOKUP(Table61011[[#This Row],[Category No]],Table8[Category No],Table8[Chapter List],FALSE)</f>
        <v>0</v>
      </c>
      <c r="D52" s="42"/>
      <c r="E52" s="43"/>
    </row>
    <row r="53" spans="1:5" x14ac:dyDescent="0.3">
      <c r="A53" s="42">
        <v>52</v>
      </c>
      <c r="B53" s="42"/>
      <c r="C53" s="42" t="b">
        <f>_xlfn.XLOOKUP(Table61011[[#This Row],[Category No]],Table8[Category No],Table8[Chapter List],FALSE)</f>
        <v>0</v>
      </c>
      <c r="D53" s="42"/>
      <c r="E53" s="43"/>
    </row>
    <row r="54" spans="1:5" x14ac:dyDescent="0.3">
      <c r="A54" s="42">
        <v>53</v>
      </c>
      <c r="B54" s="42"/>
      <c r="C54" s="42" t="b">
        <f>_xlfn.XLOOKUP(Table61011[[#This Row],[Category No]],Table8[Category No],Table8[Chapter List],FALSE)</f>
        <v>0</v>
      </c>
      <c r="D54" s="42"/>
      <c r="E54" s="43"/>
    </row>
    <row r="55" spans="1:5" x14ac:dyDescent="0.3">
      <c r="A55" s="42">
        <v>54</v>
      </c>
      <c r="B55" s="42"/>
      <c r="C55" s="42" t="b">
        <f>_xlfn.XLOOKUP(Table61011[[#This Row],[Category No]],Table8[Category No],Table8[Chapter List],FALSE)</f>
        <v>0</v>
      </c>
      <c r="D55" s="42"/>
      <c r="E55" s="43"/>
    </row>
    <row r="56" spans="1:5" x14ac:dyDescent="0.3">
      <c r="A56" s="42">
        <v>55</v>
      </c>
      <c r="B56" s="42"/>
      <c r="C56" s="42" t="b">
        <f>_xlfn.XLOOKUP(Table61011[[#This Row],[Category No]],Table8[Category No],Table8[Chapter List],FALSE)</f>
        <v>0</v>
      </c>
      <c r="D56" s="42"/>
      <c r="E56" s="43"/>
    </row>
    <row r="57" spans="1:5" x14ac:dyDescent="0.3">
      <c r="A57" s="42">
        <v>56</v>
      </c>
      <c r="B57" s="42"/>
      <c r="C57" s="42" t="b">
        <f>_xlfn.XLOOKUP(Table61011[[#This Row],[Category No]],Table8[Category No],Table8[Chapter List],FALSE)</f>
        <v>0</v>
      </c>
      <c r="D57" s="42"/>
      <c r="E57" s="43"/>
    </row>
    <row r="58" spans="1:5" x14ac:dyDescent="0.3">
      <c r="A58" s="42">
        <v>57</v>
      </c>
      <c r="B58" s="42"/>
      <c r="C58" s="42" t="b">
        <f>_xlfn.XLOOKUP(Table61011[[#This Row],[Category No]],Table8[Category No],Table8[Chapter List],FALSE)</f>
        <v>0</v>
      </c>
      <c r="D58" s="42"/>
      <c r="E58" s="43"/>
    </row>
    <row r="59" spans="1:5" x14ac:dyDescent="0.3">
      <c r="A59" s="42">
        <v>58</v>
      </c>
      <c r="B59" s="42"/>
      <c r="C59" s="42" t="b">
        <f>_xlfn.XLOOKUP(Table61011[[#This Row],[Category No]],Table8[Category No],Table8[Chapter List],FALSE)</f>
        <v>0</v>
      </c>
      <c r="D59" s="42"/>
      <c r="E59" s="43"/>
    </row>
    <row r="60" spans="1:5" x14ac:dyDescent="0.3">
      <c r="A60" s="42">
        <v>59</v>
      </c>
      <c r="B60" s="42"/>
      <c r="C60" s="42" t="b">
        <f>_xlfn.XLOOKUP(Table61011[[#This Row],[Category No]],Table8[Category No],Table8[Chapter List],FALSE)</f>
        <v>0</v>
      </c>
      <c r="D60" s="42"/>
      <c r="E60" s="43"/>
    </row>
    <row r="61" spans="1:5" x14ac:dyDescent="0.3">
      <c r="A61" s="42">
        <v>60</v>
      </c>
      <c r="B61" s="42"/>
      <c r="C61" s="42" t="b">
        <f>_xlfn.XLOOKUP(Table61011[[#This Row],[Category No]],Table8[Category No],Table8[Chapter List],FALSE)</f>
        <v>0</v>
      </c>
      <c r="D61" s="42"/>
      <c r="E61" s="43"/>
    </row>
    <row r="62" spans="1:5" x14ac:dyDescent="0.3">
      <c r="A62" s="42">
        <v>61</v>
      </c>
      <c r="B62" s="42"/>
      <c r="C62" s="42" t="b">
        <f>_xlfn.XLOOKUP(Table61011[[#This Row],[Category No]],Table8[Category No],Table8[Chapter List],FALSE)</f>
        <v>0</v>
      </c>
      <c r="D62" s="42"/>
      <c r="E62" s="43"/>
    </row>
    <row r="63" spans="1:5" x14ac:dyDescent="0.3">
      <c r="A63" s="42">
        <v>62</v>
      </c>
      <c r="B63" s="42"/>
      <c r="C63" s="42" t="b">
        <f>_xlfn.XLOOKUP(Table61011[[#This Row],[Category No]],Table8[Category No],Table8[Chapter List],FALSE)</f>
        <v>0</v>
      </c>
      <c r="D63" s="42"/>
      <c r="E63" s="43"/>
    </row>
    <row r="64" spans="1:5" x14ac:dyDescent="0.3">
      <c r="A64" s="42">
        <v>63</v>
      </c>
      <c r="B64" s="42"/>
      <c r="C64" s="42" t="b">
        <f>_xlfn.XLOOKUP(Table61011[[#This Row],[Category No]],Table8[Category No],Table8[Chapter List],FALSE)</f>
        <v>0</v>
      </c>
      <c r="D64" s="42"/>
      <c r="E64" s="43"/>
    </row>
    <row r="65" spans="1:5" x14ac:dyDescent="0.3">
      <c r="A65" s="42">
        <v>64</v>
      </c>
      <c r="B65" s="42"/>
      <c r="C65" s="42" t="b">
        <f>_xlfn.XLOOKUP(Table61011[[#This Row],[Category No]],Table8[Category No],Table8[Chapter List],FALSE)</f>
        <v>0</v>
      </c>
      <c r="D65" s="42"/>
      <c r="E65" s="43"/>
    </row>
    <row r="66" spans="1:5" x14ac:dyDescent="0.3">
      <c r="A66" s="42">
        <v>65</v>
      </c>
      <c r="B66" s="42"/>
      <c r="C66" s="42" t="b">
        <f>_xlfn.XLOOKUP(Table61011[[#This Row],[Category No]],Table8[Category No],Table8[Chapter List],FALSE)</f>
        <v>0</v>
      </c>
      <c r="D66" s="42"/>
      <c r="E66" s="43"/>
    </row>
    <row r="67" spans="1:5" x14ac:dyDescent="0.3">
      <c r="A67" s="42">
        <v>66</v>
      </c>
      <c r="B67" s="42"/>
      <c r="C67" s="42" t="b">
        <f>_xlfn.XLOOKUP(Table61011[[#This Row],[Category No]],Table8[Category No],Table8[Chapter List],FALSE)</f>
        <v>0</v>
      </c>
      <c r="D67" s="42"/>
      <c r="E67" s="43"/>
    </row>
    <row r="68" spans="1:5" x14ac:dyDescent="0.3">
      <c r="A68" s="42">
        <v>67</v>
      </c>
      <c r="B68" s="42"/>
      <c r="C68" s="42" t="b">
        <f>_xlfn.XLOOKUP(Table61011[[#This Row],[Category No]],Table8[Category No],Table8[Chapter List],FALSE)</f>
        <v>0</v>
      </c>
      <c r="D68" s="42"/>
      <c r="E68" s="43"/>
    </row>
    <row r="69" spans="1:5" x14ac:dyDescent="0.3">
      <c r="A69" s="42">
        <v>68</v>
      </c>
      <c r="B69" s="42"/>
      <c r="C69" s="42" t="b">
        <f>_xlfn.XLOOKUP(Table61011[[#This Row],[Category No]],Table8[Category No],Table8[Chapter List],FALSE)</f>
        <v>0</v>
      </c>
      <c r="D69" s="42"/>
      <c r="E69" s="43"/>
    </row>
    <row r="70" spans="1:5" x14ac:dyDescent="0.3">
      <c r="A70" s="42">
        <v>69</v>
      </c>
      <c r="B70" s="42"/>
      <c r="C70" s="42" t="b">
        <f>_xlfn.XLOOKUP(Table61011[[#This Row],[Category No]],Table8[Category No],Table8[Chapter List],FALSE)</f>
        <v>0</v>
      </c>
      <c r="D70" s="42"/>
      <c r="E70" s="43"/>
    </row>
    <row r="71" spans="1:5" x14ac:dyDescent="0.3">
      <c r="A71" s="42">
        <v>70</v>
      </c>
      <c r="B71" s="42"/>
      <c r="C71" s="42" t="b">
        <f>_xlfn.XLOOKUP(Table61011[[#This Row],[Category No]],Table8[Category No],Table8[Chapter List],FALSE)</f>
        <v>0</v>
      </c>
      <c r="D71" s="42"/>
      <c r="E71" s="43"/>
    </row>
    <row r="72" spans="1:5" x14ac:dyDescent="0.3">
      <c r="A72" s="42">
        <v>71</v>
      </c>
      <c r="B72" s="42"/>
      <c r="C72" s="42" t="b">
        <f>_xlfn.XLOOKUP(Table61011[[#This Row],[Category No]],Table8[Category No],Table8[Chapter List],FALSE)</f>
        <v>0</v>
      </c>
      <c r="D72" s="42"/>
      <c r="E72" s="43"/>
    </row>
    <row r="73" spans="1:5" x14ac:dyDescent="0.3">
      <c r="A73" s="42">
        <v>72</v>
      </c>
      <c r="B73" s="42"/>
      <c r="C73" s="42" t="b">
        <f>_xlfn.XLOOKUP(Table61011[[#This Row],[Category No]],Table8[Category No],Table8[Chapter List],FALSE)</f>
        <v>0</v>
      </c>
      <c r="D73" s="42"/>
      <c r="E73" s="43"/>
    </row>
    <row r="74" spans="1:5" x14ac:dyDescent="0.3">
      <c r="A74" s="42">
        <v>73</v>
      </c>
      <c r="B74" s="42"/>
      <c r="C74" s="42" t="b">
        <f>_xlfn.XLOOKUP(Table61011[[#This Row],[Category No]],Table8[Category No],Table8[Chapter List],FALSE)</f>
        <v>0</v>
      </c>
      <c r="D74" s="42"/>
      <c r="E74" s="43"/>
    </row>
    <row r="75" spans="1:5" x14ac:dyDescent="0.3">
      <c r="A75" s="42">
        <v>74</v>
      </c>
      <c r="B75" s="42"/>
      <c r="C75" s="42" t="b">
        <f>_xlfn.XLOOKUP(Table61011[[#This Row],[Category No]],Table8[Category No],Table8[Chapter List],FALSE)</f>
        <v>0</v>
      </c>
      <c r="D75" s="42"/>
      <c r="E75" s="43"/>
    </row>
    <row r="76" spans="1:5" x14ac:dyDescent="0.3">
      <c r="A76" s="42">
        <v>75</v>
      </c>
      <c r="B76" s="42"/>
      <c r="C76" s="42" t="b">
        <f>_xlfn.XLOOKUP(Table61011[[#This Row],[Category No]],Table8[Category No],Table8[Chapter List],FALSE)</f>
        <v>0</v>
      </c>
      <c r="D76" s="42"/>
      <c r="E76" s="43"/>
    </row>
    <row r="77" spans="1:5" x14ac:dyDescent="0.3">
      <c r="A77" s="42">
        <v>76</v>
      </c>
      <c r="B77" s="42"/>
      <c r="C77" s="42" t="b">
        <f>_xlfn.XLOOKUP(Table61011[[#This Row],[Category No]],Table8[Category No],Table8[Chapter List],FALSE)</f>
        <v>0</v>
      </c>
      <c r="D77" s="42"/>
      <c r="E77" s="43"/>
    </row>
    <row r="78" spans="1:5" x14ac:dyDescent="0.3">
      <c r="A78" s="42">
        <v>77</v>
      </c>
      <c r="B78" s="42"/>
      <c r="C78" s="42" t="b">
        <f>_xlfn.XLOOKUP(Table61011[[#This Row],[Category No]],Table8[Category No],Table8[Chapter List],FALSE)</f>
        <v>0</v>
      </c>
      <c r="D78" s="42"/>
      <c r="E78" s="43"/>
    </row>
    <row r="79" spans="1:5" x14ac:dyDescent="0.3">
      <c r="A79" s="42">
        <v>78</v>
      </c>
      <c r="B79" s="42"/>
      <c r="C79" s="42" t="b">
        <f>_xlfn.XLOOKUP(Table61011[[#This Row],[Category No]],Table8[Category No],Table8[Chapter List],FALSE)</f>
        <v>0</v>
      </c>
      <c r="D79" s="42"/>
      <c r="E79" s="43"/>
    </row>
    <row r="80" spans="1:5" x14ac:dyDescent="0.3">
      <c r="A80" s="42">
        <v>79</v>
      </c>
      <c r="B80" s="42"/>
      <c r="C80" s="42" t="b">
        <f>_xlfn.XLOOKUP(Table61011[[#This Row],[Category No]],Table8[Category No],Table8[Chapter List],FALSE)</f>
        <v>0</v>
      </c>
      <c r="D80" s="42"/>
      <c r="E80" s="43"/>
    </row>
    <row r="81" spans="1:5" x14ac:dyDescent="0.3">
      <c r="A81" s="42">
        <v>80</v>
      </c>
      <c r="B81" s="42"/>
      <c r="C81" s="42" t="b">
        <f>_xlfn.XLOOKUP(Table61011[[#This Row],[Category No]],Table8[Category No],Table8[Chapter List],FALSE)</f>
        <v>0</v>
      </c>
      <c r="D81" s="42"/>
      <c r="E81" s="43"/>
    </row>
    <row r="82" spans="1:5" x14ac:dyDescent="0.3">
      <c r="A82" s="42">
        <v>81</v>
      </c>
      <c r="B82" s="42"/>
      <c r="C82" s="42" t="b">
        <f>_xlfn.XLOOKUP(Table61011[[#This Row],[Category No]],Table8[Category No],Table8[Chapter List],FALSE)</f>
        <v>0</v>
      </c>
      <c r="D82" s="42"/>
      <c r="E82" s="43"/>
    </row>
    <row r="83" spans="1:5" x14ac:dyDescent="0.3">
      <c r="A83" s="42">
        <v>82</v>
      </c>
      <c r="B83" s="42"/>
      <c r="C83" s="42" t="b">
        <f>_xlfn.XLOOKUP(Table61011[[#This Row],[Category No]],Table8[Category No],Table8[Chapter List],FALSE)</f>
        <v>0</v>
      </c>
      <c r="D83" s="42"/>
      <c r="E83" s="43"/>
    </row>
    <row r="84" spans="1:5" x14ac:dyDescent="0.3">
      <c r="A84" s="42">
        <v>83</v>
      </c>
      <c r="B84" s="42"/>
      <c r="C84" s="42" t="b">
        <f>_xlfn.XLOOKUP(Table61011[[#This Row],[Category No]],Table8[Category No],Table8[Chapter List],FALSE)</f>
        <v>0</v>
      </c>
      <c r="D84" s="42"/>
      <c r="E84" s="43"/>
    </row>
    <row r="85" spans="1:5" x14ac:dyDescent="0.3">
      <c r="A85" s="42">
        <v>84</v>
      </c>
      <c r="B85" s="42"/>
      <c r="C85" s="42" t="b">
        <f>_xlfn.XLOOKUP(Table61011[[#This Row],[Category No]],Table8[Category No],Table8[Chapter List],FALSE)</f>
        <v>0</v>
      </c>
      <c r="D85" s="42"/>
      <c r="E85" s="43"/>
    </row>
    <row r="86" spans="1:5" x14ac:dyDescent="0.3">
      <c r="A86" s="42">
        <v>85</v>
      </c>
      <c r="B86" s="42"/>
      <c r="C86" s="42" t="b">
        <f>_xlfn.XLOOKUP(Table61011[[#This Row],[Category No]],Table8[Category No],Table8[Chapter List],FALSE)</f>
        <v>0</v>
      </c>
      <c r="D86" s="42"/>
      <c r="E86" s="43"/>
    </row>
    <row r="87" spans="1:5" x14ac:dyDescent="0.3">
      <c r="A87" s="42">
        <v>86</v>
      </c>
      <c r="B87" s="42"/>
      <c r="C87" s="42" t="b">
        <f>_xlfn.XLOOKUP(Table61011[[#This Row],[Category No]],Table8[Category No],Table8[Chapter List],FALSE)</f>
        <v>0</v>
      </c>
      <c r="D87" s="42"/>
      <c r="E87" s="43"/>
    </row>
    <row r="88" spans="1:5" x14ac:dyDescent="0.3">
      <c r="A88" s="42">
        <v>87</v>
      </c>
      <c r="B88" s="42"/>
      <c r="C88" s="42" t="b">
        <f>_xlfn.XLOOKUP(Table61011[[#This Row],[Category No]],Table8[Category No],Table8[Chapter List],FALSE)</f>
        <v>0</v>
      </c>
      <c r="D88" s="42"/>
      <c r="E88" s="43"/>
    </row>
    <row r="89" spans="1:5" x14ac:dyDescent="0.3">
      <c r="A89" s="42">
        <v>88</v>
      </c>
      <c r="B89" s="42"/>
      <c r="C89" s="42" t="b">
        <f>_xlfn.XLOOKUP(Table61011[[#This Row],[Category No]],Table8[Category No],Table8[Chapter List],FALSE)</f>
        <v>0</v>
      </c>
      <c r="D89" s="42"/>
      <c r="E89" s="43"/>
    </row>
    <row r="90" spans="1:5" x14ac:dyDescent="0.3">
      <c r="A90" s="42">
        <v>89</v>
      </c>
      <c r="B90" s="42"/>
      <c r="C90" s="42" t="b">
        <f>_xlfn.XLOOKUP(Table61011[[#This Row],[Category No]],Table8[Category No],Table8[Chapter List],FALSE)</f>
        <v>0</v>
      </c>
      <c r="D90" s="42"/>
      <c r="E90" s="43"/>
    </row>
    <row r="91" spans="1:5" x14ac:dyDescent="0.3">
      <c r="A91" s="42">
        <v>90</v>
      </c>
      <c r="B91" s="42"/>
      <c r="C91" s="42" t="b">
        <f>_xlfn.XLOOKUP(Table61011[[#This Row],[Category No]],Table8[Category No],Table8[Chapter List],FALSE)</f>
        <v>0</v>
      </c>
      <c r="D91" s="42"/>
      <c r="E91" s="43"/>
    </row>
    <row r="92" spans="1:5" x14ac:dyDescent="0.3">
      <c r="A92" s="42">
        <v>91</v>
      </c>
      <c r="B92" s="42"/>
      <c r="C92" s="42" t="b">
        <f>_xlfn.XLOOKUP(Table61011[[#This Row],[Category No]],Table8[Category No],Table8[Chapter List],FALSE)</f>
        <v>0</v>
      </c>
      <c r="D92" s="42"/>
      <c r="E92" s="43"/>
    </row>
    <row r="93" spans="1:5" x14ac:dyDescent="0.3">
      <c r="A93" s="42">
        <v>92</v>
      </c>
      <c r="B93" s="42"/>
      <c r="C93" s="42" t="b">
        <f>_xlfn.XLOOKUP(Table61011[[#This Row],[Category No]],Table8[Category No],Table8[Chapter List],FALSE)</f>
        <v>0</v>
      </c>
      <c r="D93" s="42"/>
      <c r="E93" s="43"/>
    </row>
    <row r="94" spans="1:5" x14ac:dyDescent="0.3">
      <c r="A94" s="42">
        <v>93</v>
      </c>
      <c r="B94" s="42"/>
      <c r="C94" s="42" t="b">
        <f>_xlfn.XLOOKUP(Table61011[[#This Row],[Category No]],Table8[Category No],Table8[Chapter List],FALSE)</f>
        <v>0</v>
      </c>
      <c r="D94" s="42"/>
      <c r="E94" s="43"/>
    </row>
    <row r="95" spans="1:5" x14ac:dyDescent="0.3">
      <c r="A95" s="42">
        <v>94</v>
      </c>
      <c r="B95" s="42"/>
      <c r="C95" s="42" t="b">
        <f>_xlfn.XLOOKUP(Table61011[[#This Row],[Category No]],Table8[Category No],Table8[Chapter List],FALSE)</f>
        <v>0</v>
      </c>
      <c r="D95" s="42"/>
      <c r="E95" s="43"/>
    </row>
    <row r="96" spans="1:5" x14ac:dyDescent="0.3">
      <c r="A96" s="42">
        <v>95</v>
      </c>
      <c r="B96" s="42"/>
      <c r="C96" s="42" t="b">
        <f>_xlfn.XLOOKUP(Table61011[[#This Row],[Category No]],Table8[Category No],Table8[Chapter List],FALSE)</f>
        <v>0</v>
      </c>
      <c r="D96" s="42"/>
      <c r="E96" s="43"/>
    </row>
    <row r="97" spans="1:5" x14ac:dyDescent="0.3">
      <c r="A97" s="42">
        <v>96</v>
      </c>
      <c r="B97" s="42"/>
      <c r="C97" s="42" t="b">
        <f>_xlfn.XLOOKUP(Table61011[[#This Row],[Category No]],Table8[Category No],Table8[Chapter List],FALSE)</f>
        <v>0</v>
      </c>
      <c r="D97" s="42"/>
      <c r="E97" s="43"/>
    </row>
    <row r="98" spans="1:5" x14ac:dyDescent="0.3">
      <c r="A98" s="42">
        <v>97</v>
      </c>
      <c r="B98" s="42"/>
      <c r="C98" s="42" t="b">
        <f>_xlfn.XLOOKUP(Table61011[[#This Row],[Category No]],Table8[Category No],Table8[Chapter List],FALSE)</f>
        <v>0</v>
      </c>
      <c r="D98" s="42"/>
      <c r="E98" s="43"/>
    </row>
    <row r="99" spans="1:5" x14ac:dyDescent="0.3">
      <c r="A99" s="42">
        <v>98</v>
      </c>
      <c r="B99" s="42"/>
      <c r="C99" s="42" t="b">
        <f>_xlfn.XLOOKUP(Table61011[[#This Row],[Category No]],Table8[Category No],Table8[Chapter List],FALSE)</f>
        <v>0</v>
      </c>
      <c r="D99" s="42"/>
      <c r="E99" s="43"/>
    </row>
    <row r="100" spans="1:5" x14ac:dyDescent="0.3">
      <c r="A100" s="42">
        <v>99</v>
      </c>
      <c r="B100" s="42"/>
      <c r="C100" s="42" t="b">
        <f>_xlfn.XLOOKUP(Table61011[[#This Row],[Category No]],Table8[Category No],Table8[Chapter List],FALSE)</f>
        <v>0</v>
      </c>
      <c r="D100" s="42"/>
      <c r="E100" s="43"/>
    </row>
    <row r="101" spans="1:5" x14ac:dyDescent="0.3">
      <c r="A101" s="42">
        <v>100</v>
      </c>
      <c r="B101" s="42"/>
      <c r="C101" s="42" t="b">
        <f>_xlfn.XLOOKUP(Table61011[[#This Row],[Category No]],Table8[Category No],Table8[Chapter List],FALSE)</f>
        <v>0</v>
      </c>
      <c r="D101" s="42"/>
      <c r="E101" s="43"/>
    </row>
    <row r="102" spans="1:5" x14ac:dyDescent="0.3">
      <c r="A102" s="42">
        <v>101</v>
      </c>
      <c r="B102" s="42"/>
      <c r="C102" s="42" t="b">
        <f>_xlfn.XLOOKUP(Table61011[[#This Row],[Category No]],Table8[Category No],Table8[Chapter List],FALSE)</f>
        <v>0</v>
      </c>
      <c r="D102" s="42"/>
      <c r="E102" s="43"/>
    </row>
    <row r="103" spans="1:5" x14ac:dyDescent="0.3">
      <c r="A103" s="42">
        <v>102</v>
      </c>
      <c r="B103" s="42"/>
      <c r="C103" s="42" t="b">
        <f>_xlfn.XLOOKUP(Table61011[[#This Row],[Category No]],Table8[Category No],Table8[Chapter List],FALSE)</f>
        <v>0</v>
      </c>
      <c r="D103" s="42"/>
      <c r="E103" s="43"/>
    </row>
    <row r="104" spans="1:5" x14ac:dyDescent="0.3">
      <c r="A104" s="42">
        <v>103</v>
      </c>
      <c r="B104" s="42"/>
      <c r="C104" s="42" t="b">
        <f>_xlfn.XLOOKUP(Table61011[[#This Row],[Category No]],Table8[Category No],Table8[Chapter List],FALSE)</f>
        <v>0</v>
      </c>
      <c r="D104" s="42"/>
      <c r="E104" s="43"/>
    </row>
    <row r="105" spans="1:5" x14ac:dyDescent="0.3">
      <c r="A105" s="42">
        <v>104</v>
      </c>
      <c r="B105" s="42"/>
      <c r="C105" s="42" t="b">
        <f>_xlfn.XLOOKUP(Table61011[[#This Row],[Category No]],Table8[Category No],Table8[Chapter List],FALSE)</f>
        <v>0</v>
      </c>
      <c r="D105" s="42"/>
      <c r="E105" s="43"/>
    </row>
    <row r="106" spans="1:5" x14ac:dyDescent="0.3">
      <c r="A106" s="42">
        <v>105</v>
      </c>
      <c r="B106" s="42"/>
      <c r="C106" s="42" t="b">
        <f>_xlfn.XLOOKUP(Table61011[[#This Row],[Category No]],Table8[Category No],Table8[Chapter List],FALSE)</f>
        <v>0</v>
      </c>
      <c r="D106" s="42"/>
      <c r="E106" s="43"/>
    </row>
    <row r="107" spans="1:5" x14ac:dyDescent="0.3">
      <c r="A107" s="42">
        <v>106</v>
      </c>
      <c r="B107" s="42"/>
      <c r="C107" s="42" t="b">
        <f>_xlfn.XLOOKUP(Table61011[[#This Row],[Category No]],Table8[Category No],Table8[Chapter List],FALSE)</f>
        <v>0</v>
      </c>
      <c r="D107" s="42"/>
      <c r="E107" s="43"/>
    </row>
    <row r="108" spans="1:5" x14ac:dyDescent="0.3">
      <c r="A108" s="42">
        <v>107</v>
      </c>
      <c r="B108" s="42"/>
      <c r="C108" s="42" t="b">
        <f>_xlfn.XLOOKUP(Table61011[[#This Row],[Category No]],Table8[Category No],Table8[Chapter List],FALSE)</f>
        <v>0</v>
      </c>
      <c r="D108" s="42"/>
      <c r="E108" s="43"/>
    </row>
    <row r="109" spans="1:5" x14ac:dyDescent="0.3">
      <c r="A109" s="42">
        <v>108</v>
      </c>
      <c r="B109" s="42"/>
      <c r="C109" s="42" t="b">
        <f>_xlfn.XLOOKUP(Table61011[[#This Row],[Category No]],Table8[Category No],Table8[Chapter List],FALSE)</f>
        <v>0</v>
      </c>
      <c r="D109" s="42"/>
      <c r="E109" s="43"/>
    </row>
    <row r="110" spans="1:5" x14ac:dyDescent="0.3">
      <c r="A110" s="42">
        <v>109</v>
      </c>
      <c r="B110" s="42"/>
      <c r="C110" s="42" t="b">
        <f>_xlfn.XLOOKUP(Table61011[[#This Row],[Category No]],Table8[Category No],Table8[Chapter List],FALSE)</f>
        <v>0</v>
      </c>
      <c r="D110" s="42"/>
      <c r="E110" s="43"/>
    </row>
    <row r="111" spans="1:5" x14ac:dyDescent="0.3">
      <c r="A111" s="42">
        <v>110</v>
      </c>
      <c r="B111" s="42"/>
      <c r="C111" s="42" t="b">
        <f>_xlfn.XLOOKUP(Table61011[[#This Row],[Category No]],Table8[Category No],Table8[Chapter List],FALSE)</f>
        <v>0</v>
      </c>
      <c r="D111" s="42"/>
      <c r="E111" s="43"/>
    </row>
    <row r="112" spans="1:5" x14ac:dyDescent="0.3">
      <c r="A112" s="42">
        <v>111</v>
      </c>
      <c r="B112" s="42"/>
      <c r="C112" s="42" t="b">
        <f>_xlfn.XLOOKUP(Table61011[[#This Row],[Category No]],Table8[Category No],Table8[Chapter List],FALSE)</f>
        <v>0</v>
      </c>
      <c r="D112" s="42"/>
      <c r="E112" s="43"/>
    </row>
    <row r="113" spans="1:5" x14ac:dyDescent="0.3">
      <c r="A113" s="42">
        <v>112</v>
      </c>
      <c r="B113" s="42"/>
      <c r="C113" s="42" t="b">
        <f>_xlfn.XLOOKUP(Table61011[[#This Row],[Category No]],Table8[Category No],Table8[Chapter List],FALSE)</f>
        <v>0</v>
      </c>
      <c r="D113" s="42"/>
      <c r="E113" s="43"/>
    </row>
    <row r="114" spans="1:5" x14ac:dyDescent="0.3">
      <c r="A114" s="42">
        <v>113</v>
      </c>
      <c r="B114" s="42"/>
      <c r="C114" s="42" t="b">
        <f>_xlfn.XLOOKUP(Table61011[[#This Row],[Category No]],Table8[Category No],Table8[Chapter List],FALSE)</f>
        <v>0</v>
      </c>
      <c r="D114" s="42"/>
      <c r="E114" s="43"/>
    </row>
    <row r="115" spans="1:5" x14ac:dyDescent="0.3">
      <c r="A115" s="42">
        <v>114</v>
      </c>
      <c r="B115" s="42"/>
      <c r="C115" s="42" t="b">
        <f>_xlfn.XLOOKUP(Table61011[[#This Row],[Category No]],Table8[Category No],Table8[Chapter List],FALSE)</f>
        <v>0</v>
      </c>
      <c r="D115" s="42"/>
      <c r="E115" s="43"/>
    </row>
    <row r="116" spans="1:5" x14ac:dyDescent="0.3">
      <c r="A116" s="42">
        <v>115</v>
      </c>
      <c r="B116" s="42"/>
      <c r="C116" s="42" t="b">
        <f>_xlfn.XLOOKUP(Table61011[[#This Row],[Category No]],Table8[Category No],Table8[Chapter List],FALSE)</f>
        <v>0</v>
      </c>
      <c r="D116" s="42"/>
      <c r="E116" s="43"/>
    </row>
    <row r="117" spans="1:5" x14ac:dyDescent="0.3">
      <c r="A117" s="42">
        <v>116</v>
      </c>
      <c r="B117" s="42"/>
      <c r="C117" s="42" t="b">
        <f>_xlfn.XLOOKUP(Table61011[[#This Row],[Category No]],Table8[Category No],Table8[Chapter List],FALSE)</f>
        <v>0</v>
      </c>
      <c r="D117" s="42"/>
      <c r="E117" s="43"/>
    </row>
    <row r="118" spans="1:5" x14ac:dyDescent="0.3">
      <c r="A118" s="42">
        <v>117</v>
      </c>
      <c r="B118" s="42"/>
      <c r="C118" s="42" t="b">
        <f>_xlfn.XLOOKUP(Table61011[[#This Row],[Category No]],Table8[Category No],Table8[Chapter List],FALSE)</f>
        <v>0</v>
      </c>
      <c r="D118" s="42"/>
      <c r="E118" s="43"/>
    </row>
    <row r="119" spans="1:5" x14ac:dyDescent="0.3">
      <c r="A119" s="42">
        <v>118</v>
      </c>
      <c r="B119" s="42"/>
      <c r="C119" s="42" t="b">
        <f>_xlfn.XLOOKUP(Table61011[[#This Row],[Category No]],Table8[Category No],Table8[Chapter List],FALSE)</f>
        <v>0</v>
      </c>
      <c r="D119" s="42"/>
      <c r="E119" s="43"/>
    </row>
    <row r="120" spans="1:5" x14ac:dyDescent="0.3">
      <c r="A120" s="42">
        <v>119</v>
      </c>
      <c r="B120" s="42"/>
      <c r="C120" s="42" t="b">
        <f>_xlfn.XLOOKUP(Table61011[[#This Row],[Category No]],Table8[Category No],Table8[Chapter List],FALSE)</f>
        <v>0</v>
      </c>
      <c r="D120" s="42"/>
      <c r="E120" s="43"/>
    </row>
    <row r="121" spans="1:5" x14ac:dyDescent="0.3">
      <c r="A121" s="42">
        <v>120</v>
      </c>
      <c r="B121" s="42"/>
      <c r="C121" s="42" t="b">
        <f>_xlfn.XLOOKUP(Table61011[[#This Row],[Category No]],Table8[Category No],Table8[Chapter List],FALSE)</f>
        <v>0</v>
      </c>
      <c r="D121" s="42"/>
      <c r="E121" s="43"/>
    </row>
    <row r="122" spans="1:5" x14ac:dyDescent="0.3">
      <c r="A122" s="42">
        <v>121</v>
      </c>
      <c r="B122" s="42"/>
      <c r="C122" s="42" t="b">
        <f>_xlfn.XLOOKUP(Table61011[[#This Row],[Category No]],Table8[Category No],Table8[Chapter List],FALSE)</f>
        <v>0</v>
      </c>
      <c r="D122" s="42"/>
      <c r="E122" s="43"/>
    </row>
    <row r="123" spans="1:5" x14ac:dyDescent="0.3">
      <c r="A123" s="42">
        <v>122</v>
      </c>
      <c r="B123" s="42"/>
      <c r="C123" s="42" t="b">
        <f>_xlfn.XLOOKUP(Table61011[[#This Row],[Category No]],Table8[Category No],Table8[Chapter List],FALSE)</f>
        <v>0</v>
      </c>
      <c r="D123" s="42"/>
      <c r="E123" s="43"/>
    </row>
    <row r="124" spans="1:5" x14ac:dyDescent="0.3">
      <c r="A124" s="42">
        <v>123</v>
      </c>
      <c r="B124" s="42"/>
      <c r="C124" s="42" t="b">
        <f>_xlfn.XLOOKUP(Table61011[[#This Row],[Category No]],Table8[Category No],Table8[Chapter List],FALSE)</f>
        <v>0</v>
      </c>
      <c r="D124" s="42"/>
      <c r="E124" s="43"/>
    </row>
    <row r="125" spans="1:5" x14ac:dyDescent="0.3">
      <c r="A125" s="42">
        <v>124</v>
      </c>
      <c r="B125" s="42"/>
      <c r="C125" s="42" t="b">
        <f>_xlfn.XLOOKUP(Table61011[[#This Row],[Category No]],Table8[Category No],Table8[Chapter List],FALSE)</f>
        <v>0</v>
      </c>
      <c r="D125" s="42"/>
      <c r="E125" s="43"/>
    </row>
    <row r="126" spans="1:5" x14ac:dyDescent="0.3">
      <c r="A126" s="42">
        <v>125</v>
      </c>
      <c r="B126" s="42"/>
      <c r="C126" s="42" t="b">
        <f>_xlfn.XLOOKUP(Table61011[[#This Row],[Category No]],Table8[Category No],Table8[Chapter List],FALSE)</f>
        <v>0</v>
      </c>
      <c r="D126" s="42"/>
      <c r="E126" s="43"/>
    </row>
    <row r="127" spans="1:5" x14ac:dyDescent="0.3">
      <c r="A127" s="42">
        <v>126</v>
      </c>
      <c r="B127" s="42"/>
      <c r="C127" s="42" t="b">
        <f>_xlfn.XLOOKUP(Table61011[[#This Row],[Category No]],Table8[Category No],Table8[Chapter List],FALSE)</f>
        <v>0</v>
      </c>
      <c r="D127" s="42"/>
      <c r="E127" s="43"/>
    </row>
    <row r="128" spans="1:5" x14ac:dyDescent="0.3">
      <c r="A128" s="42">
        <v>127</v>
      </c>
      <c r="B128" s="42"/>
      <c r="C128" s="42" t="b">
        <f>_xlfn.XLOOKUP(Table61011[[#This Row],[Category No]],Table8[Category No],Table8[Chapter List],FALSE)</f>
        <v>0</v>
      </c>
      <c r="D128" s="42"/>
      <c r="E128" s="43"/>
    </row>
    <row r="129" spans="1:5" x14ac:dyDescent="0.3">
      <c r="A129" s="42">
        <v>128</v>
      </c>
      <c r="B129" s="42"/>
      <c r="C129" s="42" t="b">
        <f>_xlfn.XLOOKUP(Table61011[[#This Row],[Category No]],Table8[Category No],Table8[Chapter List],FALSE)</f>
        <v>0</v>
      </c>
      <c r="D129" s="42"/>
      <c r="E129" s="43"/>
    </row>
    <row r="130" spans="1:5" x14ac:dyDescent="0.3">
      <c r="A130" s="42">
        <v>129</v>
      </c>
      <c r="B130" s="42"/>
      <c r="C130" s="42" t="b">
        <f>_xlfn.XLOOKUP(Table61011[[#This Row],[Category No]],Table8[Category No],Table8[Chapter List],FALSE)</f>
        <v>0</v>
      </c>
      <c r="D130" s="42"/>
      <c r="E130" s="43"/>
    </row>
    <row r="131" spans="1:5" x14ac:dyDescent="0.3">
      <c r="A131" s="42">
        <v>130</v>
      </c>
      <c r="B131" s="42"/>
      <c r="C131" s="42" t="b">
        <f>_xlfn.XLOOKUP(Table61011[[#This Row],[Category No]],Table8[Category No],Table8[Chapter List],FALSE)</f>
        <v>0</v>
      </c>
      <c r="D131" s="42"/>
      <c r="E131" s="43"/>
    </row>
    <row r="132" spans="1:5" x14ac:dyDescent="0.3">
      <c r="A132" s="42">
        <v>131</v>
      </c>
      <c r="B132" s="42"/>
      <c r="C132" s="42" t="b">
        <f>_xlfn.XLOOKUP(Table61011[[#This Row],[Category No]],Table8[Category No],Table8[Chapter List],FALSE)</f>
        <v>0</v>
      </c>
      <c r="D132" s="42"/>
      <c r="E132" s="43"/>
    </row>
    <row r="133" spans="1:5" x14ac:dyDescent="0.3">
      <c r="A133" s="42">
        <v>132</v>
      </c>
      <c r="B133" s="42"/>
      <c r="C133" s="42" t="b">
        <f>_xlfn.XLOOKUP(Table61011[[#This Row],[Category No]],Table8[Category No],Table8[Chapter List],FALSE)</f>
        <v>0</v>
      </c>
      <c r="D133" s="42"/>
      <c r="E133" s="43"/>
    </row>
    <row r="134" spans="1:5" x14ac:dyDescent="0.3">
      <c r="A134" s="42">
        <v>133</v>
      </c>
      <c r="B134" s="42"/>
      <c r="C134" s="42" t="b">
        <f>_xlfn.XLOOKUP(Table61011[[#This Row],[Category No]],Table8[Category No],Table8[Chapter List],FALSE)</f>
        <v>0</v>
      </c>
      <c r="D134" s="42"/>
      <c r="E134" s="43"/>
    </row>
    <row r="135" spans="1:5" x14ac:dyDescent="0.3">
      <c r="A135" s="42">
        <v>134</v>
      </c>
      <c r="B135" s="42"/>
      <c r="C135" s="42" t="b">
        <f>_xlfn.XLOOKUP(Table61011[[#This Row],[Category No]],Table8[Category No],Table8[Chapter List],FALSE)</f>
        <v>0</v>
      </c>
      <c r="D135" s="42"/>
      <c r="E135" s="43"/>
    </row>
    <row r="136" spans="1:5" x14ac:dyDescent="0.3">
      <c r="A136" s="42">
        <v>135</v>
      </c>
      <c r="B136" s="42"/>
      <c r="C136" s="42" t="b">
        <f>_xlfn.XLOOKUP(Table61011[[#This Row],[Category No]],Table8[Category No],Table8[Chapter List],FALSE)</f>
        <v>0</v>
      </c>
      <c r="D136" s="42"/>
      <c r="E136" s="43"/>
    </row>
    <row r="137" spans="1:5" x14ac:dyDescent="0.3">
      <c r="A137" s="42">
        <v>136</v>
      </c>
      <c r="B137" s="42"/>
      <c r="C137" s="42" t="b">
        <f>_xlfn.XLOOKUP(Table61011[[#This Row],[Category No]],Table8[Category No],Table8[Chapter List],FALSE)</f>
        <v>0</v>
      </c>
      <c r="D137" s="42"/>
      <c r="E137" s="43"/>
    </row>
    <row r="138" spans="1:5" x14ac:dyDescent="0.3">
      <c r="A138" s="42">
        <v>137</v>
      </c>
      <c r="B138" s="42"/>
      <c r="C138" s="42" t="b">
        <f>_xlfn.XLOOKUP(Table61011[[#This Row],[Category No]],Table8[Category No],Table8[Chapter List],FALSE)</f>
        <v>0</v>
      </c>
      <c r="D138" s="42"/>
      <c r="E138" s="43"/>
    </row>
    <row r="139" spans="1:5" x14ac:dyDescent="0.3">
      <c r="A139" s="42">
        <v>138</v>
      </c>
      <c r="B139" s="42"/>
      <c r="C139" s="42" t="b">
        <f>_xlfn.XLOOKUP(Table61011[[#This Row],[Category No]],Table8[Category No],Table8[Chapter List],FALSE)</f>
        <v>0</v>
      </c>
      <c r="D139" s="42"/>
      <c r="E139" s="43"/>
    </row>
    <row r="140" spans="1:5" x14ac:dyDescent="0.3">
      <c r="A140" s="42">
        <v>139</v>
      </c>
      <c r="B140" s="42"/>
      <c r="C140" s="42" t="b">
        <f>_xlfn.XLOOKUP(Table61011[[#This Row],[Category No]],Table8[Category No],Table8[Chapter List],FALSE)</f>
        <v>0</v>
      </c>
      <c r="D140" s="42"/>
      <c r="E140" s="43"/>
    </row>
    <row r="141" spans="1:5" x14ac:dyDescent="0.3">
      <c r="A141" s="42">
        <v>140</v>
      </c>
      <c r="B141" s="42"/>
      <c r="C141" s="42" t="b">
        <f>_xlfn.XLOOKUP(Table61011[[#This Row],[Category No]],Table8[Category No],Table8[Chapter List],FALSE)</f>
        <v>0</v>
      </c>
      <c r="D141" s="42"/>
      <c r="E141" s="43"/>
    </row>
    <row r="142" spans="1:5" x14ac:dyDescent="0.3">
      <c r="A142" s="42">
        <v>141</v>
      </c>
      <c r="B142" s="42"/>
      <c r="C142" s="42" t="b">
        <f>_xlfn.XLOOKUP(Table61011[[#This Row],[Category No]],Table8[Category No],Table8[Chapter List],FALSE)</f>
        <v>0</v>
      </c>
      <c r="D142" s="42"/>
      <c r="E142" s="43"/>
    </row>
    <row r="143" spans="1:5" x14ac:dyDescent="0.3">
      <c r="A143" s="42">
        <v>142</v>
      </c>
      <c r="B143" s="42"/>
      <c r="C143" s="42" t="b">
        <f>_xlfn.XLOOKUP(Table61011[[#This Row],[Category No]],Table8[Category No],Table8[Chapter List],FALSE)</f>
        <v>0</v>
      </c>
      <c r="D143" s="42"/>
      <c r="E143" s="43"/>
    </row>
    <row r="144" spans="1:5" x14ac:dyDescent="0.3">
      <c r="A144" s="42">
        <v>143</v>
      </c>
      <c r="B144" s="42"/>
      <c r="C144" s="42" t="b">
        <f>_xlfn.XLOOKUP(Table61011[[#This Row],[Category No]],Table8[Category No],Table8[Chapter List],FALSE)</f>
        <v>0</v>
      </c>
      <c r="D144" s="42"/>
      <c r="E144" s="43"/>
    </row>
    <row r="145" spans="1:5" x14ac:dyDescent="0.3">
      <c r="A145" s="42">
        <v>144</v>
      </c>
      <c r="B145" s="42"/>
      <c r="C145" s="42" t="b">
        <f>_xlfn.XLOOKUP(Table61011[[#This Row],[Category No]],Table8[Category No],Table8[Chapter List],FALSE)</f>
        <v>0</v>
      </c>
      <c r="D145" s="42"/>
      <c r="E145" s="43"/>
    </row>
    <row r="146" spans="1:5" x14ac:dyDescent="0.3">
      <c r="A146" s="42">
        <v>145</v>
      </c>
      <c r="B146" s="42"/>
      <c r="C146" s="42" t="b">
        <f>_xlfn.XLOOKUP(Table61011[[#This Row],[Category No]],Table8[Category No],Table8[Chapter List],FALSE)</f>
        <v>0</v>
      </c>
      <c r="D146" s="42"/>
      <c r="E146" s="43"/>
    </row>
    <row r="147" spans="1:5" x14ac:dyDescent="0.3">
      <c r="A147" s="42">
        <v>146</v>
      </c>
      <c r="B147" s="42"/>
      <c r="C147" s="42" t="b">
        <f>_xlfn.XLOOKUP(Table61011[[#This Row],[Category No]],Table8[Category No],Table8[Chapter List],FALSE)</f>
        <v>0</v>
      </c>
      <c r="D147" s="42"/>
      <c r="E147" s="43"/>
    </row>
    <row r="148" spans="1:5" x14ac:dyDescent="0.3">
      <c r="A148" s="42">
        <v>147</v>
      </c>
      <c r="B148" s="42"/>
      <c r="C148" s="42" t="b">
        <f>_xlfn.XLOOKUP(Table61011[[#This Row],[Category No]],Table8[Category No],Table8[Chapter List],FALSE)</f>
        <v>0</v>
      </c>
      <c r="D148" s="42"/>
      <c r="E148" s="43"/>
    </row>
    <row r="149" spans="1:5" x14ac:dyDescent="0.3">
      <c r="A149" s="42">
        <v>148</v>
      </c>
      <c r="B149" s="42"/>
      <c r="C149" s="42" t="b">
        <f>_xlfn.XLOOKUP(Table61011[[#This Row],[Category No]],Table8[Category No],Table8[Chapter List],FALSE)</f>
        <v>0</v>
      </c>
      <c r="D149" s="42"/>
      <c r="E149" s="43"/>
    </row>
    <row r="150" spans="1:5" x14ac:dyDescent="0.3">
      <c r="A150" s="42">
        <v>149</v>
      </c>
      <c r="B150" s="42"/>
      <c r="C150" s="42" t="b">
        <f>_xlfn.XLOOKUP(Table61011[[#This Row],[Category No]],Table8[Category No],Table8[Chapter List],FALSE)</f>
        <v>0</v>
      </c>
      <c r="D150" s="42"/>
      <c r="E150" s="43"/>
    </row>
    <row r="151" spans="1:5" x14ac:dyDescent="0.3">
      <c r="A151" s="42">
        <v>150</v>
      </c>
      <c r="B151" s="42"/>
      <c r="C151" s="42" t="b">
        <f>_xlfn.XLOOKUP(Table61011[[#This Row],[Category No]],Table8[Category No],Table8[Chapter List],FALSE)</f>
        <v>0</v>
      </c>
      <c r="D151" s="42"/>
      <c r="E151" s="43"/>
    </row>
    <row r="152" spans="1:5" x14ac:dyDescent="0.3">
      <c r="A152" s="42">
        <v>151</v>
      </c>
      <c r="B152" s="42"/>
      <c r="C152" s="42" t="b">
        <f>_xlfn.XLOOKUP(Table61011[[#This Row],[Category No]],Table8[Category No],Table8[Chapter List],FALSE)</f>
        <v>0</v>
      </c>
      <c r="D152" s="42"/>
      <c r="E152" s="43"/>
    </row>
    <row r="153" spans="1:5" x14ac:dyDescent="0.3">
      <c r="A153" s="42">
        <v>152</v>
      </c>
      <c r="B153" s="42"/>
      <c r="C153" s="42" t="b">
        <f>_xlfn.XLOOKUP(Table61011[[#This Row],[Category No]],Table8[Category No],Table8[Chapter List],FALSE)</f>
        <v>0</v>
      </c>
      <c r="D153" s="42"/>
      <c r="E153" s="43"/>
    </row>
    <row r="154" spans="1:5" x14ac:dyDescent="0.3">
      <c r="A154" s="42">
        <v>153</v>
      </c>
      <c r="B154" s="42"/>
      <c r="C154" s="42" t="b">
        <f>_xlfn.XLOOKUP(Table61011[[#This Row],[Category No]],Table8[Category No],Table8[Chapter List],FALSE)</f>
        <v>0</v>
      </c>
      <c r="D154" s="42"/>
      <c r="E154" s="43"/>
    </row>
    <row r="155" spans="1:5" x14ac:dyDescent="0.3">
      <c r="A155" s="42">
        <v>154</v>
      </c>
      <c r="B155" s="42"/>
      <c r="C155" s="42" t="b">
        <f>_xlfn.XLOOKUP(Table61011[[#This Row],[Category No]],Table8[Category No],Table8[Chapter List],FALSE)</f>
        <v>0</v>
      </c>
      <c r="D155" s="42"/>
      <c r="E155" s="43"/>
    </row>
    <row r="156" spans="1:5" x14ac:dyDescent="0.3">
      <c r="A156" s="42">
        <v>155</v>
      </c>
      <c r="B156" s="42"/>
      <c r="C156" s="42" t="b">
        <f>_xlfn.XLOOKUP(Table61011[[#This Row],[Category No]],Table8[Category No],Table8[Chapter List],FALSE)</f>
        <v>0</v>
      </c>
      <c r="D156" s="42"/>
      <c r="E156" s="43"/>
    </row>
    <row r="157" spans="1:5" x14ac:dyDescent="0.3">
      <c r="A157" s="42">
        <v>156</v>
      </c>
      <c r="B157" s="42"/>
      <c r="C157" s="42" t="b">
        <f>_xlfn.XLOOKUP(Table61011[[#This Row],[Category No]],Table8[Category No],Table8[Chapter List],FALSE)</f>
        <v>0</v>
      </c>
      <c r="D157" s="42"/>
      <c r="E157" s="43"/>
    </row>
    <row r="158" spans="1:5" x14ac:dyDescent="0.3">
      <c r="A158" s="42">
        <v>157</v>
      </c>
      <c r="B158" s="42"/>
      <c r="C158" s="42" t="b">
        <f>_xlfn.XLOOKUP(Table61011[[#This Row],[Category No]],Table8[Category No],Table8[Chapter List],FALSE)</f>
        <v>0</v>
      </c>
      <c r="D158" s="42"/>
      <c r="E158" s="43"/>
    </row>
    <row r="159" spans="1:5" x14ac:dyDescent="0.3">
      <c r="A159" s="42">
        <v>158</v>
      </c>
      <c r="B159" s="42"/>
      <c r="C159" s="42" t="b">
        <f>_xlfn.XLOOKUP(Table61011[[#This Row],[Category No]],Table8[Category No],Table8[Chapter List],FALSE)</f>
        <v>0</v>
      </c>
      <c r="D159" s="42"/>
      <c r="E159" s="43"/>
    </row>
    <row r="160" spans="1:5" x14ac:dyDescent="0.3">
      <c r="A160" s="42">
        <v>159</v>
      </c>
      <c r="B160" s="42"/>
      <c r="C160" s="42" t="b">
        <f>_xlfn.XLOOKUP(Table61011[[#This Row],[Category No]],Table8[Category No],Table8[Chapter List],FALSE)</f>
        <v>0</v>
      </c>
      <c r="D160" s="42"/>
      <c r="E160" s="43"/>
    </row>
    <row r="161" spans="1:5" x14ac:dyDescent="0.3">
      <c r="A161" s="42">
        <v>160</v>
      </c>
      <c r="B161" s="42"/>
      <c r="C161" s="42" t="b">
        <f>_xlfn.XLOOKUP(Table61011[[#This Row],[Category No]],Table8[Category No],Table8[Chapter List],FALSE)</f>
        <v>0</v>
      </c>
      <c r="D161" s="42"/>
      <c r="E161" s="43"/>
    </row>
    <row r="162" spans="1:5" x14ac:dyDescent="0.3">
      <c r="A162" s="42">
        <v>161</v>
      </c>
      <c r="B162" s="42"/>
      <c r="C162" s="42" t="b">
        <f>_xlfn.XLOOKUP(Table61011[[#This Row],[Category No]],Table8[Category No],Table8[Chapter List],FALSE)</f>
        <v>0</v>
      </c>
      <c r="D162" s="42"/>
      <c r="E162" s="43"/>
    </row>
    <row r="163" spans="1:5" x14ac:dyDescent="0.3">
      <c r="A163" s="42">
        <v>162</v>
      </c>
      <c r="B163" s="42"/>
      <c r="C163" s="42" t="b">
        <f>_xlfn.XLOOKUP(Table61011[[#This Row],[Category No]],Table8[Category No],Table8[Chapter List],FALSE)</f>
        <v>0</v>
      </c>
      <c r="D163" s="42"/>
      <c r="E163" s="43"/>
    </row>
    <row r="164" spans="1:5" x14ac:dyDescent="0.3">
      <c r="A164" s="42">
        <v>163</v>
      </c>
      <c r="B164" s="42"/>
      <c r="C164" s="42" t="b">
        <f>_xlfn.XLOOKUP(Table61011[[#This Row],[Category No]],Table8[Category No],Table8[Chapter List],FALSE)</f>
        <v>0</v>
      </c>
      <c r="D164" s="42"/>
      <c r="E164" s="43"/>
    </row>
    <row r="165" spans="1:5" x14ac:dyDescent="0.3">
      <c r="A165" s="42">
        <v>164</v>
      </c>
      <c r="B165" s="42"/>
      <c r="C165" s="42" t="b">
        <f>_xlfn.XLOOKUP(Table61011[[#This Row],[Category No]],Table8[Category No],Table8[Chapter List],FALSE)</f>
        <v>0</v>
      </c>
      <c r="D165" s="42"/>
      <c r="E165" s="43"/>
    </row>
    <row r="166" spans="1:5" x14ac:dyDescent="0.3">
      <c r="A166" s="42">
        <v>165</v>
      </c>
      <c r="B166" s="42"/>
      <c r="C166" s="42" t="b">
        <f>_xlfn.XLOOKUP(Table61011[[#This Row],[Category No]],Table8[Category No],Table8[Chapter List],FALSE)</f>
        <v>0</v>
      </c>
      <c r="D166" s="42"/>
      <c r="E166" s="43"/>
    </row>
    <row r="167" spans="1:5" x14ac:dyDescent="0.3">
      <c r="A167" s="42">
        <v>166</v>
      </c>
      <c r="B167" s="42"/>
      <c r="C167" s="42" t="b">
        <f>_xlfn.XLOOKUP(Table61011[[#This Row],[Category No]],Table8[Category No],Table8[Chapter List],FALSE)</f>
        <v>0</v>
      </c>
      <c r="D167" s="42"/>
      <c r="E167" s="43"/>
    </row>
    <row r="168" spans="1:5" x14ac:dyDescent="0.3">
      <c r="A168" s="42">
        <v>167</v>
      </c>
      <c r="B168" s="42"/>
      <c r="C168" s="42" t="b">
        <f>_xlfn.XLOOKUP(Table61011[[#This Row],[Category No]],Table8[Category No],Table8[Chapter List],FALSE)</f>
        <v>0</v>
      </c>
      <c r="D168" s="42"/>
      <c r="E168" s="43"/>
    </row>
    <row r="169" spans="1:5" x14ac:dyDescent="0.3">
      <c r="A169" s="42">
        <v>168</v>
      </c>
      <c r="B169" s="42"/>
      <c r="C169" s="42" t="b">
        <f>_xlfn.XLOOKUP(Table61011[[#This Row],[Category No]],Table8[Category No],Table8[Chapter List],FALSE)</f>
        <v>0</v>
      </c>
      <c r="D169" s="42"/>
      <c r="E169" s="43"/>
    </row>
    <row r="170" spans="1:5" x14ac:dyDescent="0.3">
      <c r="A170" s="42">
        <v>169</v>
      </c>
      <c r="B170" s="42"/>
      <c r="C170" s="42" t="b">
        <f>_xlfn.XLOOKUP(Table61011[[#This Row],[Category No]],Table8[Category No],Table8[Chapter List],FALSE)</f>
        <v>0</v>
      </c>
      <c r="D170" s="42"/>
      <c r="E170" s="43"/>
    </row>
    <row r="171" spans="1:5" x14ac:dyDescent="0.3">
      <c r="A171" s="42">
        <v>170</v>
      </c>
      <c r="B171" s="42"/>
      <c r="C171" s="42" t="b">
        <f>_xlfn.XLOOKUP(Table61011[[#This Row],[Category No]],Table8[Category No],Table8[Chapter List],FALSE)</f>
        <v>0</v>
      </c>
      <c r="D171" s="42"/>
      <c r="E171" s="43"/>
    </row>
    <row r="172" spans="1:5" x14ac:dyDescent="0.3">
      <c r="A172" s="42">
        <v>171</v>
      </c>
      <c r="B172" s="42"/>
      <c r="C172" s="42" t="b">
        <f>_xlfn.XLOOKUP(Table61011[[#This Row],[Category No]],Table8[Category No],Table8[Chapter List],FALSE)</f>
        <v>0</v>
      </c>
      <c r="D172" s="42"/>
      <c r="E172" s="43"/>
    </row>
    <row r="173" spans="1:5" x14ac:dyDescent="0.3">
      <c r="A173" s="42">
        <v>172</v>
      </c>
      <c r="B173" s="42"/>
      <c r="C173" s="42" t="b">
        <f>_xlfn.XLOOKUP(Table61011[[#This Row],[Category No]],Table8[Category No],Table8[Chapter List],FALSE)</f>
        <v>0</v>
      </c>
      <c r="D173" s="42"/>
      <c r="E173" s="43"/>
    </row>
    <row r="174" spans="1:5" x14ac:dyDescent="0.3">
      <c r="A174" s="42">
        <v>173</v>
      </c>
      <c r="B174" s="42"/>
      <c r="C174" s="42" t="b">
        <f>_xlfn.XLOOKUP(Table61011[[#This Row],[Category No]],Table8[Category No],Table8[Chapter List],FALSE)</f>
        <v>0</v>
      </c>
      <c r="D174" s="42"/>
      <c r="E174" s="43"/>
    </row>
    <row r="175" spans="1:5" x14ac:dyDescent="0.3">
      <c r="A175" s="42">
        <v>174</v>
      </c>
      <c r="B175" s="42"/>
      <c r="C175" s="42" t="b">
        <f>_xlfn.XLOOKUP(Table61011[[#This Row],[Category No]],Table8[Category No],Table8[Chapter List],FALSE)</f>
        <v>0</v>
      </c>
      <c r="D175" s="42"/>
      <c r="E175" s="43"/>
    </row>
    <row r="176" spans="1:5" x14ac:dyDescent="0.3">
      <c r="A176" s="42">
        <v>175</v>
      </c>
      <c r="B176" s="42"/>
      <c r="C176" s="42" t="b">
        <f>_xlfn.XLOOKUP(Table61011[[#This Row],[Category No]],Table8[Category No],Table8[Chapter List],FALSE)</f>
        <v>0</v>
      </c>
      <c r="D176" s="42"/>
      <c r="E176" s="43"/>
    </row>
    <row r="177" spans="1:5" x14ac:dyDescent="0.3">
      <c r="A177" s="42">
        <v>176</v>
      </c>
      <c r="B177" s="42"/>
      <c r="C177" s="42" t="b">
        <f>_xlfn.XLOOKUP(Table61011[[#This Row],[Category No]],Table8[Category No],Table8[Chapter List],FALSE)</f>
        <v>0</v>
      </c>
      <c r="D177" s="42"/>
      <c r="E177" s="43"/>
    </row>
    <row r="178" spans="1:5" x14ac:dyDescent="0.3">
      <c r="A178" s="42">
        <v>177</v>
      </c>
      <c r="B178" s="42"/>
      <c r="C178" s="42" t="b">
        <f>_xlfn.XLOOKUP(Table61011[[#This Row],[Category No]],Table8[Category No],Table8[Chapter List],FALSE)</f>
        <v>0</v>
      </c>
      <c r="D178" s="42"/>
      <c r="E178" s="43"/>
    </row>
    <row r="179" spans="1:5" x14ac:dyDescent="0.3">
      <c r="A179" s="42">
        <v>178</v>
      </c>
      <c r="B179" s="42"/>
      <c r="C179" s="42" t="b">
        <f>_xlfn.XLOOKUP(Table61011[[#This Row],[Category No]],Table8[Category No],Table8[Chapter List],FALSE)</f>
        <v>0</v>
      </c>
      <c r="D179" s="42"/>
      <c r="E179" s="43"/>
    </row>
    <row r="180" spans="1:5" x14ac:dyDescent="0.3">
      <c r="A180" s="42">
        <v>179</v>
      </c>
      <c r="B180" s="42"/>
      <c r="C180" s="42" t="b">
        <f>_xlfn.XLOOKUP(Table61011[[#This Row],[Category No]],Table8[Category No],Table8[Chapter List],FALSE)</f>
        <v>0</v>
      </c>
      <c r="D180" s="42"/>
      <c r="E180" s="43"/>
    </row>
    <row r="181" spans="1:5" x14ac:dyDescent="0.3">
      <c r="A181" s="42">
        <v>180</v>
      </c>
      <c r="B181" s="42"/>
      <c r="C181" s="42" t="b">
        <f>_xlfn.XLOOKUP(Table61011[[#This Row],[Category No]],Table8[Category No],Table8[Chapter List],FALSE)</f>
        <v>0</v>
      </c>
      <c r="D181" s="42"/>
      <c r="E181" s="43"/>
    </row>
    <row r="182" spans="1:5" x14ac:dyDescent="0.3">
      <c r="A182" s="42">
        <v>181</v>
      </c>
      <c r="B182" s="42"/>
      <c r="C182" s="42" t="b">
        <f>_xlfn.XLOOKUP(Table61011[[#This Row],[Category No]],Table8[Category No],Table8[Chapter List],FALSE)</f>
        <v>0</v>
      </c>
      <c r="D182" s="42"/>
      <c r="E182" s="43"/>
    </row>
    <row r="183" spans="1:5" x14ac:dyDescent="0.3">
      <c r="A183" s="42">
        <v>182</v>
      </c>
      <c r="B183" s="42"/>
      <c r="C183" s="42" t="b">
        <f>_xlfn.XLOOKUP(Table61011[[#This Row],[Category No]],Table8[Category No],Table8[Chapter List],FALSE)</f>
        <v>0</v>
      </c>
      <c r="D183" s="42"/>
      <c r="E183" s="43"/>
    </row>
    <row r="184" spans="1:5" x14ac:dyDescent="0.3">
      <c r="A184" s="42">
        <v>183</v>
      </c>
      <c r="B184" s="42"/>
      <c r="C184" s="42" t="b">
        <f>_xlfn.XLOOKUP(Table61011[[#This Row],[Category No]],Table8[Category No],Table8[Chapter List],FALSE)</f>
        <v>0</v>
      </c>
      <c r="D184" s="42"/>
      <c r="E184" s="43"/>
    </row>
    <row r="185" spans="1:5" x14ac:dyDescent="0.3">
      <c r="A185" s="42">
        <v>184</v>
      </c>
      <c r="B185" s="42"/>
      <c r="C185" s="42" t="b">
        <f>_xlfn.XLOOKUP(Table61011[[#This Row],[Category No]],Table8[Category No],Table8[Chapter List],FALSE)</f>
        <v>0</v>
      </c>
      <c r="D185" s="42"/>
      <c r="E185" s="43"/>
    </row>
    <row r="186" spans="1:5" x14ac:dyDescent="0.3">
      <c r="A186" s="42">
        <v>185</v>
      </c>
      <c r="B186" s="42"/>
      <c r="C186" s="42" t="b">
        <f>_xlfn.XLOOKUP(Table61011[[#This Row],[Category No]],Table8[Category No],Table8[Chapter List],FALSE)</f>
        <v>0</v>
      </c>
      <c r="D186" s="42"/>
      <c r="E186" s="43"/>
    </row>
    <row r="187" spans="1:5" x14ac:dyDescent="0.3">
      <c r="A187" s="42">
        <v>186</v>
      </c>
      <c r="B187" s="42"/>
      <c r="C187" s="42" t="b">
        <f>_xlfn.XLOOKUP(Table61011[[#This Row],[Category No]],Table8[Category No],Table8[Chapter List],FALSE)</f>
        <v>0</v>
      </c>
      <c r="D187" s="42"/>
      <c r="E187" s="43"/>
    </row>
    <row r="188" spans="1:5" x14ac:dyDescent="0.3">
      <c r="A188" s="42">
        <v>187</v>
      </c>
      <c r="B188" s="42"/>
      <c r="C188" s="42" t="b">
        <f>_xlfn.XLOOKUP(Table61011[[#This Row],[Category No]],Table8[Category No],Table8[Chapter List],FALSE)</f>
        <v>0</v>
      </c>
      <c r="D188" s="42"/>
      <c r="E188" s="43"/>
    </row>
    <row r="189" spans="1:5" x14ac:dyDescent="0.3">
      <c r="A189" s="42">
        <v>188</v>
      </c>
      <c r="B189" s="42"/>
      <c r="C189" s="42" t="b">
        <f>_xlfn.XLOOKUP(Table61011[[#This Row],[Category No]],Table8[Category No],Table8[Chapter List],FALSE)</f>
        <v>0</v>
      </c>
      <c r="D189" s="42"/>
      <c r="E189" s="43"/>
    </row>
    <row r="190" spans="1:5" x14ac:dyDescent="0.3">
      <c r="A190" s="42">
        <v>189</v>
      </c>
      <c r="B190" s="42"/>
      <c r="C190" s="42" t="b">
        <f>_xlfn.XLOOKUP(Table61011[[#This Row],[Category No]],Table8[Category No],Table8[Chapter List],FALSE)</f>
        <v>0</v>
      </c>
      <c r="D190" s="42"/>
      <c r="E190" s="43"/>
    </row>
    <row r="191" spans="1:5" x14ac:dyDescent="0.3">
      <c r="A191" s="42">
        <v>190</v>
      </c>
      <c r="B191" s="42"/>
      <c r="C191" s="42" t="b">
        <f>_xlfn.XLOOKUP(Table61011[[#This Row],[Category No]],Table8[Category No],Table8[Chapter List],FALSE)</f>
        <v>0</v>
      </c>
      <c r="D191" s="42"/>
      <c r="E191" s="43"/>
    </row>
    <row r="192" spans="1:5" x14ac:dyDescent="0.3">
      <c r="A192" s="42">
        <v>191</v>
      </c>
      <c r="B192" s="42"/>
      <c r="C192" s="42" t="b">
        <f>_xlfn.XLOOKUP(Table61011[[#This Row],[Category No]],Table8[Category No],Table8[Chapter List],FALSE)</f>
        <v>0</v>
      </c>
      <c r="D192" s="42"/>
      <c r="E192" s="43"/>
    </row>
    <row r="193" spans="1:5" x14ac:dyDescent="0.3">
      <c r="A193" s="42">
        <v>192</v>
      </c>
      <c r="B193" s="42"/>
      <c r="C193" s="42" t="b">
        <f>_xlfn.XLOOKUP(Table61011[[#This Row],[Category No]],Table8[Category No],Table8[Chapter List],FALSE)</f>
        <v>0</v>
      </c>
      <c r="D193" s="42"/>
      <c r="E193" s="43"/>
    </row>
    <row r="194" spans="1:5" x14ac:dyDescent="0.3">
      <c r="A194" s="42">
        <v>193</v>
      </c>
      <c r="B194" s="42"/>
      <c r="C194" s="42" t="b">
        <f>_xlfn.XLOOKUP(Table61011[[#This Row],[Category No]],Table8[Category No],Table8[Chapter List],FALSE)</f>
        <v>0</v>
      </c>
      <c r="D194" s="42"/>
      <c r="E194" s="43"/>
    </row>
    <row r="195" spans="1:5" x14ac:dyDescent="0.3">
      <c r="A195" s="42">
        <v>194</v>
      </c>
      <c r="B195" s="42"/>
      <c r="C195" s="42" t="b">
        <f>_xlfn.XLOOKUP(Table61011[[#This Row],[Category No]],Table8[Category No],Table8[Chapter List],FALSE)</f>
        <v>0</v>
      </c>
      <c r="D195" s="42"/>
      <c r="E195" s="43"/>
    </row>
    <row r="196" spans="1:5" x14ac:dyDescent="0.3">
      <c r="A196" s="42">
        <v>195</v>
      </c>
      <c r="B196" s="42"/>
      <c r="C196" s="42" t="b">
        <f>_xlfn.XLOOKUP(Table61011[[#This Row],[Category No]],Table8[Category No],Table8[Chapter List],FALSE)</f>
        <v>0</v>
      </c>
      <c r="D196" s="42"/>
      <c r="E196" s="43"/>
    </row>
    <row r="197" spans="1:5" x14ac:dyDescent="0.3">
      <c r="A197" s="42">
        <v>196</v>
      </c>
      <c r="B197" s="42"/>
      <c r="C197" s="42" t="b">
        <f>_xlfn.XLOOKUP(Table61011[[#This Row],[Category No]],Table8[Category No],Table8[Chapter List],FALSE)</f>
        <v>0</v>
      </c>
      <c r="D197" s="42"/>
      <c r="E197" s="43"/>
    </row>
    <row r="198" spans="1:5" x14ac:dyDescent="0.3">
      <c r="A198" s="42">
        <v>197</v>
      </c>
      <c r="B198" s="42"/>
      <c r="C198" s="42" t="b">
        <f>_xlfn.XLOOKUP(Table61011[[#This Row],[Category No]],Table8[Category No],Table8[Chapter List],FALSE)</f>
        <v>0</v>
      </c>
      <c r="D198" s="42"/>
      <c r="E198" s="43"/>
    </row>
    <row r="199" spans="1:5" x14ac:dyDescent="0.3">
      <c r="A199" s="42">
        <v>198</v>
      </c>
      <c r="B199" s="42"/>
      <c r="C199" s="42" t="b">
        <f>_xlfn.XLOOKUP(Table61011[[#This Row],[Category No]],Table8[Category No],Table8[Chapter List],FALSE)</f>
        <v>0</v>
      </c>
      <c r="D199" s="42"/>
      <c r="E199" s="43"/>
    </row>
    <row r="200" spans="1:5" x14ac:dyDescent="0.3">
      <c r="A200" s="42">
        <v>199</v>
      </c>
      <c r="B200" s="42"/>
      <c r="C200" s="42" t="b">
        <f>_xlfn.XLOOKUP(Table61011[[#This Row],[Category No]],Table8[Category No],Table8[Chapter List],FALSE)</f>
        <v>0</v>
      </c>
      <c r="D200" s="42"/>
      <c r="E200" s="43"/>
    </row>
    <row r="201" spans="1:5" x14ac:dyDescent="0.3">
      <c r="A201" s="42">
        <v>200</v>
      </c>
      <c r="B201" s="42"/>
      <c r="C201" s="42" t="b">
        <f>_xlfn.XLOOKUP(Table61011[[#This Row],[Category No]],Table8[Category No],Table8[Chapter List],FALSE)</f>
        <v>0</v>
      </c>
      <c r="D201" s="42"/>
      <c r="E201" s="43"/>
    </row>
    <row r="202" spans="1:5" x14ac:dyDescent="0.3">
      <c r="A202" s="42">
        <v>201</v>
      </c>
      <c r="B202" s="42"/>
      <c r="C202" s="42" t="b">
        <f>_xlfn.XLOOKUP(Table61011[[#This Row],[Category No]],Table8[Category No],Table8[Chapter List],FALSE)</f>
        <v>0</v>
      </c>
      <c r="D202" s="42"/>
      <c r="E202" s="43"/>
    </row>
    <row r="203" spans="1:5" x14ac:dyDescent="0.3">
      <c r="A203" s="42">
        <v>202</v>
      </c>
      <c r="B203" s="42"/>
      <c r="C203" s="42" t="b">
        <f>_xlfn.XLOOKUP(Table61011[[#This Row],[Category No]],Table8[Category No],Table8[Chapter List],FALSE)</f>
        <v>0</v>
      </c>
      <c r="D203" s="42"/>
      <c r="E203" s="43"/>
    </row>
    <row r="204" spans="1:5" x14ac:dyDescent="0.3">
      <c r="A204" s="42">
        <v>203</v>
      </c>
      <c r="B204" s="42"/>
      <c r="C204" s="42" t="b">
        <f>_xlfn.XLOOKUP(Table61011[[#This Row],[Category No]],Table8[Category No],Table8[Chapter List],FALSE)</f>
        <v>0</v>
      </c>
      <c r="D204" s="42"/>
      <c r="E204" s="43"/>
    </row>
    <row r="205" spans="1:5" x14ac:dyDescent="0.3">
      <c r="A205" s="42">
        <v>204</v>
      </c>
      <c r="B205" s="42"/>
      <c r="C205" s="42" t="b">
        <f>_xlfn.XLOOKUP(Table61011[[#This Row],[Category No]],Table8[Category No],Table8[Chapter List],FALSE)</f>
        <v>0</v>
      </c>
      <c r="D205" s="42"/>
      <c r="E205" s="43"/>
    </row>
    <row r="206" spans="1:5" x14ac:dyDescent="0.3">
      <c r="A206" s="42">
        <v>205</v>
      </c>
      <c r="B206" s="42"/>
      <c r="C206" s="42" t="b">
        <f>_xlfn.XLOOKUP(Table61011[[#This Row],[Category No]],Table8[Category No],Table8[Chapter List],FALSE)</f>
        <v>0</v>
      </c>
      <c r="D206" s="42"/>
      <c r="E206" s="43"/>
    </row>
    <row r="207" spans="1:5" x14ac:dyDescent="0.3">
      <c r="A207" s="42">
        <v>206</v>
      </c>
      <c r="B207" s="42"/>
      <c r="C207" s="42" t="b">
        <f>_xlfn.XLOOKUP(Table61011[[#This Row],[Category No]],Table8[Category No],Table8[Chapter List],FALSE)</f>
        <v>0</v>
      </c>
      <c r="D207" s="42"/>
      <c r="E207" s="43"/>
    </row>
    <row r="208" spans="1:5" x14ac:dyDescent="0.3">
      <c r="A208" s="42">
        <v>207</v>
      </c>
      <c r="B208" s="42"/>
      <c r="C208" s="42" t="b">
        <f>_xlfn.XLOOKUP(Table61011[[#This Row],[Category No]],Table8[Category No],Table8[Chapter List],FALSE)</f>
        <v>0</v>
      </c>
      <c r="D208" s="42"/>
      <c r="E208" s="43"/>
    </row>
    <row r="209" spans="1:5" x14ac:dyDescent="0.3">
      <c r="A209" s="42">
        <v>208</v>
      </c>
      <c r="B209" s="42"/>
      <c r="C209" s="42" t="b">
        <f>_xlfn.XLOOKUP(Table61011[[#This Row],[Category No]],Table8[Category No],Table8[Chapter List],FALSE)</f>
        <v>0</v>
      </c>
      <c r="D209" s="42"/>
      <c r="E209" s="43"/>
    </row>
    <row r="210" spans="1:5" x14ac:dyDescent="0.3">
      <c r="A210" s="42">
        <v>209</v>
      </c>
      <c r="B210" s="42"/>
      <c r="C210" s="42" t="b">
        <f>_xlfn.XLOOKUP(Table61011[[#This Row],[Category No]],Table8[Category No],Table8[Chapter List],FALSE)</f>
        <v>0</v>
      </c>
      <c r="D210" s="42"/>
      <c r="E210" s="43"/>
    </row>
    <row r="211" spans="1:5" x14ac:dyDescent="0.3">
      <c r="A211" s="42">
        <v>210</v>
      </c>
      <c r="B211" s="42"/>
      <c r="C211" s="42" t="b">
        <f>_xlfn.XLOOKUP(Table61011[[#This Row],[Category No]],Table8[Category No],Table8[Chapter List],FALSE)</f>
        <v>0</v>
      </c>
      <c r="D211" s="42"/>
      <c r="E211" s="43"/>
    </row>
    <row r="212" spans="1:5" x14ac:dyDescent="0.3">
      <c r="A212" s="42">
        <v>211</v>
      </c>
      <c r="B212" s="42"/>
      <c r="C212" s="42" t="b">
        <f>_xlfn.XLOOKUP(Table61011[[#This Row],[Category No]],Table8[Category No],Table8[Chapter List],FALSE)</f>
        <v>0</v>
      </c>
      <c r="D212" s="42"/>
      <c r="E212" s="43"/>
    </row>
    <row r="213" spans="1:5" x14ac:dyDescent="0.3">
      <c r="A213" s="42">
        <v>212</v>
      </c>
      <c r="B213" s="42"/>
      <c r="C213" s="42" t="b">
        <f>_xlfn.XLOOKUP(Table61011[[#This Row],[Category No]],Table8[Category No],Table8[Chapter List],FALSE)</f>
        <v>0</v>
      </c>
      <c r="D213" s="42"/>
      <c r="E213" s="43"/>
    </row>
    <row r="214" spans="1:5" x14ac:dyDescent="0.3">
      <c r="A214" s="42">
        <v>213</v>
      </c>
      <c r="B214" s="42"/>
      <c r="C214" s="42" t="b">
        <f>_xlfn.XLOOKUP(Table61011[[#This Row],[Category No]],Table8[Category No],Table8[Chapter List],FALSE)</f>
        <v>0</v>
      </c>
      <c r="D214" s="42"/>
      <c r="E214" s="43"/>
    </row>
    <row r="215" spans="1:5" x14ac:dyDescent="0.3">
      <c r="A215" s="42">
        <v>214</v>
      </c>
      <c r="B215" s="42"/>
      <c r="C215" s="42" t="b">
        <f>_xlfn.XLOOKUP(Table61011[[#This Row],[Category No]],Table8[Category No],Table8[Chapter List],FALSE)</f>
        <v>0</v>
      </c>
      <c r="D215" s="42"/>
      <c r="E215" s="43"/>
    </row>
    <row r="216" spans="1:5" x14ac:dyDescent="0.3">
      <c r="A216" s="42">
        <v>215</v>
      </c>
      <c r="B216" s="42"/>
      <c r="C216" s="42" t="b">
        <f>_xlfn.XLOOKUP(Table61011[[#This Row],[Category No]],Table8[Category No],Table8[Chapter List],FALSE)</f>
        <v>0</v>
      </c>
      <c r="D216" s="42"/>
      <c r="E216" s="43"/>
    </row>
    <row r="217" spans="1:5" x14ac:dyDescent="0.3">
      <c r="A217" s="42">
        <v>216</v>
      </c>
      <c r="B217" s="42"/>
      <c r="C217" s="42" t="b">
        <f>_xlfn.XLOOKUP(Table61011[[#This Row],[Category No]],Table8[Category No],Table8[Chapter List],FALSE)</f>
        <v>0</v>
      </c>
      <c r="D217" s="42"/>
      <c r="E217" s="43"/>
    </row>
    <row r="218" spans="1:5" x14ac:dyDescent="0.3">
      <c r="A218" s="42">
        <v>217</v>
      </c>
      <c r="B218" s="42"/>
      <c r="C218" s="42" t="b">
        <f>_xlfn.XLOOKUP(Table61011[[#This Row],[Category No]],Table8[Category No],Table8[Chapter List],FALSE)</f>
        <v>0</v>
      </c>
      <c r="D218" s="42"/>
      <c r="E218" s="43"/>
    </row>
    <row r="219" spans="1:5" x14ac:dyDescent="0.3">
      <c r="A219" s="42">
        <v>218</v>
      </c>
      <c r="B219" s="42"/>
      <c r="C219" s="42" t="b">
        <f>_xlfn.XLOOKUP(Table61011[[#This Row],[Category No]],Table8[Category No],Table8[Chapter List],FALSE)</f>
        <v>0</v>
      </c>
      <c r="D219" s="42"/>
      <c r="E219" s="43"/>
    </row>
    <row r="220" spans="1:5" x14ac:dyDescent="0.3">
      <c r="A220" s="42">
        <v>219</v>
      </c>
      <c r="B220" s="42"/>
      <c r="C220" s="42" t="b">
        <f>_xlfn.XLOOKUP(Table61011[[#This Row],[Category No]],Table8[Category No],Table8[Chapter List],FALSE)</f>
        <v>0</v>
      </c>
      <c r="D220" s="42"/>
      <c r="E220" s="43"/>
    </row>
    <row r="221" spans="1:5" x14ac:dyDescent="0.3">
      <c r="A221" s="42">
        <v>220</v>
      </c>
      <c r="B221" s="42"/>
      <c r="C221" s="42" t="b">
        <f>_xlfn.XLOOKUP(Table61011[[#This Row],[Category No]],Table8[Category No],Table8[Chapter List],FALSE)</f>
        <v>0</v>
      </c>
      <c r="D221" s="42"/>
      <c r="E221" s="43"/>
    </row>
    <row r="222" spans="1:5" x14ac:dyDescent="0.3">
      <c r="A222" s="42">
        <v>221</v>
      </c>
      <c r="B222" s="42"/>
      <c r="C222" s="42" t="b">
        <f>_xlfn.XLOOKUP(Table61011[[#This Row],[Category No]],Table8[Category No],Table8[Chapter List],FALSE)</f>
        <v>0</v>
      </c>
      <c r="D222" s="42"/>
      <c r="E222" s="43"/>
    </row>
    <row r="223" spans="1:5" x14ac:dyDescent="0.3">
      <c r="A223" s="42">
        <v>222</v>
      </c>
      <c r="B223" s="42"/>
      <c r="C223" s="42" t="b">
        <f>_xlfn.XLOOKUP(Table61011[[#This Row],[Category No]],Table8[Category No],Table8[Chapter List],FALSE)</f>
        <v>0</v>
      </c>
      <c r="D223" s="42"/>
      <c r="E223" s="43"/>
    </row>
    <row r="224" spans="1:5" x14ac:dyDescent="0.3">
      <c r="A224" s="42">
        <v>223</v>
      </c>
      <c r="B224" s="42"/>
      <c r="C224" s="42" t="b">
        <f>_xlfn.XLOOKUP(Table61011[[#This Row],[Category No]],Table8[Category No],Table8[Chapter List],FALSE)</f>
        <v>0</v>
      </c>
      <c r="D224" s="42"/>
      <c r="E224" s="43"/>
    </row>
    <row r="225" spans="1:5" x14ac:dyDescent="0.3">
      <c r="A225" s="42">
        <v>224</v>
      </c>
      <c r="B225" s="42"/>
      <c r="C225" s="42" t="b">
        <f>_xlfn.XLOOKUP(Table61011[[#This Row],[Category No]],Table8[Category No],Table8[Chapter List],FALSE)</f>
        <v>0</v>
      </c>
      <c r="D225" s="42"/>
      <c r="E225" s="43"/>
    </row>
    <row r="226" spans="1:5" x14ac:dyDescent="0.3">
      <c r="A226" s="42">
        <v>225</v>
      </c>
      <c r="B226" s="42"/>
      <c r="C226" s="42" t="b">
        <f>_xlfn.XLOOKUP(Table61011[[#This Row],[Category No]],Table8[Category No],Table8[Chapter List],FALSE)</f>
        <v>0</v>
      </c>
      <c r="D226" s="42"/>
      <c r="E226" s="43"/>
    </row>
    <row r="227" spans="1:5" x14ac:dyDescent="0.3">
      <c r="A227" s="42">
        <v>226</v>
      </c>
      <c r="B227" s="42"/>
      <c r="C227" s="42" t="b">
        <f>_xlfn.XLOOKUP(Table61011[[#This Row],[Category No]],Table8[Category No],Table8[Chapter List],FALSE)</f>
        <v>0</v>
      </c>
      <c r="D227" s="42"/>
      <c r="E227" s="43"/>
    </row>
    <row r="228" spans="1:5" x14ac:dyDescent="0.3">
      <c r="A228" s="42">
        <v>227</v>
      </c>
      <c r="B228" s="42"/>
      <c r="C228" s="42" t="b">
        <f>_xlfn.XLOOKUP(Table61011[[#This Row],[Category No]],Table8[Category No],Table8[Chapter List],FALSE)</f>
        <v>0</v>
      </c>
      <c r="D228" s="42"/>
      <c r="E228" s="43"/>
    </row>
    <row r="229" spans="1:5" x14ac:dyDescent="0.3">
      <c r="A229" s="42">
        <v>228</v>
      </c>
      <c r="B229" s="42"/>
      <c r="C229" s="42" t="b">
        <f>_xlfn.XLOOKUP(Table61011[[#This Row],[Category No]],Table8[Category No],Table8[Chapter List],FALSE)</f>
        <v>0</v>
      </c>
      <c r="D229" s="42"/>
      <c r="E229" s="43"/>
    </row>
    <row r="230" spans="1:5" x14ac:dyDescent="0.3">
      <c r="A230" s="42">
        <v>229</v>
      </c>
      <c r="B230" s="42"/>
      <c r="C230" s="42" t="b">
        <f>_xlfn.XLOOKUP(Table61011[[#This Row],[Category No]],Table8[Category No],Table8[Chapter List],FALSE)</f>
        <v>0</v>
      </c>
      <c r="D230" s="42"/>
      <c r="E230" s="43"/>
    </row>
    <row r="231" spans="1:5" x14ac:dyDescent="0.3">
      <c r="A231" s="42">
        <v>230</v>
      </c>
      <c r="B231" s="42"/>
      <c r="C231" s="42" t="b">
        <f>_xlfn.XLOOKUP(Table61011[[#This Row],[Category No]],Table8[Category No],Table8[Chapter List],FALSE)</f>
        <v>0</v>
      </c>
      <c r="D231" s="42"/>
      <c r="E231" s="43"/>
    </row>
    <row r="232" spans="1:5" x14ac:dyDescent="0.3">
      <c r="A232" s="42">
        <v>231</v>
      </c>
      <c r="B232" s="42"/>
      <c r="C232" s="42" t="b">
        <f>_xlfn.XLOOKUP(Table61011[[#This Row],[Category No]],Table8[Category No],Table8[Chapter List],FALSE)</f>
        <v>0</v>
      </c>
      <c r="D232" s="42"/>
      <c r="E232" s="43"/>
    </row>
    <row r="233" spans="1:5" x14ac:dyDescent="0.3">
      <c r="A233" s="42">
        <v>232</v>
      </c>
      <c r="B233" s="42"/>
      <c r="C233" s="42" t="b">
        <f>_xlfn.XLOOKUP(Table61011[[#This Row],[Category No]],Table8[Category No],Table8[Chapter List],FALSE)</f>
        <v>0</v>
      </c>
      <c r="D233" s="42"/>
      <c r="E233" s="43"/>
    </row>
    <row r="234" spans="1:5" x14ac:dyDescent="0.3">
      <c r="A234" s="42">
        <v>233</v>
      </c>
      <c r="B234" s="42"/>
      <c r="C234" s="42" t="b">
        <f>_xlfn.XLOOKUP(Table61011[[#This Row],[Category No]],Table8[Category No],Table8[Chapter List],FALSE)</f>
        <v>0</v>
      </c>
      <c r="D234" s="42"/>
      <c r="E234" s="43"/>
    </row>
    <row r="235" spans="1:5" x14ac:dyDescent="0.3">
      <c r="A235" s="42">
        <v>234</v>
      </c>
      <c r="B235" s="42"/>
      <c r="C235" s="42" t="b">
        <f>_xlfn.XLOOKUP(Table61011[[#This Row],[Category No]],Table8[Category No],Table8[Chapter List],FALSE)</f>
        <v>0</v>
      </c>
      <c r="D235" s="42"/>
      <c r="E235" s="43"/>
    </row>
    <row r="236" spans="1:5" x14ac:dyDescent="0.3">
      <c r="A236" s="42">
        <v>235</v>
      </c>
      <c r="B236" s="42"/>
      <c r="C236" s="42" t="b">
        <f>_xlfn.XLOOKUP(Table61011[[#This Row],[Category No]],Table8[Category No],Table8[Chapter List],FALSE)</f>
        <v>0</v>
      </c>
      <c r="D236" s="42"/>
      <c r="E236" s="43"/>
    </row>
    <row r="237" spans="1:5" x14ac:dyDescent="0.3">
      <c r="A237" s="42">
        <v>236</v>
      </c>
      <c r="B237" s="42"/>
      <c r="C237" s="42" t="b">
        <f>_xlfn.XLOOKUP(Table61011[[#This Row],[Category No]],Table8[Category No],Table8[Chapter List],FALSE)</f>
        <v>0</v>
      </c>
      <c r="D237" s="42"/>
      <c r="E237" s="43"/>
    </row>
    <row r="238" spans="1:5" x14ac:dyDescent="0.3">
      <c r="A238" s="42">
        <v>237</v>
      </c>
      <c r="B238" s="42"/>
      <c r="C238" s="42" t="b">
        <f>_xlfn.XLOOKUP(Table61011[[#This Row],[Category No]],Table8[Category No],Table8[Chapter List],FALSE)</f>
        <v>0</v>
      </c>
      <c r="D238" s="42"/>
      <c r="E238" s="43"/>
    </row>
    <row r="239" spans="1:5" x14ac:dyDescent="0.3">
      <c r="A239" s="42">
        <v>238</v>
      </c>
      <c r="B239" s="42"/>
      <c r="C239" s="42" t="b">
        <f>_xlfn.XLOOKUP(Table61011[[#This Row],[Category No]],Table8[Category No],Table8[Chapter List],FALSE)</f>
        <v>0</v>
      </c>
      <c r="D239" s="42"/>
      <c r="E239" s="43"/>
    </row>
    <row r="240" spans="1:5" x14ac:dyDescent="0.3">
      <c r="A240" s="42">
        <v>239</v>
      </c>
      <c r="B240" s="42"/>
      <c r="C240" s="42" t="b">
        <f>_xlfn.XLOOKUP(Table61011[[#This Row],[Category No]],Table8[Category No],Table8[Chapter List],FALSE)</f>
        <v>0</v>
      </c>
      <c r="D240" s="42"/>
      <c r="E240" s="43"/>
    </row>
    <row r="241" spans="1:5" x14ac:dyDescent="0.3">
      <c r="A241" s="42">
        <v>240</v>
      </c>
      <c r="B241" s="42"/>
      <c r="C241" s="42" t="b">
        <f>_xlfn.XLOOKUP(Table61011[[#This Row],[Category No]],Table8[Category No],Table8[Chapter List],FALSE)</f>
        <v>0</v>
      </c>
      <c r="D241" s="42"/>
      <c r="E241" s="43"/>
    </row>
    <row r="242" spans="1:5" x14ac:dyDescent="0.3">
      <c r="A242" s="42">
        <v>241</v>
      </c>
      <c r="B242" s="42"/>
      <c r="C242" s="42" t="b">
        <f>_xlfn.XLOOKUP(Table61011[[#This Row],[Category No]],Table8[Category No],Table8[Chapter List],FALSE)</f>
        <v>0</v>
      </c>
      <c r="D242" s="42"/>
      <c r="E242" s="43"/>
    </row>
    <row r="243" spans="1:5" x14ac:dyDescent="0.3">
      <c r="A243" s="42">
        <v>242</v>
      </c>
      <c r="B243" s="42"/>
      <c r="C243" s="42" t="b">
        <f>_xlfn.XLOOKUP(Table61011[[#This Row],[Category No]],Table8[Category No],Table8[Chapter List],FALSE)</f>
        <v>0</v>
      </c>
      <c r="D243" s="42"/>
      <c r="E243" s="43"/>
    </row>
    <row r="244" spans="1:5" x14ac:dyDescent="0.3">
      <c r="A244" s="42">
        <v>243</v>
      </c>
      <c r="B244" s="42"/>
      <c r="C244" s="42" t="b">
        <f>_xlfn.XLOOKUP(Table61011[[#This Row],[Category No]],Table8[Category No],Table8[Chapter List],FALSE)</f>
        <v>0</v>
      </c>
      <c r="D244" s="42"/>
      <c r="E244" s="43"/>
    </row>
    <row r="245" spans="1:5" x14ac:dyDescent="0.3">
      <c r="A245" s="42">
        <v>244</v>
      </c>
      <c r="B245" s="42"/>
      <c r="C245" s="42" t="b">
        <f>_xlfn.XLOOKUP(Table61011[[#This Row],[Category No]],Table8[Category No],Table8[Chapter List],FALSE)</f>
        <v>0</v>
      </c>
      <c r="D245" s="42"/>
      <c r="E245" s="43"/>
    </row>
    <row r="246" spans="1:5" x14ac:dyDescent="0.3">
      <c r="A246" s="42">
        <v>245</v>
      </c>
      <c r="B246" s="42"/>
      <c r="C246" s="42" t="b">
        <f>_xlfn.XLOOKUP(Table61011[[#This Row],[Category No]],Table8[Category No],Table8[Chapter List],FALSE)</f>
        <v>0</v>
      </c>
      <c r="D246" s="42"/>
      <c r="E246" s="43"/>
    </row>
    <row r="247" spans="1:5" x14ac:dyDescent="0.3">
      <c r="A247" s="42">
        <v>246</v>
      </c>
      <c r="B247" s="42"/>
      <c r="C247" s="42" t="b">
        <f>_xlfn.XLOOKUP(Table61011[[#This Row],[Category No]],Table8[Category No],Table8[Chapter List],FALSE)</f>
        <v>0</v>
      </c>
      <c r="D247" s="42"/>
      <c r="E247" s="43"/>
    </row>
    <row r="248" spans="1:5" x14ac:dyDescent="0.3">
      <c r="A248" s="42">
        <v>247</v>
      </c>
      <c r="B248" s="42"/>
      <c r="C248" s="42" t="b">
        <f>_xlfn.XLOOKUP(Table61011[[#This Row],[Category No]],Table8[Category No],Table8[Chapter List],FALSE)</f>
        <v>0</v>
      </c>
      <c r="D248" s="42"/>
      <c r="E248" s="43"/>
    </row>
    <row r="249" spans="1:5" x14ac:dyDescent="0.3">
      <c r="A249" s="42">
        <v>248</v>
      </c>
      <c r="B249" s="42"/>
      <c r="C249" s="42" t="b">
        <f>_xlfn.XLOOKUP(Table61011[[#This Row],[Category No]],Table8[Category No],Table8[Chapter List],FALSE)</f>
        <v>0</v>
      </c>
      <c r="D249" s="42"/>
      <c r="E249" s="43"/>
    </row>
    <row r="250" spans="1:5" x14ac:dyDescent="0.3">
      <c r="A250" s="42">
        <v>249</v>
      </c>
      <c r="B250" s="42"/>
      <c r="C250" s="42" t="b">
        <f>_xlfn.XLOOKUP(Table61011[[#This Row],[Category No]],Table8[Category No],Table8[Chapter List],FALSE)</f>
        <v>0</v>
      </c>
      <c r="D250" s="42"/>
      <c r="E250" s="43"/>
    </row>
    <row r="251" spans="1:5" x14ac:dyDescent="0.3">
      <c r="A251" s="42">
        <v>250</v>
      </c>
      <c r="B251" s="42"/>
      <c r="C251" s="42" t="b">
        <f>_xlfn.XLOOKUP(Table61011[[#This Row],[Category No]],Table8[Category No],Table8[Chapter List],FALSE)</f>
        <v>0</v>
      </c>
      <c r="D251" s="42"/>
      <c r="E251" s="43"/>
    </row>
    <row r="252" spans="1:5" x14ac:dyDescent="0.3">
      <c r="A252" s="42">
        <v>251</v>
      </c>
      <c r="B252" s="42"/>
      <c r="C252" s="42" t="b">
        <f>_xlfn.XLOOKUP(Table61011[[#This Row],[Category No]],Table8[Category No],Table8[Chapter List],FALSE)</f>
        <v>0</v>
      </c>
      <c r="D252" s="42"/>
      <c r="E252" s="43"/>
    </row>
    <row r="253" spans="1:5" x14ac:dyDescent="0.3">
      <c r="A253" s="42">
        <v>252</v>
      </c>
      <c r="B253" s="42"/>
      <c r="C253" s="42" t="b">
        <f>_xlfn.XLOOKUP(Table61011[[#This Row],[Category No]],Table8[Category No],Table8[Chapter List],FALSE)</f>
        <v>0</v>
      </c>
      <c r="D253" s="42"/>
      <c r="E253" s="43"/>
    </row>
    <row r="254" spans="1:5" x14ac:dyDescent="0.3">
      <c r="A254" s="42">
        <v>253</v>
      </c>
      <c r="B254" s="42"/>
      <c r="C254" s="42" t="b">
        <f>_xlfn.XLOOKUP(Table61011[[#This Row],[Category No]],Table8[Category No],Table8[Chapter List],FALSE)</f>
        <v>0</v>
      </c>
      <c r="D254" s="42"/>
      <c r="E254" s="43"/>
    </row>
    <row r="255" spans="1:5" x14ac:dyDescent="0.3">
      <c r="A255" s="42">
        <v>254</v>
      </c>
      <c r="B255" s="42"/>
      <c r="C255" s="42" t="b">
        <f>_xlfn.XLOOKUP(Table61011[[#This Row],[Category No]],Table8[Category No],Table8[Chapter List],FALSE)</f>
        <v>0</v>
      </c>
      <c r="D255" s="42"/>
      <c r="E255" s="43"/>
    </row>
    <row r="256" spans="1:5" x14ac:dyDescent="0.3">
      <c r="A256" s="42">
        <v>255</v>
      </c>
      <c r="B256" s="42"/>
      <c r="C256" s="42" t="b">
        <f>_xlfn.XLOOKUP(Table61011[[#This Row],[Category No]],Table8[Category No],Table8[Chapter List],FALSE)</f>
        <v>0</v>
      </c>
      <c r="D256" s="42"/>
      <c r="E256" s="43"/>
    </row>
    <row r="257" spans="1:5" x14ac:dyDescent="0.3">
      <c r="A257" s="42">
        <v>256</v>
      </c>
      <c r="B257" s="42"/>
      <c r="C257" s="42" t="b">
        <f>_xlfn.XLOOKUP(Table61011[[#This Row],[Category No]],Table8[Category No],Table8[Chapter List],FALSE)</f>
        <v>0</v>
      </c>
      <c r="D257" s="42"/>
      <c r="E257" s="43"/>
    </row>
    <row r="258" spans="1:5" x14ac:dyDescent="0.3">
      <c r="A258" s="42">
        <v>257</v>
      </c>
      <c r="B258" s="42"/>
      <c r="C258" s="42" t="b">
        <f>_xlfn.XLOOKUP(Table61011[[#This Row],[Category No]],Table8[Category No],Table8[Chapter List],FALSE)</f>
        <v>0</v>
      </c>
      <c r="D258" s="42"/>
      <c r="E258" s="43"/>
    </row>
    <row r="259" spans="1:5" x14ac:dyDescent="0.3">
      <c r="A259" s="42">
        <v>258</v>
      </c>
      <c r="B259" s="42"/>
      <c r="C259" s="42" t="b">
        <f>_xlfn.XLOOKUP(Table61011[[#This Row],[Category No]],Table8[Category No],Table8[Chapter List],FALSE)</f>
        <v>0</v>
      </c>
      <c r="D259" s="42"/>
      <c r="E259" s="43"/>
    </row>
    <row r="260" spans="1:5" x14ac:dyDescent="0.3">
      <c r="A260" s="42">
        <v>259</v>
      </c>
      <c r="B260" s="42"/>
      <c r="C260" s="42" t="b">
        <f>_xlfn.XLOOKUP(Table61011[[#This Row],[Category No]],Table8[Category No],Table8[Chapter List],FALSE)</f>
        <v>0</v>
      </c>
      <c r="D260" s="42"/>
      <c r="E260" s="43"/>
    </row>
    <row r="261" spans="1:5" x14ac:dyDescent="0.3">
      <c r="A261" s="42">
        <v>260</v>
      </c>
      <c r="B261" s="42"/>
      <c r="C261" s="42" t="b">
        <f>_xlfn.XLOOKUP(Table61011[[#This Row],[Category No]],Table8[Category No],Table8[Chapter List],FALSE)</f>
        <v>0</v>
      </c>
      <c r="D261" s="42"/>
      <c r="E261" s="43"/>
    </row>
    <row r="262" spans="1:5" x14ac:dyDescent="0.3">
      <c r="A262" s="42">
        <v>261</v>
      </c>
      <c r="B262" s="42"/>
      <c r="C262" s="42" t="b">
        <f>_xlfn.XLOOKUP(Table61011[[#This Row],[Category No]],Table8[Category No],Table8[Chapter List],FALSE)</f>
        <v>0</v>
      </c>
      <c r="D262" s="42"/>
      <c r="E262" s="43"/>
    </row>
    <row r="263" spans="1:5" x14ac:dyDescent="0.3">
      <c r="A263" s="42">
        <v>262</v>
      </c>
      <c r="B263" s="42"/>
      <c r="C263" s="42" t="b">
        <f>_xlfn.XLOOKUP(Table61011[[#This Row],[Category No]],Table8[Category No],Table8[Chapter List],FALSE)</f>
        <v>0</v>
      </c>
      <c r="D263" s="42"/>
      <c r="E263" s="43"/>
    </row>
    <row r="264" spans="1:5" x14ac:dyDescent="0.3">
      <c r="A264" s="42">
        <v>263</v>
      </c>
      <c r="B264" s="42"/>
      <c r="C264" s="42" t="b">
        <f>_xlfn.XLOOKUP(Table61011[[#This Row],[Category No]],Table8[Category No],Table8[Chapter List],FALSE)</f>
        <v>0</v>
      </c>
      <c r="D264" s="42"/>
      <c r="E264" s="43"/>
    </row>
    <row r="265" spans="1:5" x14ac:dyDescent="0.3">
      <c r="A265" s="42">
        <v>264</v>
      </c>
      <c r="B265" s="42"/>
      <c r="C265" s="42" t="b">
        <f>_xlfn.XLOOKUP(Table61011[[#This Row],[Category No]],Table8[Category No],Table8[Chapter List],FALSE)</f>
        <v>0</v>
      </c>
      <c r="D265" s="42"/>
      <c r="E265" s="43"/>
    </row>
    <row r="266" spans="1:5" x14ac:dyDescent="0.3">
      <c r="A266" s="42">
        <v>265</v>
      </c>
      <c r="B266" s="42"/>
      <c r="C266" s="42" t="b">
        <f>_xlfn.XLOOKUP(Table61011[[#This Row],[Category No]],Table8[Category No],Table8[Chapter List],FALSE)</f>
        <v>0</v>
      </c>
      <c r="D266" s="42"/>
      <c r="E266" s="43"/>
    </row>
    <row r="267" spans="1:5" x14ac:dyDescent="0.3">
      <c r="A267" s="42">
        <v>266</v>
      </c>
      <c r="B267" s="42"/>
      <c r="C267" s="42" t="b">
        <f>_xlfn.XLOOKUP(Table61011[[#This Row],[Category No]],Table8[Category No],Table8[Chapter List],FALSE)</f>
        <v>0</v>
      </c>
      <c r="D267" s="42"/>
      <c r="E267" s="43"/>
    </row>
    <row r="268" spans="1:5" x14ac:dyDescent="0.3">
      <c r="A268" s="42">
        <v>267</v>
      </c>
      <c r="B268" s="42"/>
      <c r="C268" s="42" t="b">
        <f>_xlfn.XLOOKUP(Table61011[[#This Row],[Category No]],Table8[Category No],Table8[Chapter List],FALSE)</f>
        <v>0</v>
      </c>
      <c r="D268" s="42"/>
      <c r="E268" s="43"/>
    </row>
    <row r="269" spans="1:5" x14ac:dyDescent="0.3">
      <c r="A269" s="42">
        <v>268</v>
      </c>
      <c r="B269" s="42"/>
      <c r="C269" s="42" t="b">
        <f>_xlfn.XLOOKUP(Table61011[[#This Row],[Category No]],Table8[Category No],Table8[Chapter List],FALSE)</f>
        <v>0</v>
      </c>
      <c r="D269" s="42"/>
      <c r="E269" s="43"/>
    </row>
    <row r="270" spans="1:5" x14ac:dyDescent="0.3">
      <c r="A270" s="42">
        <v>269</v>
      </c>
      <c r="B270" s="42"/>
      <c r="C270" s="42" t="b">
        <f>_xlfn.XLOOKUP(Table61011[[#This Row],[Category No]],Table8[Category No],Table8[Chapter List],FALSE)</f>
        <v>0</v>
      </c>
      <c r="D270" s="42"/>
      <c r="E270" s="43"/>
    </row>
    <row r="271" spans="1:5" x14ac:dyDescent="0.3">
      <c r="A271" s="42">
        <v>270</v>
      </c>
      <c r="B271" s="42"/>
      <c r="C271" s="42" t="b">
        <f>_xlfn.XLOOKUP(Table61011[[#This Row],[Category No]],Table8[Category No],Table8[Chapter List],FALSE)</f>
        <v>0</v>
      </c>
      <c r="D271" s="42"/>
      <c r="E271" s="43"/>
    </row>
    <row r="272" spans="1:5" x14ac:dyDescent="0.3">
      <c r="A272" s="42">
        <v>271</v>
      </c>
      <c r="B272" s="42"/>
      <c r="C272" s="42" t="b">
        <f>_xlfn.XLOOKUP(Table61011[[#This Row],[Category No]],Table8[Category No],Table8[Chapter List],FALSE)</f>
        <v>0</v>
      </c>
      <c r="D272" s="42"/>
      <c r="E272" s="43"/>
    </row>
    <row r="273" spans="1:5" x14ac:dyDescent="0.3">
      <c r="A273" s="42">
        <v>272</v>
      </c>
      <c r="B273" s="42"/>
      <c r="C273" s="42" t="b">
        <f>_xlfn.XLOOKUP(Table61011[[#This Row],[Category No]],Table8[Category No],Table8[Chapter List],FALSE)</f>
        <v>0</v>
      </c>
      <c r="D273" s="42"/>
      <c r="E273" s="43"/>
    </row>
    <row r="274" spans="1:5" x14ac:dyDescent="0.3">
      <c r="A274" s="42">
        <v>273</v>
      </c>
      <c r="B274" s="42"/>
      <c r="C274" s="42" t="b">
        <f>_xlfn.XLOOKUP(Table61011[[#This Row],[Category No]],Table8[Category No],Table8[Chapter List],FALSE)</f>
        <v>0</v>
      </c>
      <c r="D274" s="42"/>
      <c r="E274" s="43"/>
    </row>
    <row r="275" spans="1:5" x14ac:dyDescent="0.3">
      <c r="A275" s="42">
        <v>274</v>
      </c>
      <c r="B275" s="42"/>
      <c r="C275" s="42" t="b">
        <f>_xlfn.XLOOKUP(Table61011[[#This Row],[Category No]],Table8[Category No],Table8[Chapter List],FALSE)</f>
        <v>0</v>
      </c>
      <c r="D275" s="42"/>
      <c r="E275" s="43"/>
    </row>
    <row r="276" spans="1:5" x14ac:dyDescent="0.3">
      <c r="A276" s="42">
        <v>275</v>
      </c>
      <c r="B276" s="42"/>
      <c r="C276" s="42" t="b">
        <f>_xlfn.XLOOKUP(Table61011[[#This Row],[Category No]],Table8[Category No],Table8[Chapter List],FALSE)</f>
        <v>0</v>
      </c>
      <c r="D276" s="42"/>
      <c r="E276" s="43"/>
    </row>
    <row r="277" spans="1:5" x14ac:dyDescent="0.3">
      <c r="A277" s="42">
        <v>276</v>
      </c>
      <c r="B277" s="42"/>
      <c r="C277" s="42" t="b">
        <f>_xlfn.XLOOKUP(Table61011[[#This Row],[Category No]],Table8[Category No],Table8[Chapter List],FALSE)</f>
        <v>0</v>
      </c>
      <c r="D277" s="42"/>
      <c r="E277" s="43"/>
    </row>
    <row r="278" spans="1:5" x14ac:dyDescent="0.3">
      <c r="A278" s="42">
        <v>277</v>
      </c>
      <c r="B278" s="42"/>
      <c r="C278" s="42" t="b">
        <f>_xlfn.XLOOKUP(Table61011[[#This Row],[Category No]],Table8[Category No],Table8[Chapter List],FALSE)</f>
        <v>0</v>
      </c>
      <c r="D278" s="42"/>
      <c r="E278" s="43"/>
    </row>
    <row r="279" spans="1:5" x14ac:dyDescent="0.3">
      <c r="A279" s="42">
        <v>278</v>
      </c>
      <c r="B279" s="42"/>
      <c r="C279" s="42" t="b">
        <f>_xlfn.XLOOKUP(Table61011[[#This Row],[Category No]],Table8[Category No],Table8[Chapter List],FALSE)</f>
        <v>0</v>
      </c>
      <c r="D279" s="42"/>
      <c r="E279" s="43"/>
    </row>
    <row r="280" spans="1:5" x14ac:dyDescent="0.3">
      <c r="A280" s="42">
        <v>279</v>
      </c>
      <c r="B280" s="42"/>
      <c r="C280" s="42" t="b">
        <f>_xlfn.XLOOKUP(Table61011[[#This Row],[Category No]],Table8[Category No],Table8[Chapter List],FALSE)</f>
        <v>0</v>
      </c>
      <c r="D280" s="42"/>
      <c r="E280" s="43"/>
    </row>
    <row r="281" spans="1:5" x14ac:dyDescent="0.3">
      <c r="A281" s="42">
        <v>280</v>
      </c>
      <c r="B281" s="42"/>
      <c r="C281" s="42" t="b">
        <f>_xlfn.XLOOKUP(Table61011[[#This Row],[Category No]],Table8[Category No],Table8[Chapter List],FALSE)</f>
        <v>0</v>
      </c>
      <c r="D281" s="42"/>
      <c r="E281" s="43"/>
    </row>
    <row r="282" spans="1:5" x14ac:dyDescent="0.3">
      <c r="A282" s="42">
        <v>281</v>
      </c>
      <c r="B282" s="42"/>
      <c r="C282" s="42" t="b">
        <f>_xlfn.XLOOKUP(Table61011[[#This Row],[Category No]],Table8[Category No],Table8[Chapter List],FALSE)</f>
        <v>0</v>
      </c>
      <c r="D282" s="42"/>
      <c r="E282" s="43"/>
    </row>
    <row r="283" spans="1:5" x14ac:dyDescent="0.3">
      <c r="A283" s="42">
        <v>282</v>
      </c>
      <c r="B283" s="42"/>
      <c r="C283" s="42" t="b">
        <f>_xlfn.XLOOKUP(Table61011[[#This Row],[Category No]],Table8[Category No],Table8[Chapter List],FALSE)</f>
        <v>0</v>
      </c>
      <c r="D283" s="42"/>
      <c r="E283" s="43"/>
    </row>
    <row r="284" spans="1:5" x14ac:dyDescent="0.3">
      <c r="A284" s="42">
        <v>283</v>
      </c>
      <c r="B284" s="42"/>
      <c r="C284" s="42" t="b">
        <f>_xlfn.XLOOKUP(Table61011[[#This Row],[Category No]],Table8[Category No],Table8[Chapter List],FALSE)</f>
        <v>0</v>
      </c>
      <c r="D284" s="42"/>
      <c r="E284" s="43"/>
    </row>
    <row r="285" spans="1:5" x14ac:dyDescent="0.3">
      <c r="A285" s="42">
        <v>284</v>
      </c>
      <c r="B285" s="42"/>
      <c r="C285" s="42" t="b">
        <f>_xlfn.XLOOKUP(Table61011[[#This Row],[Category No]],Table8[Category No],Table8[Chapter List],FALSE)</f>
        <v>0</v>
      </c>
      <c r="D285" s="42"/>
      <c r="E285" s="43"/>
    </row>
    <row r="286" spans="1:5" x14ac:dyDescent="0.3">
      <c r="A286" s="42">
        <v>285</v>
      </c>
      <c r="B286" s="42"/>
      <c r="C286" s="42" t="b">
        <f>_xlfn.XLOOKUP(Table61011[[#This Row],[Category No]],Table8[Category No],Table8[Chapter List],FALSE)</f>
        <v>0</v>
      </c>
      <c r="D286" s="42"/>
      <c r="E286" s="43"/>
    </row>
    <row r="287" spans="1:5" x14ac:dyDescent="0.3">
      <c r="A287" s="42">
        <v>286</v>
      </c>
      <c r="B287" s="42"/>
      <c r="C287" s="42" t="b">
        <f>_xlfn.XLOOKUP(Table61011[[#This Row],[Category No]],Table8[Category No],Table8[Chapter List],FALSE)</f>
        <v>0</v>
      </c>
      <c r="D287" s="42"/>
      <c r="E287" s="43"/>
    </row>
    <row r="288" spans="1:5" x14ac:dyDescent="0.3">
      <c r="A288" s="42">
        <v>287</v>
      </c>
      <c r="B288" s="42"/>
      <c r="C288" s="42" t="b">
        <f>_xlfn.XLOOKUP(Table61011[[#This Row],[Category No]],Table8[Category No],Table8[Chapter List],FALSE)</f>
        <v>0</v>
      </c>
      <c r="D288" s="42"/>
      <c r="E288" s="43"/>
    </row>
    <row r="289" spans="1:5" x14ac:dyDescent="0.3">
      <c r="A289" s="42">
        <v>288</v>
      </c>
      <c r="B289" s="42"/>
      <c r="C289" s="42" t="b">
        <f>_xlfn.XLOOKUP(Table61011[[#This Row],[Category No]],Table8[Category No],Table8[Chapter List],FALSE)</f>
        <v>0</v>
      </c>
      <c r="D289" s="42"/>
      <c r="E289" s="43"/>
    </row>
    <row r="290" spans="1:5" x14ac:dyDescent="0.3">
      <c r="A290" s="42">
        <v>289</v>
      </c>
      <c r="B290" s="42"/>
      <c r="C290" s="42" t="b">
        <f>_xlfn.XLOOKUP(Table61011[[#This Row],[Category No]],Table8[Category No],Table8[Chapter List],FALSE)</f>
        <v>0</v>
      </c>
      <c r="D290" s="42"/>
      <c r="E290" s="43"/>
    </row>
    <row r="291" spans="1:5" x14ac:dyDescent="0.3">
      <c r="A291" s="42">
        <v>290</v>
      </c>
      <c r="B291" s="42"/>
      <c r="C291" s="42" t="b">
        <f>_xlfn.XLOOKUP(Table61011[[#This Row],[Category No]],Table8[Category No],Table8[Chapter List],FALSE)</f>
        <v>0</v>
      </c>
      <c r="D291" s="42"/>
      <c r="E291" s="43"/>
    </row>
    <row r="292" spans="1:5" x14ac:dyDescent="0.3">
      <c r="A292" s="42">
        <v>291</v>
      </c>
      <c r="B292" s="42"/>
      <c r="C292" s="42" t="b">
        <f>_xlfn.XLOOKUP(Table61011[[#This Row],[Category No]],Table8[Category No],Table8[Chapter List],FALSE)</f>
        <v>0</v>
      </c>
      <c r="D292" s="42"/>
      <c r="E292" s="43"/>
    </row>
    <row r="293" spans="1:5" x14ac:dyDescent="0.3">
      <c r="A293" s="42">
        <v>292</v>
      </c>
      <c r="B293" s="42"/>
      <c r="C293" s="42" t="b">
        <f>_xlfn.XLOOKUP(Table61011[[#This Row],[Category No]],Table8[Category No],Table8[Chapter List],FALSE)</f>
        <v>0</v>
      </c>
      <c r="D293" s="42"/>
      <c r="E293" s="43"/>
    </row>
    <row r="294" spans="1:5" x14ac:dyDescent="0.3">
      <c r="A294" s="42">
        <v>293</v>
      </c>
      <c r="B294" s="42"/>
      <c r="C294" s="42" t="b">
        <f>_xlfn.XLOOKUP(Table61011[[#This Row],[Category No]],Table8[Category No],Table8[Chapter List],FALSE)</f>
        <v>0</v>
      </c>
      <c r="D294" s="42"/>
      <c r="E294" s="43"/>
    </row>
    <row r="295" spans="1:5" x14ac:dyDescent="0.3">
      <c r="A295" s="42">
        <v>294</v>
      </c>
      <c r="B295" s="42"/>
      <c r="C295" s="42" t="b">
        <f>_xlfn.XLOOKUP(Table61011[[#This Row],[Category No]],Table8[Category No],Table8[Chapter List],FALSE)</f>
        <v>0</v>
      </c>
      <c r="D295" s="42"/>
      <c r="E295" s="43"/>
    </row>
    <row r="296" spans="1:5" x14ac:dyDescent="0.3">
      <c r="A296" s="42">
        <v>295</v>
      </c>
      <c r="B296" s="42"/>
      <c r="C296" s="42" t="b">
        <f>_xlfn.XLOOKUP(Table61011[[#This Row],[Category No]],Table8[Category No],Table8[Chapter List],FALSE)</f>
        <v>0</v>
      </c>
      <c r="D296" s="42"/>
      <c r="E296" s="43"/>
    </row>
    <row r="297" spans="1:5" x14ac:dyDescent="0.3">
      <c r="A297" s="42">
        <v>296</v>
      </c>
      <c r="B297" s="42"/>
      <c r="C297" s="42" t="b">
        <f>_xlfn.XLOOKUP(Table61011[[#This Row],[Category No]],Table8[Category No],Table8[Chapter List],FALSE)</f>
        <v>0</v>
      </c>
      <c r="D297" s="42"/>
      <c r="E297" s="43"/>
    </row>
    <row r="298" spans="1:5" x14ac:dyDescent="0.3">
      <c r="A298" s="42">
        <v>297</v>
      </c>
      <c r="B298" s="42"/>
      <c r="C298" s="42" t="b">
        <f>_xlfn.XLOOKUP(Table61011[[#This Row],[Category No]],Table8[Category No],Table8[Chapter List],FALSE)</f>
        <v>0</v>
      </c>
      <c r="D298" s="42"/>
      <c r="E298" s="43"/>
    </row>
    <row r="299" spans="1:5" x14ac:dyDescent="0.3">
      <c r="A299" s="42">
        <v>298</v>
      </c>
      <c r="B299" s="42"/>
      <c r="C299" s="42" t="b">
        <f>_xlfn.XLOOKUP(Table61011[[#This Row],[Category No]],Table8[Category No],Table8[Chapter List],FALSE)</f>
        <v>0</v>
      </c>
      <c r="D299" s="42"/>
      <c r="E299" s="43"/>
    </row>
    <row r="300" spans="1:5" x14ac:dyDescent="0.3">
      <c r="A300" s="42">
        <v>299</v>
      </c>
      <c r="B300" s="42"/>
      <c r="C300" s="42" t="b">
        <f>_xlfn.XLOOKUP(Table61011[[#This Row],[Category No]],Table8[Category No],Table8[Chapter List],FALSE)</f>
        <v>0</v>
      </c>
      <c r="D300" s="42"/>
      <c r="E300" s="43"/>
    </row>
    <row r="301" spans="1:5" x14ac:dyDescent="0.3">
      <c r="A301" s="42">
        <v>300</v>
      </c>
      <c r="B301" s="42"/>
      <c r="C301" s="42" t="b">
        <f>_xlfn.XLOOKUP(Table61011[[#This Row],[Category No]],Table8[Category No],Table8[Chapter List],FALSE)</f>
        <v>0</v>
      </c>
      <c r="D301" s="42"/>
      <c r="E301" s="43"/>
    </row>
    <row r="302" spans="1:5" x14ac:dyDescent="0.3">
      <c r="A302" s="42">
        <v>301</v>
      </c>
      <c r="B302" s="42"/>
      <c r="C302" s="42" t="b">
        <f>_xlfn.XLOOKUP(Table61011[[#This Row],[Category No]],Table8[Category No],Table8[Chapter List],FALSE)</f>
        <v>0</v>
      </c>
      <c r="D302" s="42"/>
      <c r="E302" s="43"/>
    </row>
    <row r="303" spans="1:5" x14ac:dyDescent="0.3">
      <c r="A303" s="42">
        <v>302</v>
      </c>
      <c r="B303" s="42"/>
      <c r="C303" s="42" t="b">
        <f>_xlfn.XLOOKUP(Table61011[[#This Row],[Category No]],Table8[Category No],Table8[Chapter List],FALSE)</f>
        <v>0</v>
      </c>
      <c r="D303" s="42"/>
      <c r="E303" s="43"/>
    </row>
    <row r="304" spans="1:5" x14ac:dyDescent="0.3">
      <c r="A304" s="42">
        <v>303</v>
      </c>
      <c r="B304" s="42"/>
      <c r="C304" s="42" t="b">
        <f>_xlfn.XLOOKUP(Table61011[[#This Row],[Category No]],Table8[Category No],Table8[Chapter List],FALSE)</f>
        <v>0</v>
      </c>
      <c r="D304" s="42"/>
      <c r="E304" s="43"/>
    </row>
    <row r="305" spans="1:5" x14ac:dyDescent="0.3">
      <c r="A305" s="42">
        <v>304</v>
      </c>
      <c r="B305" s="42"/>
      <c r="C305" s="42" t="b">
        <f>_xlfn.XLOOKUP(Table61011[[#This Row],[Category No]],Table8[Category No],Table8[Chapter List],FALSE)</f>
        <v>0</v>
      </c>
      <c r="D305" s="42"/>
      <c r="E305" s="43"/>
    </row>
    <row r="306" spans="1:5" x14ac:dyDescent="0.3">
      <c r="A306" s="42">
        <v>305</v>
      </c>
      <c r="B306" s="42"/>
      <c r="C306" s="42" t="b">
        <f>_xlfn.XLOOKUP(Table61011[[#This Row],[Category No]],Table8[Category No],Table8[Chapter List],FALSE)</f>
        <v>0</v>
      </c>
      <c r="D306" s="42"/>
      <c r="E306" s="43"/>
    </row>
    <row r="307" spans="1:5" x14ac:dyDescent="0.3">
      <c r="A307" s="42">
        <v>306</v>
      </c>
      <c r="B307" s="42"/>
      <c r="C307" s="42" t="b">
        <f>_xlfn.XLOOKUP(Table61011[[#This Row],[Category No]],Table8[Category No],Table8[Chapter List],FALSE)</f>
        <v>0</v>
      </c>
      <c r="D307" s="42"/>
      <c r="E307" s="43"/>
    </row>
    <row r="308" spans="1:5" x14ac:dyDescent="0.3">
      <c r="A308" s="42">
        <v>307</v>
      </c>
      <c r="B308" s="42"/>
      <c r="C308" s="42" t="b">
        <f>_xlfn.XLOOKUP(Table61011[[#This Row],[Category No]],Table8[Category No],Table8[Chapter List],FALSE)</f>
        <v>0</v>
      </c>
      <c r="D308" s="42"/>
      <c r="E308" s="43"/>
    </row>
    <row r="309" spans="1:5" x14ac:dyDescent="0.3">
      <c r="A309" s="42">
        <v>308</v>
      </c>
      <c r="B309" s="42"/>
      <c r="C309" s="42" t="b">
        <f>_xlfn.XLOOKUP(Table61011[[#This Row],[Category No]],Table8[Category No],Table8[Chapter List],FALSE)</f>
        <v>0</v>
      </c>
      <c r="D309" s="42"/>
      <c r="E309" s="43"/>
    </row>
    <row r="310" spans="1:5" x14ac:dyDescent="0.3">
      <c r="A310" s="42">
        <v>309</v>
      </c>
      <c r="B310" s="42"/>
      <c r="C310" s="42" t="b">
        <f>_xlfn.XLOOKUP(Table61011[[#This Row],[Category No]],Table8[Category No],Table8[Chapter List],FALSE)</f>
        <v>0</v>
      </c>
      <c r="D310" s="42"/>
      <c r="E310" s="43"/>
    </row>
    <row r="311" spans="1:5" x14ac:dyDescent="0.3">
      <c r="A311" s="42">
        <v>310</v>
      </c>
      <c r="B311" s="42"/>
      <c r="C311" s="42" t="b">
        <f>_xlfn.XLOOKUP(Table61011[[#This Row],[Category No]],Table8[Category No],Table8[Chapter List],FALSE)</f>
        <v>0</v>
      </c>
      <c r="D311" s="42"/>
      <c r="E311" s="43"/>
    </row>
    <row r="312" spans="1:5" x14ac:dyDescent="0.3">
      <c r="A312" s="42">
        <v>311</v>
      </c>
      <c r="B312" s="42"/>
      <c r="C312" s="42" t="b">
        <f>_xlfn.XLOOKUP(Table61011[[#This Row],[Category No]],Table8[Category No],Table8[Chapter List],FALSE)</f>
        <v>0</v>
      </c>
      <c r="D312" s="42"/>
      <c r="E312" s="43"/>
    </row>
    <row r="313" spans="1:5" x14ac:dyDescent="0.3">
      <c r="A313" s="42">
        <v>312</v>
      </c>
      <c r="B313" s="42"/>
      <c r="C313" s="42" t="b">
        <f>_xlfn.XLOOKUP(Table61011[[#This Row],[Category No]],Table8[Category No],Table8[Chapter List],FALSE)</f>
        <v>0</v>
      </c>
      <c r="D313" s="42"/>
      <c r="E313" s="43"/>
    </row>
    <row r="314" spans="1:5" x14ac:dyDescent="0.3">
      <c r="A314" s="42">
        <v>313</v>
      </c>
      <c r="B314" s="42"/>
      <c r="C314" s="42" t="b">
        <f>_xlfn.XLOOKUP(Table61011[[#This Row],[Category No]],Table8[Category No],Table8[Chapter List],FALSE)</f>
        <v>0</v>
      </c>
      <c r="D314" s="42"/>
      <c r="E314" s="43"/>
    </row>
    <row r="315" spans="1:5" x14ac:dyDescent="0.3">
      <c r="A315" s="42">
        <v>314</v>
      </c>
      <c r="B315" s="42"/>
      <c r="C315" s="42" t="b">
        <f>_xlfn.XLOOKUP(Table61011[[#This Row],[Category No]],Table8[Category No],Table8[Chapter List],FALSE)</f>
        <v>0</v>
      </c>
      <c r="D315" s="42"/>
      <c r="E315" s="43"/>
    </row>
    <row r="316" spans="1:5" x14ac:dyDescent="0.3">
      <c r="A316" s="42">
        <v>315</v>
      </c>
      <c r="B316" s="42"/>
      <c r="C316" s="42" t="b">
        <f>_xlfn.XLOOKUP(Table61011[[#This Row],[Category No]],Table8[Category No],Table8[Chapter List],FALSE)</f>
        <v>0</v>
      </c>
      <c r="D316" s="42"/>
      <c r="E316" s="43"/>
    </row>
    <row r="317" spans="1:5" x14ac:dyDescent="0.3">
      <c r="A317" s="42">
        <v>316</v>
      </c>
      <c r="B317" s="42"/>
      <c r="C317" s="42" t="b">
        <f>_xlfn.XLOOKUP(Table61011[[#This Row],[Category No]],Table8[Category No],Table8[Chapter List],FALSE)</f>
        <v>0</v>
      </c>
      <c r="D317" s="42"/>
      <c r="E317" s="43"/>
    </row>
    <row r="318" spans="1:5" x14ac:dyDescent="0.3">
      <c r="A318" s="42">
        <v>317</v>
      </c>
      <c r="B318" s="42"/>
      <c r="C318" s="42" t="b">
        <f>_xlfn.XLOOKUP(Table61011[[#This Row],[Category No]],Table8[Category No],Table8[Chapter List],FALSE)</f>
        <v>0</v>
      </c>
      <c r="D318" s="42"/>
      <c r="E318" s="43"/>
    </row>
    <row r="319" spans="1:5" x14ac:dyDescent="0.3">
      <c r="A319" s="42">
        <v>318</v>
      </c>
      <c r="B319" s="42"/>
      <c r="C319" s="42" t="b">
        <f>_xlfn.XLOOKUP(Table61011[[#This Row],[Category No]],Table8[Category No],Table8[Chapter List],FALSE)</f>
        <v>0</v>
      </c>
      <c r="D319" s="42"/>
      <c r="E319" s="43"/>
    </row>
    <row r="320" spans="1:5" x14ac:dyDescent="0.3">
      <c r="A320" s="42">
        <v>319</v>
      </c>
      <c r="B320" s="42"/>
      <c r="C320" s="42" t="b">
        <f>_xlfn.XLOOKUP(Table61011[[#This Row],[Category No]],Table8[Category No],Table8[Chapter List],FALSE)</f>
        <v>0</v>
      </c>
      <c r="D320" s="42"/>
      <c r="E320" s="43"/>
    </row>
    <row r="321" spans="1:5" x14ac:dyDescent="0.3">
      <c r="A321" s="42">
        <v>320</v>
      </c>
      <c r="B321" s="42"/>
      <c r="C321" s="42" t="b">
        <f>_xlfn.XLOOKUP(Table61011[[#This Row],[Category No]],Table8[Category No],Table8[Chapter List],FALSE)</f>
        <v>0</v>
      </c>
      <c r="D321" s="42"/>
      <c r="E321" s="43"/>
    </row>
    <row r="322" spans="1:5" x14ac:dyDescent="0.3">
      <c r="A322" s="42">
        <v>321</v>
      </c>
      <c r="B322" s="42"/>
      <c r="C322" s="42" t="b">
        <f>_xlfn.XLOOKUP(Table61011[[#This Row],[Category No]],Table8[Category No],Table8[Chapter List],FALSE)</f>
        <v>0</v>
      </c>
      <c r="D322" s="42"/>
      <c r="E322" s="43"/>
    </row>
    <row r="323" spans="1:5" x14ac:dyDescent="0.3">
      <c r="A323" s="42">
        <v>322</v>
      </c>
      <c r="B323" s="42"/>
      <c r="C323" s="42" t="b">
        <f>_xlfn.XLOOKUP(Table61011[[#This Row],[Category No]],Table8[Category No],Table8[Chapter List],FALSE)</f>
        <v>0</v>
      </c>
      <c r="D323" s="42"/>
      <c r="E323" s="43"/>
    </row>
    <row r="324" spans="1:5" x14ac:dyDescent="0.3">
      <c r="A324" s="42">
        <v>323</v>
      </c>
      <c r="B324" s="42"/>
      <c r="C324" s="42" t="b">
        <f>_xlfn.XLOOKUP(Table61011[[#This Row],[Category No]],Table8[Category No],Table8[Chapter List],FALSE)</f>
        <v>0</v>
      </c>
      <c r="D324" s="42"/>
      <c r="E324" s="43"/>
    </row>
    <row r="325" spans="1:5" x14ac:dyDescent="0.3">
      <c r="A325" s="42">
        <v>324</v>
      </c>
      <c r="B325" s="42"/>
      <c r="C325" s="42" t="b">
        <f>_xlfn.XLOOKUP(Table61011[[#This Row],[Category No]],Table8[Category No],Table8[Chapter List],FALSE)</f>
        <v>0</v>
      </c>
      <c r="D325" s="42"/>
      <c r="E325" s="43"/>
    </row>
    <row r="326" spans="1:5" x14ac:dyDescent="0.3">
      <c r="A326" s="42">
        <v>325</v>
      </c>
      <c r="B326" s="42"/>
      <c r="C326" s="42" t="b">
        <f>_xlfn.XLOOKUP(Table61011[[#This Row],[Category No]],Table8[Category No],Table8[Chapter List],FALSE)</f>
        <v>0</v>
      </c>
      <c r="D326" s="42"/>
      <c r="E326" s="43"/>
    </row>
    <row r="327" spans="1:5" x14ac:dyDescent="0.3">
      <c r="A327" s="42">
        <v>326</v>
      </c>
      <c r="B327" s="42"/>
      <c r="C327" s="42" t="b">
        <f>_xlfn.XLOOKUP(Table61011[[#This Row],[Category No]],Table8[Category No],Table8[Chapter List],FALSE)</f>
        <v>0</v>
      </c>
      <c r="D327" s="42"/>
      <c r="E327" s="43"/>
    </row>
    <row r="328" spans="1:5" x14ac:dyDescent="0.3">
      <c r="A328" s="42">
        <v>327</v>
      </c>
      <c r="B328" s="42"/>
      <c r="C328" s="42" t="b">
        <f>_xlfn.XLOOKUP(Table61011[[#This Row],[Category No]],Table8[Category No],Table8[Chapter List],FALSE)</f>
        <v>0</v>
      </c>
      <c r="D328" s="42"/>
      <c r="E328" s="43"/>
    </row>
    <row r="329" spans="1:5" x14ac:dyDescent="0.3">
      <c r="A329" s="42">
        <v>328</v>
      </c>
      <c r="B329" s="42"/>
      <c r="C329" s="42" t="b">
        <f>_xlfn.XLOOKUP(Table61011[[#This Row],[Category No]],Table8[Category No],Table8[Chapter List],FALSE)</f>
        <v>0</v>
      </c>
      <c r="D329" s="42"/>
      <c r="E329" s="43"/>
    </row>
    <row r="330" spans="1:5" x14ac:dyDescent="0.3">
      <c r="A330" s="42">
        <v>329</v>
      </c>
      <c r="B330" s="42"/>
      <c r="C330" s="42" t="b">
        <f>_xlfn.XLOOKUP(Table61011[[#This Row],[Category No]],Table8[Category No],Table8[Chapter List],FALSE)</f>
        <v>0</v>
      </c>
      <c r="D330" s="42"/>
      <c r="E330" s="43"/>
    </row>
    <row r="331" spans="1:5" x14ac:dyDescent="0.3">
      <c r="A331" s="42">
        <v>330</v>
      </c>
      <c r="B331" s="42"/>
      <c r="C331" s="42" t="b">
        <f>_xlfn.XLOOKUP(Table61011[[#This Row],[Category No]],Table8[Category No],Table8[Chapter List],FALSE)</f>
        <v>0</v>
      </c>
      <c r="D331" s="42"/>
      <c r="E331" s="43"/>
    </row>
    <row r="332" spans="1:5" x14ac:dyDescent="0.3">
      <c r="A332" s="42">
        <v>331</v>
      </c>
      <c r="B332" s="42"/>
      <c r="C332" s="42" t="b">
        <f>_xlfn.XLOOKUP(Table61011[[#This Row],[Category No]],Table8[Category No],Table8[Chapter List],FALSE)</f>
        <v>0</v>
      </c>
      <c r="D332" s="42"/>
      <c r="E332" s="43"/>
    </row>
    <row r="333" spans="1:5" x14ac:dyDescent="0.3">
      <c r="A333" s="42">
        <v>332</v>
      </c>
      <c r="B333" s="42"/>
      <c r="C333" s="42" t="b">
        <f>_xlfn.XLOOKUP(Table61011[[#This Row],[Category No]],Table8[Category No],Table8[Chapter List],FALSE)</f>
        <v>0</v>
      </c>
      <c r="D333" s="42"/>
      <c r="E333" s="43"/>
    </row>
    <row r="334" spans="1:5" x14ac:dyDescent="0.3">
      <c r="A334" s="42">
        <v>333</v>
      </c>
      <c r="B334" s="42"/>
      <c r="C334" s="42" t="b">
        <f>_xlfn.XLOOKUP(Table61011[[#This Row],[Category No]],Table8[Category No],Table8[Chapter List],FALSE)</f>
        <v>0</v>
      </c>
      <c r="D334" s="42"/>
      <c r="E334" s="43"/>
    </row>
    <row r="335" spans="1:5" x14ac:dyDescent="0.3">
      <c r="A335" s="42">
        <v>334</v>
      </c>
      <c r="B335" s="42"/>
      <c r="C335" s="42" t="b">
        <f>_xlfn.XLOOKUP(Table61011[[#This Row],[Category No]],Table8[Category No],Table8[Chapter List],FALSE)</f>
        <v>0</v>
      </c>
      <c r="D335" s="42"/>
      <c r="E335" s="43"/>
    </row>
    <row r="336" spans="1:5" x14ac:dyDescent="0.3">
      <c r="A336" s="42">
        <v>335</v>
      </c>
      <c r="B336" s="42"/>
      <c r="C336" s="42" t="b">
        <f>_xlfn.XLOOKUP(Table61011[[#This Row],[Category No]],Table8[Category No],Table8[Chapter List],FALSE)</f>
        <v>0</v>
      </c>
      <c r="D336" s="42"/>
      <c r="E336" s="43"/>
    </row>
    <row r="337" spans="1:5" x14ac:dyDescent="0.3">
      <c r="A337" s="42">
        <v>336</v>
      </c>
      <c r="B337" s="42"/>
      <c r="C337" s="42" t="b">
        <f>_xlfn.XLOOKUP(Table61011[[#This Row],[Category No]],Table8[Category No],Table8[Chapter List],FALSE)</f>
        <v>0</v>
      </c>
      <c r="D337" s="42"/>
      <c r="E337" s="43"/>
    </row>
    <row r="338" spans="1:5" x14ac:dyDescent="0.3">
      <c r="A338" s="42">
        <v>337</v>
      </c>
      <c r="B338" s="42"/>
      <c r="C338" s="42" t="b">
        <f>_xlfn.XLOOKUP(Table61011[[#This Row],[Category No]],Table8[Category No],Table8[Chapter List],FALSE)</f>
        <v>0</v>
      </c>
      <c r="D338" s="42"/>
      <c r="E338" s="43"/>
    </row>
    <row r="339" spans="1:5" x14ac:dyDescent="0.3">
      <c r="A339" s="42">
        <v>338</v>
      </c>
      <c r="B339" s="42"/>
      <c r="C339" s="42" t="b">
        <f>_xlfn.XLOOKUP(Table61011[[#This Row],[Category No]],Table8[Category No],Table8[Chapter List],FALSE)</f>
        <v>0</v>
      </c>
      <c r="D339" s="42"/>
      <c r="E339" s="43"/>
    </row>
    <row r="340" spans="1:5" x14ac:dyDescent="0.3">
      <c r="A340" s="42">
        <v>339</v>
      </c>
      <c r="B340" s="42"/>
      <c r="C340" s="42" t="b">
        <f>_xlfn.XLOOKUP(Table61011[[#This Row],[Category No]],Table8[Category No],Table8[Chapter List],FALSE)</f>
        <v>0</v>
      </c>
      <c r="D340" s="42"/>
      <c r="E340" s="43"/>
    </row>
    <row r="341" spans="1:5" x14ac:dyDescent="0.3">
      <c r="A341" s="42">
        <v>340</v>
      </c>
      <c r="B341" s="42"/>
      <c r="C341" s="42" t="b">
        <f>_xlfn.XLOOKUP(Table61011[[#This Row],[Category No]],Table8[Category No],Table8[Chapter List],FALSE)</f>
        <v>0</v>
      </c>
      <c r="D341" s="42"/>
      <c r="E341" s="43"/>
    </row>
    <row r="342" spans="1:5" x14ac:dyDescent="0.3">
      <c r="A342" s="42">
        <v>341</v>
      </c>
      <c r="B342" s="42"/>
      <c r="C342" s="42" t="b">
        <f>_xlfn.XLOOKUP(Table61011[[#This Row],[Category No]],Table8[Category No],Table8[Chapter List],FALSE)</f>
        <v>0</v>
      </c>
      <c r="D342" s="42"/>
      <c r="E342" s="43"/>
    </row>
    <row r="343" spans="1:5" x14ac:dyDescent="0.3">
      <c r="A343" s="42">
        <v>342</v>
      </c>
      <c r="B343" s="42"/>
      <c r="C343" s="42" t="b">
        <f>_xlfn.XLOOKUP(Table61011[[#This Row],[Category No]],Table8[Category No],Table8[Chapter List],FALSE)</f>
        <v>0</v>
      </c>
      <c r="D343" s="42"/>
      <c r="E343" s="43"/>
    </row>
    <row r="344" spans="1:5" x14ac:dyDescent="0.3">
      <c r="A344" s="42">
        <v>343</v>
      </c>
      <c r="B344" s="42"/>
      <c r="C344" s="42" t="b">
        <f>_xlfn.XLOOKUP(Table61011[[#This Row],[Category No]],Table8[Category No],Table8[Chapter List],FALSE)</f>
        <v>0</v>
      </c>
      <c r="D344" s="42"/>
      <c r="E344" s="43"/>
    </row>
    <row r="345" spans="1:5" x14ac:dyDescent="0.3">
      <c r="A345" s="42">
        <v>344</v>
      </c>
      <c r="B345" s="42"/>
      <c r="C345" s="42" t="b">
        <f>_xlfn.XLOOKUP(Table61011[[#This Row],[Category No]],Table8[Category No],Table8[Chapter List],FALSE)</f>
        <v>0</v>
      </c>
      <c r="D345" s="42"/>
      <c r="E345" s="43"/>
    </row>
    <row r="346" spans="1:5" x14ac:dyDescent="0.3">
      <c r="A346" s="42">
        <v>345</v>
      </c>
      <c r="B346" s="42"/>
      <c r="C346" s="42" t="b">
        <f>_xlfn.XLOOKUP(Table61011[[#This Row],[Category No]],Table8[Category No],Table8[Chapter List],FALSE)</f>
        <v>0</v>
      </c>
      <c r="D346" s="42"/>
      <c r="E346" s="43"/>
    </row>
    <row r="347" spans="1:5" x14ac:dyDescent="0.3">
      <c r="A347" s="42">
        <v>346</v>
      </c>
      <c r="B347" s="42"/>
      <c r="C347" s="42" t="b">
        <f>_xlfn.XLOOKUP(Table61011[[#This Row],[Category No]],Table8[Category No],Table8[Chapter List],FALSE)</f>
        <v>0</v>
      </c>
      <c r="D347" s="42"/>
      <c r="E347" s="43"/>
    </row>
    <row r="348" spans="1:5" x14ac:dyDescent="0.3">
      <c r="A348" s="42">
        <v>347</v>
      </c>
      <c r="B348" s="42"/>
      <c r="C348" s="42" t="b">
        <f>_xlfn.XLOOKUP(Table61011[[#This Row],[Category No]],Table8[Category No],Table8[Chapter List],FALSE)</f>
        <v>0</v>
      </c>
      <c r="D348" s="42"/>
      <c r="E348" s="43"/>
    </row>
    <row r="349" spans="1:5" x14ac:dyDescent="0.3">
      <c r="A349" s="42">
        <v>348</v>
      </c>
      <c r="B349" s="42"/>
      <c r="C349" s="42" t="b">
        <f>_xlfn.XLOOKUP(Table61011[[#This Row],[Category No]],Table8[Category No],Table8[Chapter List],FALSE)</f>
        <v>0</v>
      </c>
      <c r="D349" s="42"/>
      <c r="E349" s="43"/>
    </row>
    <row r="350" spans="1:5" x14ac:dyDescent="0.3">
      <c r="A350" s="42">
        <v>349</v>
      </c>
      <c r="B350" s="42"/>
      <c r="C350" s="42" t="b">
        <f>_xlfn.XLOOKUP(Table61011[[#This Row],[Category No]],Table8[Category No],Table8[Chapter List],FALSE)</f>
        <v>0</v>
      </c>
      <c r="D350" s="42"/>
      <c r="E350" s="43"/>
    </row>
    <row r="351" spans="1:5" x14ac:dyDescent="0.3">
      <c r="A351" s="42">
        <v>350</v>
      </c>
      <c r="B351" s="42"/>
      <c r="C351" s="42" t="b">
        <f>_xlfn.XLOOKUP(Table61011[[#This Row],[Category No]],Table8[Category No],Table8[Chapter List],FALSE)</f>
        <v>0</v>
      </c>
      <c r="D351" s="42"/>
      <c r="E351" s="43"/>
    </row>
    <row r="352" spans="1:5" x14ac:dyDescent="0.3">
      <c r="A352" s="42">
        <v>351</v>
      </c>
      <c r="B352" s="42"/>
      <c r="C352" s="42" t="b">
        <f>_xlfn.XLOOKUP(Table61011[[#This Row],[Category No]],Table8[Category No],Table8[Chapter List],FALSE)</f>
        <v>0</v>
      </c>
      <c r="D352" s="42"/>
      <c r="E352" s="43"/>
    </row>
    <row r="353" spans="1:5" x14ac:dyDescent="0.3">
      <c r="A353" s="42">
        <v>352</v>
      </c>
      <c r="B353" s="42"/>
      <c r="C353" s="42" t="b">
        <f>_xlfn.XLOOKUP(Table61011[[#This Row],[Category No]],Table8[Category No],Table8[Chapter List],FALSE)</f>
        <v>0</v>
      </c>
      <c r="D353" s="42"/>
      <c r="E353" s="43"/>
    </row>
    <row r="354" spans="1:5" x14ac:dyDescent="0.3">
      <c r="A354" s="42">
        <v>353</v>
      </c>
      <c r="B354" s="42"/>
      <c r="C354" s="42" t="b">
        <f>_xlfn.XLOOKUP(Table61011[[#This Row],[Category No]],Table8[Category No],Table8[Chapter List],FALSE)</f>
        <v>0</v>
      </c>
      <c r="D354" s="42"/>
      <c r="E354" s="43"/>
    </row>
    <row r="355" spans="1:5" x14ac:dyDescent="0.3">
      <c r="A355" s="42">
        <v>354</v>
      </c>
      <c r="B355" s="42"/>
      <c r="C355" s="42" t="b">
        <f>_xlfn.XLOOKUP(Table61011[[#This Row],[Category No]],Table8[Category No],Table8[Chapter List],FALSE)</f>
        <v>0</v>
      </c>
      <c r="D355" s="42"/>
      <c r="E355" s="43"/>
    </row>
    <row r="356" spans="1:5" x14ac:dyDescent="0.3">
      <c r="A356" s="42">
        <v>355</v>
      </c>
      <c r="B356" s="42"/>
      <c r="C356" s="42" t="b">
        <f>_xlfn.XLOOKUP(Table61011[[#This Row],[Category No]],Table8[Category No],Table8[Chapter List],FALSE)</f>
        <v>0</v>
      </c>
      <c r="D356" s="42"/>
      <c r="E356" s="43"/>
    </row>
    <row r="357" spans="1:5" x14ac:dyDescent="0.3">
      <c r="A357" s="42">
        <v>356</v>
      </c>
      <c r="B357" s="42"/>
      <c r="C357" s="42" t="b">
        <f>_xlfn.XLOOKUP(Table61011[[#This Row],[Category No]],Table8[Category No],Table8[Chapter List],FALSE)</f>
        <v>0</v>
      </c>
      <c r="D357" s="42"/>
      <c r="E357" s="43"/>
    </row>
    <row r="358" spans="1:5" x14ac:dyDescent="0.3">
      <c r="A358" s="42">
        <v>357</v>
      </c>
      <c r="B358" s="42"/>
      <c r="C358" s="42" t="b">
        <f>_xlfn.XLOOKUP(Table61011[[#This Row],[Category No]],Table8[Category No],Table8[Chapter List],FALSE)</f>
        <v>0</v>
      </c>
      <c r="D358" s="42"/>
      <c r="E358" s="43"/>
    </row>
    <row r="359" spans="1:5" x14ac:dyDescent="0.3">
      <c r="A359" s="42">
        <v>358</v>
      </c>
      <c r="B359" s="42"/>
      <c r="C359" s="42" t="b">
        <f>_xlfn.XLOOKUP(Table61011[[#This Row],[Category No]],Table8[Category No],Table8[Chapter List],FALSE)</f>
        <v>0</v>
      </c>
      <c r="D359" s="42"/>
      <c r="E359" s="43"/>
    </row>
    <row r="360" spans="1:5" x14ac:dyDescent="0.3">
      <c r="A360" s="42">
        <v>359</v>
      </c>
      <c r="B360" s="42"/>
      <c r="C360" s="42" t="b">
        <f>_xlfn.XLOOKUP(Table61011[[#This Row],[Category No]],Table8[Category No],Table8[Chapter List],FALSE)</f>
        <v>0</v>
      </c>
      <c r="D360" s="42"/>
      <c r="E360" s="43"/>
    </row>
    <row r="361" spans="1:5" x14ac:dyDescent="0.3">
      <c r="A361" s="42">
        <v>360</v>
      </c>
      <c r="B361" s="42"/>
      <c r="C361" s="42" t="b">
        <f>_xlfn.XLOOKUP(Table61011[[#This Row],[Category No]],Table8[Category No],Table8[Chapter List],FALSE)</f>
        <v>0</v>
      </c>
      <c r="D361" s="42"/>
      <c r="E361" s="43"/>
    </row>
    <row r="362" spans="1:5" x14ac:dyDescent="0.3">
      <c r="A362" s="42">
        <v>361</v>
      </c>
      <c r="B362" s="42"/>
      <c r="C362" s="42" t="b">
        <f>_xlfn.XLOOKUP(Table61011[[#This Row],[Category No]],Table8[Category No],Table8[Chapter List],FALSE)</f>
        <v>0</v>
      </c>
      <c r="D362" s="42"/>
      <c r="E362" s="43"/>
    </row>
    <row r="363" spans="1:5" x14ac:dyDescent="0.3">
      <c r="A363" s="42">
        <v>362</v>
      </c>
      <c r="B363" s="42"/>
      <c r="C363" s="42" t="b">
        <f>_xlfn.XLOOKUP(Table61011[[#This Row],[Category No]],Table8[Category No],Table8[Chapter List],FALSE)</f>
        <v>0</v>
      </c>
      <c r="D363" s="42"/>
      <c r="E363" s="43"/>
    </row>
    <row r="364" spans="1:5" x14ac:dyDescent="0.3">
      <c r="A364" s="42">
        <v>363</v>
      </c>
      <c r="B364" s="42"/>
      <c r="C364" s="42" t="b">
        <f>_xlfn.XLOOKUP(Table61011[[#This Row],[Category No]],Table8[Category No],Table8[Chapter List],FALSE)</f>
        <v>0</v>
      </c>
      <c r="D364" s="42"/>
      <c r="E364" s="43"/>
    </row>
    <row r="365" spans="1:5" x14ac:dyDescent="0.3">
      <c r="A365" s="42">
        <v>364</v>
      </c>
      <c r="B365" s="42"/>
      <c r="C365" s="42" t="b">
        <f>_xlfn.XLOOKUP(Table61011[[#This Row],[Category No]],Table8[Category No],Table8[Chapter List],FALSE)</f>
        <v>0</v>
      </c>
      <c r="D365" s="42"/>
      <c r="E365" s="43"/>
    </row>
    <row r="366" spans="1:5" x14ac:dyDescent="0.3">
      <c r="A366" s="42">
        <v>365</v>
      </c>
      <c r="B366" s="42"/>
      <c r="C366" s="42" t="b">
        <f>_xlfn.XLOOKUP(Table61011[[#This Row],[Category No]],Table8[Category No],Table8[Chapter List],FALSE)</f>
        <v>0</v>
      </c>
      <c r="D366" s="42"/>
      <c r="E366" s="43"/>
    </row>
    <row r="367" spans="1:5" x14ac:dyDescent="0.3">
      <c r="A367" s="42">
        <v>366</v>
      </c>
      <c r="B367" s="42"/>
      <c r="C367" s="42" t="b">
        <f>_xlfn.XLOOKUP(Table61011[[#This Row],[Category No]],Table8[Category No],Table8[Chapter List],FALSE)</f>
        <v>0</v>
      </c>
      <c r="D367" s="42"/>
      <c r="E367" s="43"/>
    </row>
    <row r="368" spans="1:5" x14ac:dyDescent="0.3">
      <c r="A368" s="42">
        <v>367</v>
      </c>
      <c r="B368" s="42"/>
      <c r="C368" s="42" t="b">
        <f>_xlfn.XLOOKUP(Table61011[[#This Row],[Category No]],Table8[Category No],Table8[Chapter List],FALSE)</f>
        <v>0</v>
      </c>
      <c r="D368" s="42"/>
      <c r="E368" s="43"/>
    </row>
    <row r="369" spans="1:5" x14ac:dyDescent="0.3">
      <c r="A369" s="42">
        <v>368</v>
      </c>
      <c r="B369" s="42"/>
      <c r="C369" s="42" t="b">
        <f>_xlfn.XLOOKUP(Table61011[[#This Row],[Category No]],Table8[Category No],Table8[Chapter List],FALSE)</f>
        <v>0</v>
      </c>
      <c r="D369" s="42"/>
      <c r="E369" s="43"/>
    </row>
    <row r="370" spans="1:5" x14ac:dyDescent="0.3">
      <c r="A370" s="42">
        <v>369</v>
      </c>
      <c r="B370" s="42"/>
      <c r="C370" s="42" t="b">
        <f>_xlfn.XLOOKUP(Table61011[[#This Row],[Category No]],Table8[Category No],Table8[Chapter List],FALSE)</f>
        <v>0</v>
      </c>
      <c r="D370" s="42"/>
      <c r="E370" s="43"/>
    </row>
    <row r="371" spans="1:5" x14ac:dyDescent="0.3">
      <c r="A371" s="42">
        <v>370</v>
      </c>
      <c r="B371" s="42"/>
      <c r="C371" s="42" t="b">
        <f>_xlfn.XLOOKUP(Table61011[[#This Row],[Category No]],Table8[Category No],Table8[Chapter List],FALSE)</f>
        <v>0</v>
      </c>
      <c r="D371" s="42"/>
      <c r="E371" s="43"/>
    </row>
    <row r="372" spans="1:5" x14ac:dyDescent="0.3">
      <c r="A372" s="42">
        <v>371</v>
      </c>
      <c r="B372" s="42"/>
      <c r="C372" s="42" t="b">
        <f>_xlfn.XLOOKUP(Table61011[[#This Row],[Category No]],Table8[Category No],Table8[Chapter List],FALSE)</f>
        <v>0</v>
      </c>
      <c r="D372" s="42"/>
      <c r="E372" s="43"/>
    </row>
    <row r="373" spans="1:5" x14ac:dyDescent="0.3">
      <c r="A373" s="42">
        <v>372</v>
      </c>
      <c r="B373" s="42"/>
      <c r="C373" s="42" t="b">
        <f>_xlfn.XLOOKUP(Table61011[[#This Row],[Category No]],Table8[Category No],Table8[Chapter List],FALSE)</f>
        <v>0</v>
      </c>
      <c r="D373" s="42"/>
      <c r="E373" s="43"/>
    </row>
    <row r="374" spans="1:5" x14ac:dyDescent="0.3">
      <c r="A374" s="42">
        <v>373</v>
      </c>
      <c r="B374" s="42"/>
      <c r="C374" s="42" t="b">
        <f>_xlfn.XLOOKUP(Table61011[[#This Row],[Category No]],Table8[Category No],Table8[Chapter List],FALSE)</f>
        <v>0</v>
      </c>
      <c r="D374" s="42"/>
      <c r="E374" s="43"/>
    </row>
    <row r="375" spans="1:5" x14ac:dyDescent="0.3">
      <c r="A375" s="42">
        <v>374</v>
      </c>
      <c r="B375" s="42"/>
      <c r="C375" s="42" t="b">
        <f>_xlfn.XLOOKUP(Table61011[[#This Row],[Category No]],Table8[Category No],Table8[Chapter List],FALSE)</f>
        <v>0</v>
      </c>
      <c r="D375" s="42"/>
      <c r="E375" s="43"/>
    </row>
    <row r="376" spans="1:5" x14ac:dyDescent="0.3">
      <c r="A376" s="42">
        <v>375</v>
      </c>
      <c r="B376" s="42"/>
      <c r="C376" s="42" t="b">
        <f>_xlfn.XLOOKUP(Table61011[[#This Row],[Category No]],Table8[Category No],Table8[Chapter List],FALSE)</f>
        <v>0</v>
      </c>
      <c r="D376" s="42"/>
      <c r="E376" s="43"/>
    </row>
    <row r="377" spans="1:5" x14ac:dyDescent="0.3">
      <c r="A377" s="42">
        <v>376</v>
      </c>
      <c r="B377" s="42"/>
      <c r="C377" s="42" t="b">
        <f>_xlfn.XLOOKUP(Table61011[[#This Row],[Category No]],Table8[Category No],Table8[Chapter List],FALSE)</f>
        <v>0</v>
      </c>
      <c r="D377" s="42"/>
      <c r="E377" s="43"/>
    </row>
    <row r="378" spans="1:5" x14ac:dyDescent="0.3">
      <c r="A378" s="42">
        <v>377</v>
      </c>
      <c r="B378" s="42"/>
      <c r="C378" s="42" t="b">
        <f>_xlfn.XLOOKUP(Table61011[[#This Row],[Category No]],Table8[Category No],Table8[Chapter List],FALSE)</f>
        <v>0</v>
      </c>
      <c r="D378" s="42"/>
      <c r="E378" s="43"/>
    </row>
    <row r="379" spans="1:5" x14ac:dyDescent="0.3">
      <c r="A379" s="42">
        <v>378</v>
      </c>
      <c r="B379" s="42"/>
      <c r="C379" s="42" t="b">
        <f>_xlfn.XLOOKUP(Table61011[[#This Row],[Category No]],Table8[Category No],Table8[Chapter List],FALSE)</f>
        <v>0</v>
      </c>
      <c r="D379" s="42"/>
      <c r="E379" s="43"/>
    </row>
    <row r="380" spans="1:5" x14ac:dyDescent="0.3">
      <c r="A380" s="42">
        <v>379</v>
      </c>
      <c r="B380" s="42"/>
      <c r="C380" s="42" t="b">
        <f>_xlfn.XLOOKUP(Table61011[[#This Row],[Category No]],Table8[Category No],Table8[Chapter List],FALSE)</f>
        <v>0</v>
      </c>
      <c r="D380" s="42"/>
      <c r="E380" s="43"/>
    </row>
    <row r="381" spans="1:5" x14ac:dyDescent="0.3">
      <c r="A381" s="42">
        <v>380</v>
      </c>
      <c r="B381" s="42"/>
      <c r="C381" s="42" t="b">
        <f>_xlfn.XLOOKUP(Table61011[[#This Row],[Category No]],Table8[Category No],Table8[Chapter List],FALSE)</f>
        <v>0</v>
      </c>
      <c r="D381" s="42"/>
      <c r="E381" s="43"/>
    </row>
    <row r="382" spans="1:5" x14ac:dyDescent="0.3">
      <c r="A382" s="42">
        <v>381</v>
      </c>
      <c r="B382" s="42"/>
      <c r="C382" s="42" t="b">
        <f>_xlfn.XLOOKUP(Table61011[[#This Row],[Category No]],Table8[Category No],Table8[Chapter List],FALSE)</f>
        <v>0</v>
      </c>
      <c r="D382" s="42"/>
      <c r="E382" s="43"/>
    </row>
    <row r="383" spans="1:5" x14ac:dyDescent="0.3">
      <c r="A383" s="42">
        <v>382</v>
      </c>
      <c r="B383" s="42"/>
      <c r="C383" s="42" t="b">
        <f>_xlfn.XLOOKUP(Table61011[[#This Row],[Category No]],Table8[Category No],Table8[Chapter List],FALSE)</f>
        <v>0</v>
      </c>
      <c r="D383" s="42"/>
      <c r="E383" s="43"/>
    </row>
    <row r="384" spans="1:5" x14ac:dyDescent="0.3">
      <c r="A384" s="42">
        <v>383</v>
      </c>
      <c r="B384" s="42"/>
      <c r="C384" s="42" t="b">
        <f>_xlfn.XLOOKUP(Table61011[[#This Row],[Category No]],Table8[Category No],Table8[Chapter List],FALSE)</f>
        <v>0</v>
      </c>
      <c r="D384" s="42"/>
      <c r="E384" s="43"/>
    </row>
    <row r="385" spans="1:5" x14ac:dyDescent="0.3">
      <c r="A385" s="42">
        <v>384</v>
      </c>
      <c r="B385" s="42"/>
      <c r="C385" s="42" t="b">
        <f>_xlfn.XLOOKUP(Table61011[[#This Row],[Category No]],Table8[Category No],Table8[Chapter List],FALSE)</f>
        <v>0</v>
      </c>
      <c r="D385" s="42"/>
      <c r="E385" s="43"/>
    </row>
    <row r="386" spans="1:5" x14ac:dyDescent="0.3">
      <c r="A386" s="42">
        <v>385</v>
      </c>
      <c r="B386" s="42"/>
      <c r="C386" s="42" t="b">
        <f>_xlfn.XLOOKUP(Table61011[[#This Row],[Category No]],Table8[Category No],Table8[Chapter List],FALSE)</f>
        <v>0</v>
      </c>
      <c r="D386" s="42"/>
      <c r="E386" s="43"/>
    </row>
    <row r="387" spans="1:5" x14ac:dyDescent="0.3">
      <c r="A387" s="42">
        <v>386</v>
      </c>
      <c r="B387" s="42"/>
      <c r="C387" s="42" t="b">
        <f>_xlfn.XLOOKUP(Table61011[[#This Row],[Category No]],Table8[Category No],Table8[Chapter List],FALSE)</f>
        <v>0</v>
      </c>
      <c r="D387" s="42"/>
      <c r="E387" s="43"/>
    </row>
    <row r="388" spans="1:5" x14ac:dyDescent="0.3">
      <c r="A388" s="42">
        <v>387</v>
      </c>
      <c r="B388" s="42"/>
      <c r="C388" s="42" t="b">
        <f>_xlfn.XLOOKUP(Table61011[[#This Row],[Category No]],Table8[Category No],Table8[Chapter List],FALSE)</f>
        <v>0</v>
      </c>
      <c r="D388" s="42"/>
      <c r="E388" s="43"/>
    </row>
    <row r="389" spans="1:5" x14ac:dyDescent="0.3">
      <c r="A389" s="42">
        <v>388</v>
      </c>
      <c r="B389" s="42"/>
      <c r="C389" s="42" t="b">
        <f>_xlfn.XLOOKUP(Table61011[[#This Row],[Category No]],Table8[Category No],Table8[Chapter List],FALSE)</f>
        <v>0</v>
      </c>
      <c r="D389" s="42"/>
      <c r="E389" s="43"/>
    </row>
    <row r="390" spans="1:5" x14ac:dyDescent="0.3">
      <c r="A390" s="42">
        <v>389</v>
      </c>
      <c r="B390" s="42"/>
      <c r="C390" s="42" t="b">
        <f>_xlfn.XLOOKUP(Table61011[[#This Row],[Category No]],Table8[Category No],Table8[Chapter List],FALSE)</f>
        <v>0</v>
      </c>
      <c r="D390" s="42"/>
      <c r="E390" s="43"/>
    </row>
    <row r="391" spans="1:5" x14ac:dyDescent="0.3">
      <c r="A391" s="42">
        <v>390</v>
      </c>
      <c r="B391" s="42"/>
      <c r="C391" s="42" t="b">
        <f>_xlfn.XLOOKUP(Table61011[[#This Row],[Category No]],Table8[Category No],Table8[Chapter List],FALSE)</f>
        <v>0</v>
      </c>
      <c r="D391" s="42"/>
      <c r="E391" s="43"/>
    </row>
    <row r="392" spans="1:5" x14ac:dyDescent="0.3">
      <c r="A392" s="42">
        <v>391</v>
      </c>
      <c r="B392" s="42"/>
      <c r="C392" s="42" t="b">
        <f>_xlfn.XLOOKUP(Table61011[[#This Row],[Category No]],Table8[Category No],Table8[Chapter List],FALSE)</f>
        <v>0</v>
      </c>
      <c r="D392" s="42"/>
      <c r="E392" s="43"/>
    </row>
    <row r="393" spans="1:5" x14ac:dyDescent="0.3">
      <c r="A393" s="42">
        <v>392</v>
      </c>
      <c r="B393" s="42"/>
      <c r="C393" s="42" t="b">
        <f>_xlfn.XLOOKUP(Table61011[[#This Row],[Category No]],Table8[Category No],Table8[Chapter List],FALSE)</f>
        <v>0</v>
      </c>
      <c r="D393" s="42"/>
      <c r="E393" s="43"/>
    </row>
    <row r="394" spans="1:5" x14ac:dyDescent="0.3">
      <c r="A394" s="42">
        <v>393</v>
      </c>
      <c r="B394" s="42"/>
      <c r="C394" s="42" t="b">
        <f>_xlfn.XLOOKUP(Table61011[[#This Row],[Category No]],Table8[Category No],Table8[Chapter List],FALSE)</f>
        <v>0</v>
      </c>
      <c r="D394" s="42"/>
      <c r="E394" s="43"/>
    </row>
    <row r="395" spans="1:5" x14ac:dyDescent="0.3">
      <c r="A395" s="42">
        <v>394</v>
      </c>
      <c r="B395" s="42"/>
      <c r="C395" s="42" t="b">
        <f>_xlfn.XLOOKUP(Table61011[[#This Row],[Category No]],Table8[Category No],Table8[Chapter List],FALSE)</f>
        <v>0</v>
      </c>
      <c r="D395" s="42"/>
      <c r="E395" s="43"/>
    </row>
    <row r="396" spans="1:5" x14ac:dyDescent="0.3">
      <c r="A396" s="42">
        <v>395</v>
      </c>
      <c r="B396" s="42"/>
      <c r="C396" s="42" t="b">
        <f>_xlfn.XLOOKUP(Table61011[[#This Row],[Category No]],Table8[Category No],Table8[Chapter List],FALSE)</f>
        <v>0</v>
      </c>
      <c r="D396" s="42"/>
      <c r="E396" s="43"/>
    </row>
    <row r="397" spans="1:5" x14ac:dyDescent="0.3">
      <c r="A397" s="42">
        <v>396</v>
      </c>
      <c r="B397" s="42"/>
      <c r="C397" s="42" t="b">
        <f>_xlfn.XLOOKUP(Table61011[[#This Row],[Category No]],Table8[Category No],Table8[Chapter List],FALSE)</f>
        <v>0</v>
      </c>
      <c r="D397" s="42"/>
      <c r="E397" s="43"/>
    </row>
    <row r="398" spans="1:5" x14ac:dyDescent="0.3">
      <c r="A398" s="42">
        <v>397</v>
      </c>
      <c r="B398" s="42"/>
      <c r="C398" s="42" t="b">
        <f>_xlfn.XLOOKUP(Table61011[[#This Row],[Category No]],Table8[Category No],Table8[Chapter List],FALSE)</f>
        <v>0</v>
      </c>
      <c r="D398" s="42"/>
      <c r="E398" s="43"/>
    </row>
    <row r="399" spans="1:5" x14ac:dyDescent="0.3">
      <c r="A399" s="42">
        <v>398</v>
      </c>
      <c r="B399" s="42"/>
      <c r="C399" s="42" t="b">
        <f>_xlfn.XLOOKUP(Table61011[[#This Row],[Category No]],Table8[Category No],Table8[Chapter List],FALSE)</f>
        <v>0</v>
      </c>
      <c r="D399" s="42"/>
      <c r="E399" s="43"/>
    </row>
    <row r="400" spans="1:5" x14ac:dyDescent="0.3">
      <c r="A400" s="42">
        <v>399</v>
      </c>
      <c r="B400" s="42"/>
      <c r="C400" s="42" t="b">
        <f>_xlfn.XLOOKUP(Table61011[[#This Row],[Category No]],Table8[Category No],Table8[Chapter List],FALSE)</f>
        <v>0</v>
      </c>
      <c r="D400" s="42"/>
      <c r="E400" s="43"/>
    </row>
    <row r="401" spans="1:5" x14ac:dyDescent="0.3">
      <c r="A401" s="42">
        <v>400</v>
      </c>
      <c r="B401" s="42"/>
      <c r="C401" s="42" t="b">
        <f>_xlfn.XLOOKUP(Table61011[[#This Row],[Category No]],Table8[Category No],Table8[Chapter List],FALSE)</f>
        <v>0</v>
      </c>
      <c r="D401" s="42"/>
      <c r="E401" s="43"/>
    </row>
    <row r="402" spans="1:5" x14ac:dyDescent="0.3">
      <c r="A402" s="42">
        <v>401</v>
      </c>
      <c r="B402" s="42"/>
      <c r="C402" s="42" t="b">
        <f>_xlfn.XLOOKUP(Table61011[[#This Row],[Category No]],Table8[Category No],Table8[Chapter List],FALSE)</f>
        <v>0</v>
      </c>
      <c r="D402" s="42"/>
      <c r="E402" s="43"/>
    </row>
    <row r="403" spans="1:5" x14ac:dyDescent="0.3">
      <c r="A403" s="42">
        <v>402</v>
      </c>
      <c r="B403" s="42"/>
      <c r="C403" s="42" t="b">
        <f>_xlfn.XLOOKUP(Table61011[[#This Row],[Category No]],Table8[Category No],Table8[Chapter List],FALSE)</f>
        <v>0</v>
      </c>
      <c r="D403" s="42"/>
      <c r="E403" s="43"/>
    </row>
    <row r="404" spans="1:5" x14ac:dyDescent="0.3">
      <c r="A404" s="42">
        <v>403</v>
      </c>
      <c r="B404" s="42"/>
      <c r="C404" s="42" t="b">
        <f>_xlfn.XLOOKUP(Table61011[[#This Row],[Category No]],Table8[Category No],Table8[Chapter List],FALSE)</f>
        <v>0</v>
      </c>
      <c r="D404" s="42"/>
      <c r="E404" s="43"/>
    </row>
    <row r="405" spans="1:5" x14ac:dyDescent="0.3">
      <c r="A405" s="42">
        <v>404</v>
      </c>
      <c r="B405" s="42"/>
      <c r="C405" s="42" t="b">
        <f>_xlfn.XLOOKUP(Table61011[[#This Row],[Category No]],Table8[Category No],Table8[Chapter List],FALSE)</f>
        <v>0</v>
      </c>
      <c r="D405" s="42"/>
      <c r="E405" s="43"/>
    </row>
    <row r="406" spans="1:5" x14ac:dyDescent="0.3">
      <c r="A406" s="42">
        <v>405</v>
      </c>
      <c r="B406" s="42"/>
      <c r="C406" s="42" t="b">
        <f>_xlfn.XLOOKUP(Table61011[[#This Row],[Category No]],Table8[Category No],Table8[Chapter List],FALSE)</f>
        <v>0</v>
      </c>
      <c r="D406" s="42"/>
      <c r="E406" s="43"/>
    </row>
    <row r="407" spans="1:5" x14ac:dyDescent="0.3">
      <c r="A407" s="42">
        <v>406</v>
      </c>
      <c r="B407" s="42"/>
      <c r="C407" s="42" t="b">
        <f>_xlfn.XLOOKUP(Table61011[[#This Row],[Category No]],Table8[Category No],Table8[Chapter List],FALSE)</f>
        <v>0</v>
      </c>
      <c r="D407" s="42"/>
      <c r="E407" s="43"/>
    </row>
    <row r="408" spans="1:5" x14ac:dyDescent="0.3">
      <c r="A408" s="42">
        <v>407</v>
      </c>
      <c r="B408" s="42"/>
      <c r="C408" s="42" t="b">
        <f>_xlfn.XLOOKUP(Table61011[[#This Row],[Category No]],Table8[Category No],Table8[Chapter List],FALSE)</f>
        <v>0</v>
      </c>
      <c r="D408" s="42"/>
      <c r="E408" s="43"/>
    </row>
    <row r="409" spans="1:5" x14ac:dyDescent="0.3">
      <c r="A409" s="42">
        <v>408</v>
      </c>
      <c r="B409" s="42"/>
      <c r="C409" s="42" t="b">
        <f>_xlfn.XLOOKUP(Table61011[[#This Row],[Category No]],Table8[Category No],Table8[Chapter List],FALSE)</f>
        <v>0</v>
      </c>
      <c r="D409" s="42"/>
      <c r="E409" s="43"/>
    </row>
    <row r="410" spans="1:5" x14ac:dyDescent="0.3">
      <c r="A410" s="42">
        <v>409</v>
      </c>
      <c r="B410" s="42"/>
      <c r="C410" s="42" t="b">
        <f>_xlfn.XLOOKUP(Table61011[[#This Row],[Category No]],Table8[Category No],Table8[Chapter List],FALSE)</f>
        <v>0</v>
      </c>
      <c r="D410" s="42"/>
      <c r="E410" s="43"/>
    </row>
    <row r="411" spans="1:5" x14ac:dyDescent="0.3">
      <c r="A411" s="42">
        <v>410</v>
      </c>
      <c r="B411" s="42"/>
      <c r="C411" s="42" t="b">
        <f>_xlfn.XLOOKUP(Table61011[[#This Row],[Category No]],Table8[Category No],Table8[Chapter List],FALSE)</f>
        <v>0</v>
      </c>
      <c r="D411" s="42"/>
      <c r="E411" s="43"/>
    </row>
    <row r="412" spans="1:5" x14ac:dyDescent="0.3">
      <c r="A412" s="42">
        <v>411</v>
      </c>
      <c r="B412" s="42"/>
      <c r="C412" s="42" t="b">
        <f>_xlfn.XLOOKUP(Table61011[[#This Row],[Category No]],Table8[Category No],Table8[Chapter List],FALSE)</f>
        <v>0</v>
      </c>
      <c r="D412" s="42"/>
      <c r="E412" s="43"/>
    </row>
    <row r="413" spans="1:5" x14ac:dyDescent="0.3">
      <c r="A413" s="42">
        <v>412</v>
      </c>
      <c r="B413" s="42"/>
      <c r="C413" s="42" t="b">
        <f>_xlfn.XLOOKUP(Table61011[[#This Row],[Category No]],Table8[Category No],Table8[Chapter List],FALSE)</f>
        <v>0</v>
      </c>
      <c r="D413" s="42"/>
      <c r="E413" s="43"/>
    </row>
    <row r="414" spans="1:5" x14ac:dyDescent="0.3">
      <c r="A414" s="42">
        <v>413</v>
      </c>
      <c r="B414" s="42"/>
      <c r="C414" s="42" t="b">
        <f>_xlfn.XLOOKUP(Table61011[[#This Row],[Category No]],Table8[Category No],Table8[Chapter List],FALSE)</f>
        <v>0</v>
      </c>
      <c r="D414" s="42"/>
      <c r="E414" s="43"/>
    </row>
    <row r="415" spans="1:5" x14ac:dyDescent="0.3">
      <c r="A415" s="42">
        <v>414</v>
      </c>
      <c r="B415" s="42"/>
      <c r="C415" s="42" t="b">
        <f>_xlfn.XLOOKUP(Table61011[[#This Row],[Category No]],Table8[Category No],Table8[Chapter List],FALSE)</f>
        <v>0</v>
      </c>
      <c r="D415" s="42"/>
      <c r="E415" s="43"/>
    </row>
    <row r="416" spans="1:5" x14ac:dyDescent="0.3">
      <c r="A416" s="42">
        <v>415</v>
      </c>
      <c r="B416" s="42"/>
      <c r="C416" s="42" t="b">
        <f>_xlfn.XLOOKUP(Table61011[[#This Row],[Category No]],Table8[Category No],Table8[Chapter List],FALSE)</f>
        <v>0</v>
      </c>
      <c r="D416" s="42"/>
      <c r="E416" s="43"/>
    </row>
    <row r="417" spans="1:5" x14ac:dyDescent="0.3">
      <c r="A417" s="42">
        <v>416</v>
      </c>
      <c r="B417" s="42"/>
      <c r="C417" s="42" t="b">
        <f>_xlfn.XLOOKUP(Table61011[[#This Row],[Category No]],Table8[Category No],Table8[Chapter List],FALSE)</f>
        <v>0</v>
      </c>
      <c r="D417" s="42"/>
      <c r="E417" s="43"/>
    </row>
    <row r="418" spans="1:5" x14ac:dyDescent="0.3">
      <c r="A418" s="42">
        <v>417</v>
      </c>
      <c r="B418" s="42"/>
      <c r="C418" s="42" t="b">
        <f>_xlfn.XLOOKUP(Table61011[[#This Row],[Category No]],Table8[Category No],Table8[Chapter List],FALSE)</f>
        <v>0</v>
      </c>
      <c r="D418" s="42"/>
      <c r="E418" s="43"/>
    </row>
    <row r="419" spans="1:5" x14ac:dyDescent="0.3">
      <c r="A419" s="42">
        <v>418</v>
      </c>
      <c r="B419" s="42"/>
      <c r="C419" s="42" t="b">
        <f>_xlfn.XLOOKUP(Table61011[[#This Row],[Category No]],Table8[Category No],Table8[Chapter List],FALSE)</f>
        <v>0</v>
      </c>
      <c r="D419" s="42"/>
      <c r="E419" s="43"/>
    </row>
    <row r="420" spans="1:5" x14ac:dyDescent="0.3">
      <c r="A420" s="42">
        <v>419</v>
      </c>
      <c r="B420" s="42"/>
      <c r="C420" s="42" t="b">
        <f>_xlfn.XLOOKUP(Table61011[[#This Row],[Category No]],Table8[Category No],Table8[Chapter List],FALSE)</f>
        <v>0</v>
      </c>
      <c r="D420" s="42"/>
      <c r="E420" s="43"/>
    </row>
    <row r="421" spans="1:5" x14ac:dyDescent="0.3">
      <c r="A421" s="42">
        <v>420</v>
      </c>
      <c r="B421" s="42"/>
      <c r="C421" s="42" t="b">
        <f>_xlfn.XLOOKUP(Table61011[[#This Row],[Category No]],Table8[Category No],Table8[Chapter List],FALSE)</f>
        <v>0</v>
      </c>
      <c r="D421" s="42"/>
      <c r="E421" s="43"/>
    </row>
    <row r="422" spans="1:5" x14ac:dyDescent="0.3">
      <c r="A422" s="42">
        <v>421</v>
      </c>
      <c r="B422" s="42"/>
      <c r="C422" s="42" t="b">
        <f>_xlfn.XLOOKUP(Table61011[[#This Row],[Category No]],Table8[Category No],Table8[Chapter List],FALSE)</f>
        <v>0</v>
      </c>
      <c r="D422" s="42"/>
      <c r="E422" s="43"/>
    </row>
    <row r="423" spans="1:5" x14ac:dyDescent="0.3">
      <c r="A423" s="42">
        <v>422</v>
      </c>
      <c r="B423" s="42"/>
      <c r="C423" s="42" t="b">
        <f>_xlfn.XLOOKUP(Table61011[[#This Row],[Category No]],Table8[Category No],Table8[Chapter List],FALSE)</f>
        <v>0</v>
      </c>
      <c r="D423" s="42"/>
      <c r="E423" s="43"/>
    </row>
    <row r="424" spans="1:5" x14ac:dyDescent="0.3">
      <c r="A424" s="42">
        <v>423</v>
      </c>
      <c r="B424" s="42"/>
      <c r="C424" s="42" t="b">
        <f>_xlfn.XLOOKUP(Table61011[[#This Row],[Category No]],Table8[Category No],Table8[Chapter List],FALSE)</f>
        <v>0</v>
      </c>
      <c r="D424" s="42"/>
      <c r="E424" s="43"/>
    </row>
    <row r="425" spans="1:5" x14ac:dyDescent="0.3">
      <c r="A425" s="42">
        <v>424</v>
      </c>
      <c r="B425" s="42"/>
      <c r="C425" s="42" t="b">
        <f>_xlfn.XLOOKUP(Table61011[[#This Row],[Category No]],Table8[Category No],Table8[Chapter List],FALSE)</f>
        <v>0</v>
      </c>
      <c r="D425" s="42"/>
      <c r="E425" s="43"/>
    </row>
    <row r="426" spans="1:5" x14ac:dyDescent="0.3">
      <c r="A426" s="42">
        <v>425</v>
      </c>
      <c r="B426" s="42"/>
      <c r="C426" s="42" t="b">
        <f>_xlfn.XLOOKUP(Table61011[[#This Row],[Category No]],Table8[Category No],Table8[Chapter List],FALSE)</f>
        <v>0</v>
      </c>
      <c r="D426" s="42"/>
      <c r="E426" s="43"/>
    </row>
    <row r="427" spans="1:5" x14ac:dyDescent="0.3">
      <c r="A427" s="42">
        <v>426</v>
      </c>
      <c r="B427" s="42"/>
      <c r="C427" s="42" t="b">
        <f>_xlfn.XLOOKUP(Table61011[[#This Row],[Category No]],Table8[Category No],Table8[Chapter List],FALSE)</f>
        <v>0</v>
      </c>
      <c r="D427" s="42"/>
      <c r="E427" s="43"/>
    </row>
    <row r="428" spans="1:5" x14ac:dyDescent="0.3">
      <c r="A428" s="42">
        <v>427</v>
      </c>
      <c r="B428" s="42"/>
      <c r="C428" s="42" t="b">
        <f>_xlfn.XLOOKUP(Table61011[[#This Row],[Category No]],Table8[Category No],Table8[Chapter List],FALSE)</f>
        <v>0</v>
      </c>
      <c r="D428" s="42"/>
      <c r="E428" s="43"/>
    </row>
    <row r="429" spans="1:5" x14ac:dyDescent="0.3">
      <c r="A429" s="42">
        <v>428</v>
      </c>
      <c r="B429" s="42"/>
      <c r="C429" s="42" t="b">
        <f>_xlfn.XLOOKUP(Table61011[[#This Row],[Category No]],Table8[Category No],Table8[Chapter List],FALSE)</f>
        <v>0</v>
      </c>
      <c r="D429" s="42"/>
      <c r="E429" s="43"/>
    </row>
    <row r="430" spans="1:5" x14ac:dyDescent="0.3">
      <c r="A430" s="42">
        <v>429</v>
      </c>
      <c r="B430" s="42"/>
      <c r="C430" s="42" t="b">
        <f>_xlfn.XLOOKUP(Table61011[[#This Row],[Category No]],Table8[Category No],Table8[Chapter List],FALSE)</f>
        <v>0</v>
      </c>
      <c r="D430" s="42"/>
      <c r="E430" s="43"/>
    </row>
    <row r="431" spans="1:5" x14ac:dyDescent="0.3">
      <c r="A431" s="42">
        <v>430</v>
      </c>
      <c r="B431" s="42"/>
      <c r="C431" s="42" t="b">
        <f>_xlfn.XLOOKUP(Table61011[[#This Row],[Category No]],Table8[Category No],Table8[Chapter List],FALSE)</f>
        <v>0</v>
      </c>
      <c r="D431" s="42"/>
      <c r="E431" s="43"/>
    </row>
    <row r="432" spans="1:5" x14ac:dyDescent="0.3">
      <c r="A432" s="42">
        <v>431</v>
      </c>
      <c r="B432" s="42"/>
      <c r="C432" s="42" t="b">
        <f>_xlfn.XLOOKUP(Table61011[[#This Row],[Category No]],Table8[Category No],Table8[Chapter List],FALSE)</f>
        <v>0</v>
      </c>
      <c r="D432" s="42"/>
      <c r="E432" s="43"/>
    </row>
    <row r="433" spans="1:5" x14ac:dyDescent="0.3">
      <c r="A433" s="42">
        <v>432</v>
      </c>
      <c r="B433" s="42"/>
      <c r="C433" s="42" t="b">
        <f>_xlfn.XLOOKUP(Table61011[[#This Row],[Category No]],Table8[Category No],Table8[Chapter List],FALSE)</f>
        <v>0</v>
      </c>
      <c r="D433" s="42"/>
      <c r="E433" s="43"/>
    </row>
    <row r="434" spans="1:5" x14ac:dyDescent="0.3">
      <c r="A434" s="42">
        <v>433</v>
      </c>
      <c r="B434" s="42"/>
      <c r="C434" s="42" t="b">
        <f>_xlfn.XLOOKUP(Table61011[[#This Row],[Category No]],Table8[Category No],Table8[Chapter List],FALSE)</f>
        <v>0</v>
      </c>
      <c r="D434" s="42"/>
      <c r="E434" s="43"/>
    </row>
    <row r="435" spans="1:5" x14ac:dyDescent="0.3">
      <c r="A435" s="42">
        <v>434</v>
      </c>
      <c r="B435" s="42"/>
      <c r="C435" s="42" t="b">
        <f>_xlfn.XLOOKUP(Table61011[[#This Row],[Category No]],Table8[Category No],Table8[Chapter List],FALSE)</f>
        <v>0</v>
      </c>
      <c r="D435" s="42"/>
      <c r="E435" s="43"/>
    </row>
    <row r="436" spans="1:5" x14ac:dyDescent="0.3">
      <c r="A436" s="42">
        <v>435</v>
      </c>
      <c r="B436" s="42"/>
      <c r="C436" s="42" t="b">
        <f>_xlfn.XLOOKUP(Table61011[[#This Row],[Category No]],Table8[Category No],Table8[Chapter List],FALSE)</f>
        <v>0</v>
      </c>
      <c r="D436" s="42"/>
      <c r="E436" s="43"/>
    </row>
    <row r="437" spans="1:5" x14ac:dyDescent="0.3">
      <c r="A437" s="42">
        <v>436</v>
      </c>
      <c r="B437" s="42"/>
      <c r="C437" s="42" t="b">
        <f>_xlfn.XLOOKUP(Table61011[[#This Row],[Category No]],Table8[Category No],Table8[Chapter List],FALSE)</f>
        <v>0</v>
      </c>
      <c r="D437" s="42"/>
      <c r="E437" s="43"/>
    </row>
    <row r="438" spans="1:5" x14ac:dyDescent="0.3">
      <c r="A438" s="42">
        <v>437</v>
      </c>
      <c r="B438" s="42"/>
      <c r="C438" s="42" t="b">
        <f>_xlfn.XLOOKUP(Table61011[[#This Row],[Category No]],Table8[Category No],Table8[Chapter List],FALSE)</f>
        <v>0</v>
      </c>
      <c r="D438" s="42"/>
      <c r="E438" s="43"/>
    </row>
    <row r="439" spans="1:5" x14ac:dyDescent="0.3">
      <c r="A439" s="42">
        <v>438</v>
      </c>
      <c r="B439" s="42"/>
      <c r="C439" s="42" t="b">
        <f>_xlfn.XLOOKUP(Table61011[[#This Row],[Category No]],Table8[Category No],Table8[Chapter List],FALSE)</f>
        <v>0</v>
      </c>
      <c r="D439" s="42"/>
      <c r="E439" s="43"/>
    </row>
    <row r="440" spans="1:5" x14ac:dyDescent="0.3">
      <c r="A440" s="42">
        <v>439</v>
      </c>
      <c r="B440" s="42"/>
      <c r="C440" s="42" t="b">
        <f>_xlfn.XLOOKUP(Table61011[[#This Row],[Category No]],Table8[Category No],Table8[Chapter List],FALSE)</f>
        <v>0</v>
      </c>
      <c r="D440" s="42"/>
      <c r="E440" s="43"/>
    </row>
    <row r="441" spans="1:5" x14ac:dyDescent="0.3">
      <c r="A441" s="42">
        <v>440</v>
      </c>
      <c r="B441" s="42"/>
      <c r="C441" s="42" t="b">
        <f>_xlfn.XLOOKUP(Table61011[[#This Row],[Category No]],Table8[Category No],Table8[Chapter List],FALSE)</f>
        <v>0</v>
      </c>
      <c r="D441" s="42"/>
      <c r="E441" s="43"/>
    </row>
    <row r="442" spans="1:5" x14ac:dyDescent="0.3">
      <c r="A442" s="42">
        <v>441</v>
      </c>
      <c r="B442" s="42"/>
      <c r="C442" s="42" t="b">
        <f>_xlfn.XLOOKUP(Table61011[[#This Row],[Category No]],Table8[Category No],Table8[Chapter List],FALSE)</f>
        <v>0</v>
      </c>
      <c r="D442" s="42"/>
      <c r="E442" s="43"/>
    </row>
    <row r="443" spans="1:5" x14ac:dyDescent="0.3">
      <c r="A443" s="42">
        <v>442</v>
      </c>
      <c r="B443" s="42"/>
      <c r="C443" s="42" t="b">
        <f>_xlfn.XLOOKUP(Table61011[[#This Row],[Category No]],Table8[Category No],Table8[Chapter List],FALSE)</f>
        <v>0</v>
      </c>
      <c r="D443" s="42"/>
      <c r="E443" s="43"/>
    </row>
    <row r="444" spans="1:5" x14ac:dyDescent="0.3">
      <c r="A444" s="42">
        <v>443</v>
      </c>
      <c r="B444" s="42"/>
      <c r="C444" s="42" t="b">
        <f>_xlfn.XLOOKUP(Table61011[[#This Row],[Category No]],Table8[Category No],Table8[Chapter List],FALSE)</f>
        <v>0</v>
      </c>
      <c r="D444" s="42"/>
      <c r="E444" s="43"/>
    </row>
    <row r="445" spans="1:5" x14ac:dyDescent="0.3">
      <c r="A445" s="42">
        <v>444</v>
      </c>
      <c r="B445" s="42"/>
      <c r="C445" s="42" t="b">
        <f>_xlfn.XLOOKUP(Table61011[[#This Row],[Category No]],Table8[Category No],Table8[Chapter List],FALSE)</f>
        <v>0</v>
      </c>
      <c r="D445" s="42"/>
      <c r="E445" s="43"/>
    </row>
    <row r="446" spans="1:5" x14ac:dyDescent="0.3">
      <c r="A446" s="42">
        <v>445</v>
      </c>
      <c r="B446" s="42"/>
      <c r="C446" s="42" t="b">
        <f>_xlfn.XLOOKUP(Table61011[[#This Row],[Category No]],Table8[Category No],Table8[Chapter List],FALSE)</f>
        <v>0</v>
      </c>
      <c r="D446" s="42"/>
      <c r="E446" s="43"/>
    </row>
    <row r="447" spans="1:5" x14ac:dyDescent="0.3">
      <c r="A447" s="42">
        <v>446</v>
      </c>
      <c r="B447" s="42"/>
      <c r="C447" s="42" t="b">
        <f>_xlfn.XLOOKUP(Table61011[[#This Row],[Category No]],Table8[Category No],Table8[Chapter List],FALSE)</f>
        <v>0</v>
      </c>
      <c r="D447" s="42"/>
      <c r="E447" s="43"/>
    </row>
    <row r="448" spans="1:5" x14ac:dyDescent="0.3">
      <c r="A448" s="42">
        <v>447</v>
      </c>
      <c r="B448" s="42"/>
      <c r="C448" s="42" t="b">
        <f>_xlfn.XLOOKUP(Table61011[[#This Row],[Category No]],Table8[Category No],Table8[Chapter List],FALSE)</f>
        <v>0</v>
      </c>
      <c r="D448" s="42"/>
      <c r="E448" s="43"/>
    </row>
    <row r="449" spans="1:5" x14ac:dyDescent="0.3">
      <c r="A449" s="42">
        <v>448</v>
      </c>
      <c r="B449" s="42"/>
      <c r="C449" s="42" t="b">
        <f>_xlfn.XLOOKUP(Table61011[[#This Row],[Category No]],Table8[Category No],Table8[Chapter List],FALSE)</f>
        <v>0</v>
      </c>
      <c r="D449" s="42"/>
      <c r="E449" s="43"/>
    </row>
    <row r="450" spans="1:5" x14ac:dyDescent="0.3">
      <c r="A450" s="42">
        <v>449</v>
      </c>
      <c r="B450" s="42"/>
      <c r="C450" s="42" t="b">
        <f>_xlfn.XLOOKUP(Table61011[[#This Row],[Category No]],Table8[Category No],Table8[Chapter List],FALSE)</f>
        <v>0</v>
      </c>
      <c r="D450" s="42"/>
      <c r="E450" s="43"/>
    </row>
    <row r="451" spans="1:5" x14ac:dyDescent="0.3">
      <c r="A451" s="42">
        <v>450</v>
      </c>
      <c r="B451" s="42"/>
      <c r="C451" s="42" t="b">
        <f>_xlfn.XLOOKUP(Table61011[[#This Row],[Category No]],Table8[Category No],Table8[Chapter List],FALSE)</f>
        <v>0</v>
      </c>
      <c r="D451" s="42"/>
      <c r="E451" s="43"/>
    </row>
    <row r="452" spans="1:5" x14ac:dyDescent="0.3">
      <c r="A452" s="42">
        <v>451</v>
      </c>
      <c r="B452" s="42"/>
      <c r="C452" s="42" t="b">
        <f>_xlfn.XLOOKUP(Table61011[[#This Row],[Category No]],Table8[Category No],Table8[Chapter List],FALSE)</f>
        <v>0</v>
      </c>
      <c r="D452" s="42"/>
      <c r="E452" s="43"/>
    </row>
    <row r="453" spans="1:5" x14ac:dyDescent="0.3">
      <c r="A453" s="42">
        <v>452</v>
      </c>
      <c r="B453" s="42"/>
      <c r="C453" s="42" t="b">
        <f>_xlfn.XLOOKUP(Table61011[[#This Row],[Category No]],Table8[Category No],Table8[Chapter List],FALSE)</f>
        <v>0</v>
      </c>
      <c r="D453" s="42"/>
      <c r="E453" s="43"/>
    </row>
    <row r="454" spans="1:5" x14ac:dyDescent="0.3">
      <c r="A454" s="42">
        <v>453</v>
      </c>
      <c r="B454" s="42"/>
      <c r="C454" s="42" t="b">
        <f>_xlfn.XLOOKUP(Table61011[[#This Row],[Category No]],Table8[Category No],Table8[Chapter List],FALSE)</f>
        <v>0</v>
      </c>
      <c r="D454" s="42"/>
      <c r="E454" s="43"/>
    </row>
    <row r="455" spans="1:5" x14ac:dyDescent="0.3">
      <c r="A455" s="42">
        <v>454</v>
      </c>
      <c r="B455" s="42"/>
      <c r="C455" s="42" t="b">
        <f>_xlfn.XLOOKUP(Table61011[[#This Row],[Category No]],Table8[Category No],Table8[Chapter List],FALSE)</f>
        <v>0</v>
      </c>
      <c r="D455" s="42"/>
      <c r="E455" s="43"/>
    </row>
    <row r="456" spans="1:5" x14ac:dyDescent="0.3">
      <c r="A456" s="42">
        <v>455</v>
      </c>
      <c r="B456" s="42"/>
      <c r="C456" s="42" t="b">
        <f>_xlfn.XLOOKUP(Table61011[[#This Row],[Category No]],Table8[Category No],Table8[Chapter List],FALSE)</f>
        <v>0</v>
      </c>
      <c r="D456" s="42"/>
      <c r="E456" s="43"/>
    </row>
    <row r="457" spans="1:5" x14ac:dyDescent="0.3">
      <c r="A457" s="42">
        <v>456</v>
      </c>
      <c r="B457" s="42"/>
      <c r="C457" s="42" t="b">
        <f>_xlfn.XLOOKUP(Table61011[[#This Row],[Category No]],Table8[Category No],Table8[Chapter List],FALSE)</f>
        <v>0</v>
      </c>
      <c r="D457" s="42"/>
      <c r="E457" s="43"/>
    </row>
    <row r="458" spans="1:5" x14ac:dyDescent="0.3">
      <c r="A458" s="42">
        <v>457</v>
      </c>
      <c r="B458" s="42"/>
      <c r="C458" s="42" t="b">
        <f>_xlfn.XLOOKUP(Table61011[[#This Row],[Category No]],Table8[Category No],Table8[Chapter List],FALSE)</f>
        <v>0</v>
      </c>
      <c r="D458" s="42"/>
      <c r="E458" s="43"/>
    </row>
    <row r="459" spans="1:5" x14ac:dyDescent="0.3">
      <c r="A459" s="42">
        <v>458</v>
      </c>
      <c r="B459" s="42"/>
      <c r="C459" s="42" t="b">
        <f>_xlfn.XLOOKUP(Table61011[[#This Row],[Category No]],Table8[Category No],Table8[Chapter List],FALSE)</f>
        <v>0</v>
      </c>
      <c r="D459" s="42"/>
      <c r="E459" s="43"/>
    </row>
    <row r="460" spans="1:5" x14ac:dyDescent="0.3">
      <c r="A460" s="42">
        <v>459</v>
      </c>
      <c r="B460" s="42"/>
      <c r="C460" s="42" t="b">
        <f>_xlfn.XLOOKUP(Table61011[[#This Row],[Category No]],Table8[Category No],Table8[Chapter List],FALSE)</f>
        <v>0</v>
      </c>
      <c r="D460" s="42"/>
      <c r="E460" s="43"/>
    </row>
    <row r="461" spans="1:5" x14ac:dyDescent="0.3">
      <c r="A461" s="42">
        <v>460</v>
      </c>
      <c r="B461" s="42"/>
      <c r="C461" s="42" t="b">
        <f>_xlfn.XLOOKUP(Table61011[[#This Row],[Category No]],Table8[Category No],Table8[Chapter List],FALSE)</f>
        <v>0</v>
      </c>
      <c r="D461" s="42"/>
      <c r="E461" s="43"/>
    </row>
    <row r="462" spans="1:5" x14ac:dyDescent="0.3">
      <c r="A462" s="42">
        <v>461</v>
      </c>
      <c r="B462" s="42"/>
      <c r="C462" s="42" t="b">
        <f>_xlfn.XLOOKUP(Table61011[[#This Row],[Category No]],Table8[Category No],Table8[Chapter List],FALSE)</f>
        <v>0</v>
      </c>
      <c r="D462" s="42"/>
      <c r="E462" s="43"/>
    </row>
    <row r="463" spans="1:5" x14ac:dyDescent="0.3">
      <c r="A463" s="42">
        <v>462</v>
      </c>
      <c r="B463" s="42"/>
      <c r="C463" s="42" t="b">
        <f>_xlfn.XLOOKUP(Table61011[[#This Row],[Category No]],Table8[Category No],Table8[Chapter List],FALSE)</f>
        <v>0</v>
      </c>
      <c r="D463" s="42"/>
      <c r="E463" s="43"/>
    </row>
    <row r="464" spans="1:5" x14ac:dyDescent="0.3">
      <c r="A464" s="42">
        <v>463</v>
      </c>
      <c r="B464" s="42"/>
      <c r="C464" s="42" t="b">
        <f>_xlfn.XLOOKUP(Table61011[[#This Row],[Category No]],Table8[Category No],Table8[Chapter List],FALSE)</f>
        <v>0</v>
      </c>
      <c r="D464" s="42"/>
      <c r="E464" s="43"/>
    </row>
    <row r="465" spans="1:5" x14ac:dyDescent="0.3">
      <c r="A465" s="42">
        <v>464</v>
      </c>
      <c r="B465" s="42"/>
      <c r="C465" s="42" t="b">
        <f>_xlfn.XLOOKUP(Table61011[[#This Row],[Category No]],Table8[Category No],Table8[Chapter List],FALSE)</f>
        <v>0</v>
      </c>
      <c r="D465" s="42"/>
      <c r="E465" s="43"/>
    </row>
    <row r="466" spans="1:5" x14ac:dyDescent="0.3">
      <c r="A466" s="42">
        <v>465</v>
      </c>
      <c r="B466" s="42"/>
      <c r="C466" s="42" t="b">
        <f>_xlfn.XLOOKUP(Table61011[[#This Row],[Category No]],Table8[Category No],Table8[Chapter List],FALSE)</f>
        <v>0</v>
      </c>
      <c r="D466" s="42"/>
      <c r="E466" s="43"/>
    </row>
    <row r="467" spans="1:5" x14ac:dyDescent="0.3">
      <c r="A467" s="42">
        <v>466</v>
      </c>
      <c r="B467" s="42"/>
      <c r="C467" s="42" t="b">
        <f>_xlfn.XLOOKUP(Table61011[[#This Row],[Category No]],Table8[Category No],Table8[Chapter List],FALSE)</f>
        <v>0</v>
      </c>
      <c r="D467" s="42"/>
      <c r="E467" s="43"/>
    </row>
    <row r="468" spans="1:5" x14ac:dyDescent="0.3">
      <c r="A468" s="42">
        <v>467</v>
      </c>
      <c r="B468" s="42"/>
      <c r="C468" s="42" t="b">
        <f>_xlfn.XLOOKUP(Table61011[[#This Row],[Category No]],Table8[Category No],Table8[Chapter List],FALSE)</f>
        <v>0</v>
      </c>
      <c r="D468" s="42"/>
      <c r="E468" s="43"/>
    </row>
    <row r="469" spans="1:5" x14ac:dyDescent="0.3">
      <c r="A469" s="42">
        <v>468</v>
      </c>
      <c r="B469" s="42"/>
      <c r="C469" s="42" t="b">
        <f>_xlfn.XLOOKUP(Table61011[[#This Row],[Category No]],Table8[Category No],Table8[Chapter List],FALSE)</f>
        <v>0</v>
      </c>
      <c r="D469" s="42"/>
      <c r="E469" s="43"/>
    </row>
    <row r="470" spans="1:5" x14ac:dyDescent="0.3">
      <c r="A470" s="42">
        <v>469</v>
      </c>
      <c r="B470" s="42"/>
      <c r="C470" s="42" t="b">
        <f>_xlfn.XLOOKUP(Table61011[[#This Row],[Category No]],Table8[Category No],Table8[Chapter List],FALSE)</f>
        <v>0</v>
      </c>
      <c r="D470" s="42"/>
      <c r="E470" s="43"/>
    </row>
    <row r="471" spans="1:5" x14ac:dyDescent="0.3">
      <c r="A471" s="42">
        <v>470</v>
      </c>
      <c r="B471" s="42"/>
      <c r="C471" s="42" t="b">
        <f>_xlfn.XLOOKUP(Table61011[[#This Row],[Category No]],Table8[Category No],Table8[Chapter List],FALSE)</f>
        <v>0</v>
      </c>
      <c r="D471" s="42"/>
      <c r="E471" s="43"/>
    </row>
    <row r="472" spans="1:5" x14ac:dyDescent="0.3">
      <c r="A472" s="42">
        <v>471</v>
      </c>
      <c r="B472" s="42"/>
      <c r="C472" s="42" t="b">
        <f>_xlfn.XLOOKUP(Table61011[[#This Row],[Category No]],Table8[Category No],Table8[Chapter List],FALSE)</f>
        <v>0</v>
      </c>
      <c r="D472" s="42"/>
      <c r="E472" s="43"/>
    </row>
    <row r="473" spans="1:5" x14ac:dyDescent="0.3">
      <c r="A473" s="42">
        <v>472</v>
      </c>
      <c r="B473" s="42"/>
      <c r="C473" s="42" t="b">
        <f>_xlfn.XLOOKUP(Table61011[[#This Row],[Category No]],Table8[Category No],Table8[Chapter List],FALSE)</f>
        <v>0</v>
      </c>
      <c r="D473" s="42"/>
      <c r="E473" s="43"/>
    </row>
    <row r="474" spans="1:5" x14ac:dyDescent="0.3">
      <c r="A474" s="42">
        <v>473</v>
      </c>
      <c r="B474" s="42"/>
      <c r="C474" s="42" t="b">
        <f>_xlfn.XLOOKUP(Table61011[[#This Row],[Category No]],Table8[Category No],Table8[Chapter List],FALSE)</f>
        <v>0</v>
      </c>
      <c r="D474" s="42"/>
      <c r="E474" s="43"/>
    </row>
    <row r="475" spans="1:5" x14ac:dyDescent="0.3">
      <c r="A475" s="42">
        <v>474</v>
      </c>
      <c r="B475" s="42"/>
      <c r="C475" s="42" t="b">
        <f>_xlfn.XLOOKUP(Table61011[[#This Row],[Category No]],Table8[Category No],Table8[Chapter List],FALSE)</f>
        <v>0</v>
      </c>
      <c r="D475" s="42"/>
      <c r="E475" s="43"/>
    </row>
    <row r="476" spans="1:5" x14ac:dyDescent="0.3">
      <c r="A476" s="42">
        <v>475</v>
      </c>
      <c r="B476" s="42"/>
      <c r="C476" s="42" t="b">
        <f>_xlfn.XLOOKUP(Table61011[[#This Row],[Category No]],Table8[Category No],Table8[Chapter List],FALSE)</f>
        <v>0</v>
      </c>
      <c r="D476" s="42"/>
      <c r="E476" s="43"/>
    </row>
    <row r="477" spans="1:5" x14ac:dyDescent="0.3">
      <c r="A477" s="42">
        <v>476</v>
      </c>
      <c r="B477" s="42"/>
      <c r="C477" s="42" t="b">
        <f>_xlfn.XLOOKUP(Table61011[[#This Row],[Category No]],Table8[Category No],Table8[Chapter List],FALSE)</f>
        <v>0</v>
      </c>
      <c r="D477" s="42"/>
      <c r="E477" s="43"/>
    </row>
    <row r="478" spans="1:5" x14ac:dyDescent="0.3">
      <c r="A478" s="42">
        <v>477</v>
      </c>
      <c r="B478" s="42"/>
      <c r="C478" s="42" t="b">
        <f>_xlfn.XLOOKUP(Table61011[[#This Row],[Category No]],Table8[Category No],Table8[Chapter List],FALSE)</f>
        <v>0</v>
      </c>
      <c r="D478" s="42"/>
      <c r="E478" s="43"/>
    </row>
    <row r="479" spans="1:5" x14ac:dyDescent="0.3">
      <c r="A479" s="42">
        <v>478</v>
      </c>
      <c r="B479" s="42"/>
      <c r="C479" s="42" t="b">
        <f>_xlfn.XLOOKUP(Table61011[[#This Row],[Category No]],Table8[Category No],Table8[Chapter List],FALSE)</f>
        <v>0</v>
      </c>
      <c r="D479" s="42"/>
      <c r="E479" s="43"/>
    </row>
    <row r="480" spans="1:5" x14ac:dyDescent="0.3">
      <c r="A480" s="42">
        <v>479</v>
      </c>
      <c r="B480" s="42"/>
      <c r="C480" s="42" t="b">
        <f>_xlfn.XLOOKUP(Table61011[[#This Row],[Category No]],Table8[Category No],Table8[Chapter List],FALSE)</f>
        <v>0</v>
      </c>
      <c r="D480" s="42"/>
      <c r="E480" s="43"/>
    </row>
    <row r="481" spans="1:5" x14ac:dyDescent="0.3">
      <c r="A481" s="42">
        <v>480</v>
      </c>
      <c r="B481" s="42"/>
      <c r="C481" s="42" t="b">
        <f>_xlfn.XLOOKUP(Table61011[[#This Row],[Category No]],Table8[Category No],Table8[Chapter List],FALSE)</f>
        <v>0</v>
      </c>
      <c r="D481" s="42"/>
      <c r="E481" s="43"/>
    </row>
    <row r="482" spans="1:5" x14ac:dyDescent="0.3">
      <c r="A482" s="42">
        <v>481</v>
      </c>
      <c r="B482" s="42"/>
      <c r="C482" s="42" t="b">
        <f>_xlfn.XLOOKUP(Table61011[[#This Row],[Category No]],Table8[Category No],Table8[Chapter List],FALSE)</f>
        <v>0</v>
      </c>
      <c r="D482" s="42"/>
      <c r="E482" s="43"/>
    </row>
    <row r="483" spans="1:5" x14ac:dyDescent="0.3">
      <c r="A483" s="42">
        <v>482</v>
      </c>
      <c r="B483" s="42"/>
      <c r="C483" s="42" t="b">
        <f>_xlfn.XLOOKUP(Table61011[[#This Row],[Category No]],Table8[Category No],Table8[Chapter List],FALSE)</f>
        <v>0</v>
      </c>
      <c r="D483" s="42"/>
      <c r="E483" s="43"/>
    </row>
    <row r="484" spans="1:5" x14ac:dyDescent="0.3">
      <c r="A484" s="42">
        <v>483</v>
      </c>
      <c r="B484" s="42"/>
      <c r="C484" s="42" t="b">
        <f>_xlfn.XLOOKUP(Table61011[[#This Row],[Category No]],Table8[Category No],Table8[Chapter List],FALSE)</f>
        <v>0</v>
      </c>
      <c r="D484" s="42"/>
      <c r="E484" s="43"/>
    </row>
    <row r="485" spans="1:5" x14ac:dyDescent="0.3">
      <c r="A485" s="42">
        <v>484</v>
      </c>
      <c r="B485" s="42"/>
      <c r="C485" s="42" t="b">
        <f>_xlfn.XLOOKUP(Table61011[[#This Row],[Category No]],Table8[Category No],Table8[Chapter List],FALSE)</f>
        <v>0</v>
      </c>
      <c r="D485" s="42"/>
      <c r="E485" s="43"/>
    </row>
    <row r="486" spans="1:5" x14ac:dyDescent="0.3">
      <c r="A486" s="42">
        <v>485</v>
      </c>
      <c r="B486" s="42"/>
      <c r="C486" s="42" t="b">
        <f>_xlfn.XLOOKUP(Table61011[[#This Row],[Category No]],Table8[Category No],Table8[Chapter List],FALSE)</f>
        <v>0</v>
      </c>
      <c r="D486" s="42"/>
      <c r="E486" s="43"/>
    </row>
    <row r="487" spans="1:5" x14ac:dyDescent="0.3">
      <c r="A487" s="42">
        <v>486</v>
      </c>
      <c r="B487" s="42"/>
      <c r="C487" s="42" t="b">
        <f>_xlfn.XLOOKUP(Table61011[[#This Row],[Category No]],Table8[Category No],Table8[Chapter List],FALSE)</f>
        <v>0</v>
      </c>
      <c r="D487" s="42"/>
      <c r="E487" s="43"/>
    </row>
    <row r="488" spans="1:5" x14ac:dyDescent="0.3">
      <c r="A488" s="42">
        <v>487</v>
      </c>
      <c r="B488" s="42"/>
      <c r="C488" s="42" t="b">
        <f>_xlfn.XLOOKUP(Table61011[[#This Row],[Category No]],Table8[Category No],Table8[Chapter List],FALSE)</f>
        <v>0</v>
      </c>
      <c r="D488" s="42"/>
      <c r="E488" s="43"/>
    </row>
    <row r="489" spans="1:5" x14ac:dyDescent="0.3">
      <c r="A489" s="42">
        <v>488</v>
      </c>
      <c r="B489" s="42"/>
      <c r="C489" s="42" t="b">
        <f>_xlfn.XLOOKUP(Table61011[[#This Row],[Category No]],Table8[Category No],Table8[Chapter List],FALSE)</f>
        <v>0</v>
      </c>
      <c r="D489" s="42"/>
      <c r="E489" s="43"/>
    </row>
    <row r="490" spans="1:5" x14ac:dyDescent="0.3">
      <c r="A490" s="42">
        <v>489</v>
      </c>
      <c r="B490" s="42"/>
      <c r="C490" s="42" t="b">
        <f>_xlfn.XLOOKUP(Table61011[[#This Row],[Category No]],Table8[Category No],Table8[Chapter List],FALSE)</f>
        <v>0</v>
      </c>
      <c r="D490" s="42"/>
      <c r="E490" s="43"/>
    </row>
    <row r="491" spans="1:5" x14ac:dyDescent="0.3">
      <c r="A491" s="42">
        <v>490</v>
      </c>
      <c r="B491" s="42"/>
      <c r="C491" s="42" t="b">
        <f>_xlfn.XLOOKUP(Table61011[[#This Row],[Category No]],Table8[Category No],Table8[Chapter List],FALSE)</f>
        <v>0</v>
      </c>
      <c r="D491" s="42"/>
      <c r="E491" s="43"/>
    </row>
    <row r="492" spans="1:5" x14ac:dyDescent="0.3">
      <c r="A492" s="42">
        <v>491</v>
      </c>
      <c r="B492" s="42"/>
      <c r="C492" s="42" t="b">
        <f>_xlfn.XLOOKUP(Table61011[[#This Row],[Category No]],Table8[Category No],Table8[Chapter List],FALSE)</f>
        <v>0</v>
      </c>
      <c r="D492" s="42"/>
      <c r="E492" s="43"/>
    </row>
    <row r="493" spans="1:5" x14ac:dyDescent="0.3">
      <c r="A493" s="42">
        <v>492</v>
      </c>
      <c r="B493" s="42"/>
      <c r="C493" s="42" t="b">
        <f>_xlfn.XLOOKUP(Table61011[[#This Row],[Category No]],Table8[Category No],Table8[Chapter List],FALSE)</f>
        <v>0</v>
      </c>
      <c r="D493" s="42"/>
      <c r="E493" s="43"/>
    </row>
    <row r="494" spans="1:5" x14ac:dyDescent="0.3">
      <c r="A494" s="42">
        <v>493</v>
      </c>
      <c r="B494" s="42"/>
      <c r="C494" s="42" t="b">
        <f>_xlfn.XLOOKUP(Table61011[[#This Row],[Category No]],Table8[Category No],Table8[Chapter List],FALSE)</f>
        <v>0</v>
      </c>
      <c r="D494" s="42"/>
      <c r="E494" s="43"/>
    </row>
    <row r="495" spans="1:5" x14ac:dyDescent="0.3">
      <c r="A495" s="42">
        <v>494</v>
      </c>
      <c r="B495" s="42"/>
      <c r="C495" s="42" t="b">
        <f>_xlfn.XLOOKUP(Table61011[[#This Row],[Category No]],Table8[Category No],Table8[Chapter List],FALSE)</f>
        <v>0</v>
      </c>
      <c r="D495" s="42"/>
      <c r="E495" s="43"/>
    </row>
    <row r="496" spans="1:5" x14ac:dyDescent="0.3">
      <c r="A496" s="42">
        <v>495</v>
      </c>
      <c r="B496" s="42"/>
      <c r="C496" s="42" t="b">
        <f>_xlfn.XLOOKUP(Table61011[[#This Row],[Category No]],Table8[Category No],Table8[Chapter List],FALSE)</f>
        <v>0</v>
      </c>
      <c r="D496" s="42"/>
      <c r="E496" s="43"/>
    </row>
    <row r="497" spans="1:5" x14ac:dyDescent="0.3">
      <c r="A497" s="42">
        <v>496</v>
      </c>
      <c r="B497" s="42"/>
      <c r="C497" s="42" t="b">
        <f>_xlfn.XLOOKUP(Table61011[[#This Row],[Category No]],Table8[Category No],Table8[Chapter List],FALSE)</f>
        <v>0</v>
      </c>
      <c r="D497" s="42"/>
      <c r="E497" s="43"/>
    </row>
    <row r="498" spans="1:5" x14ac:dyDescent="0.3">
      <c r="A498" s="42">
        <v>497</v>
      </c>
      <c r="B498" s="42"/>
      <c r="C498" s="42" t="b">
        <f>_xlfn.XLOOKUP(Table61011[[#This Row],[Category No]],Table8[Category No],Table8[Chapter List],FALSE)</f>
        <v>0</v>
      </c>
      <c r="D498" s="42"/>
      <c r="E498" s="43"/>
    </row>
    <row r="499" spans="1:5" x14ac:dyDescent="0.3">
      <c r="A499" s="42">
        <v>498</v>
      </c>
      <c r="B499" s="42"/>
      <c r="C499" s="42" t="b">
        <f>_xlfn.XLOOKUP(Table61011[[#This Row],[Category No]],Table8[Category No],Table8[Chapter List],FALSE)</f>
        <v>0</v>
      </c>
      <c r="D499" s="42"/>
      <c r="E499" s="43"/>
    </row>
    <row r="500" spans="1:5" x14ac:dyDescent="0.3">
      <c r="A500" s="42">
        <v>499</v>
      </c>
      <c r="B500" s="42"/>
      <c r="C500" s="42" t="b">
        <f>_xlfn.XLOOKUP(Table61011[[#This Row],[Category No]],Table8[Category No],Table8[Chapter List],FALSE)</f>
        <v>0</v>
      </c>
      <c r="D500" s="42"/>
      <c r="E500" s="43"/>
    </row>
    <row r="501" spans="1:5" x14ac:dyDescent="0.3">
      <c r="A501" s="42">
        <v>500</v>
      </c>
      <c r="B501" s="42"/>
      <c r="C501" s="42" t="b">
        <f>_xlfn.XLOOKUP(Table61011[[#This Row],[Category No]],Table8[Category No],Table8[Chapter List],FALSE)</f>
        <v>0</v>
      </c>
      <c r="D501" s="42"/>
      <c r="E501" s="43"/>
    </row>
    <row r="502" spans="1:5" x14ac:dyDescent="0.3">
      <c r="A502" s="42">
        <v>501</v>
      </c>
      <c r="B502" s="42"/>
      <c r="C502" s="42" t="b">
        <f>_xlfn.XLOOKUP(Table61011[[#This Row],[Category No]],Table8[Category No],Table8[Chapter List],FALSE)</f>
        <v>0</v>
      </c>
      <c r="D502" s="42"/>
      <c r="E502" s="43"/>
    </row>
    <row r="503" spans="1:5" x14ac:dyDescent="0.3">
      <c r="A503" s="42">
        <v>502</v>
      </c>
      <c r="B503" s="42"/>
      <c r="C503" s="42" t="b">
        <f>_xlfn.XLOOKUP(Table61011[[#This Row],[Category No]],Table8[Category No],Table8[Chapter List],FALSE)</f>
        <v>0</v>
      </c>
      <c r="D503" s="42"/>
      <c r="E503" s="43"/>
    </row>
    <row r="504" spans="1:5" x14ac:dyDescent="0.3">
      <c r="A504" s="42">
        <v>503</v>
      </c>
      <c r="B504" s="42"/>
      <c r="C504" s="42" t="b">
        <f>_xlfn.XLOOKUP(Table61011[[#This Row],[Category No]],Table8[Category No],Table8[Chapter List],FALSE)</f>
        <v>0</v>
      </c>
      <c r="D504" s="42"/>
      <c r="E504" s="43"/>
    </row>
    <row r="505" spans="1:5" x14ac:dyDescent="0.3">
      <c r="A505" s="42">
        <v>504</v>
      </c>
      <c r="B505" s="42"/>
      <c r="C505" s="42" t="b">
        <f>_xlfn.XLOOKUP(Table61011[[#This Row],[Category No]],Table8[Category No],Table8[Chapter List],FALSE)</f>
        <v>0</v>
      </c>
      <c r="D505" s="42"/>
      <c r="E505" s="43"/>
    </row>
    <row r="506" spans="1:5" x14ac:dyDescent="0.3">
      <c r="A506" s="42">
        <v>505</v>
      </c>
      <c r="B506" s="42"/>
      <c r="C506" s="42" t="b">
        <f>_xlfn.XLOOKUP(Table61011[[#This Row],[Category No]],Table8[Category No],Table8[Chapter List],FALSE)</f>
        <v>0</v>
      </c>
      <c r="D506" s="42"/>
      <c r="E506" s="43"/>
    </row>
    <row r="507" spans="1:5" x14ac:dyDescent="0.3">
      <c r="A507" s="42">
        <v>506</v>
      </c>
      <c r="B507" s="42"/>
      <c r="C507" s="42" t="b">
        <f>_xlfn.XLOOKUP(Table61011[[#This Row],[Category No]],Table8[Category No],Table8[Chapter List],FALSE)</f>
        <v>0</v>
      </c>
      <c r="D507" s="42"/>
      <c r="E507" s="43"/>
    </row>
    <row r="508" spans="1:5" x14ac:dyDescent="0.3">
      <c r="A508" s="42">
        <v>507</v>
      </c>
      <c r="B508" s="42"/>
      <c r="C508" s="42" t="b">
        <f>_xlfn.XLOOKUP(Table61011[[#This Row],[Category No]],Table8[Category No],Table8[Chapter List],FALSE)</f>
        <v>0</v>
      </c>
      <c r="D508" s="42"/>
      <c r="E508" s="43"/>
    </row>
    <row r="509" spans="1:5" x14ac:dyDescent="0.3">
      <c r="A509" s="42">
        <v>508</v>
      </c>
      <c r="B509" s="42"/>
      <c r="C509" s="42" t="b">
        <f>_xlfn.XLOOKUP(Table61011[[#This Row],[Category No]],Table8[Category No],Table8[Chapter List],FALSE)</f>
        <v>0</v>
      </c>
      <c r="D509" s="42"/>
      <c r="E509" s="43"/>
    </row>
    <row r="510" spans="1:5" x14ac:dyDescent="0.3">
      <c r="A510" s="42">
        <v>509</v>
      </c>
      <c r="B510" s="42"/>
      <c r="C510" s="42" t="b">
        <f>_xlfn.XLOOKUP(Table61011[[#This Row],[Category No]],Table8[Category No],Table8[Chapter List],FALSE)</f>
        <v>0</v>
      </c>
      <c r="D510" s="42"/>
      <c r="E510" s="43"/>
    </row>
    <row r="511" spans="1:5" x14ac:dyDescent="0.3">
      <c r="A511" s="42">
        <v>510</v>
      </c>
      <c r="B511" s="42"/>
      <c r="C511" s="42" t="b">
        <f>_xlfn.XLOOKUP(Table61011[[#This Row],[Category No]],Table8[Category No],Table8[Chapter List],FALSE)</f>
        <v>0</v>
      </c>
      <c r="D511" s="42"/>
      <c r="E511" s="43"/>
    </row>
    <row r="512" spans="1:5" x14ac:dyDescent="0.3">
      <c r="A512" s="42">
        <v>511</v>
      </c>
      <c r="B512" s="42"/>
      <c r="C512" s="42" t="b">
        <f>_xlfn.XLOOKUP(Table61011[[#This Row],[Category No]],Table8[Category No],Table8[Chapter List],FALSE)</f>
        <v>0</v>
      </c>
      <c r="D512" s="42"/>
      <c r="E512" s="43"/>
    </row>
    <row r="513" spans="1:5" x14ac:dyDescent="0.3">
      <c r="A513" s="42">
        <v>512</v>
      </c>
      <c r="B513" s="42"/>
      <c r="C513" s="42" t="b">
        <f>_xlfn.XLOOKUP(Table61011[[#This Row],[Category No]],Table8[Category No],Table8[Chapter List],FALSE)</f>
        <v>0</v>
      </c>
      <c r="D513" s="42"/>
      <c r="E513" s="43"/>
    </row>
    <row r="514" spans="1:5" x14ac:dyDescent="0.3">
      <c r="A514" s="42">
        <v>513</v>
      </c>
      <c r="B514" s="42"/>
      <c r="C514" s="42" t="b">
        <f>_xlfn.XLOOKUP(Table61011[[#This Row],[Category No]],Table8[Category No],Table8[Chapter List],FALSE)</f>
        <v>0</v>
      </c>
      <c r="D514" s="42"/>
      <c r="E514" s="43"/>
    </row>
    <row r="515" spans="1:5" x14ac:dyDescent="0.3">
      <c r="A515" s="42">
        <v>514</v>
      </c>
      <c r="B515" s="42"/>
      <c r="C515" s="42" t="b">
        <f>_xlfn.XLOOKUP(Table61011[[#This Row],[Category No]],Table8[Category No],Table8[Chapter List],FALSE)</f>
        <v>0</v>
      </c>
      <c r="D515" s="42"/>
      <c r="E515" s="43"/>
    </row>
    <row r="516" spans="1:5" x14ac:dyDescent="0.3">
      <c r="A516" s="42">
        <v>515</v>
      </c>
      <c r="B516" s="42"/>
      <c r="C516" s="42" t="b">
        <f>_xlfn.XLOOKUP(Table61011[[#This Row],[Category No]],Table8[Category No],Table8[Chapter List],FALSE)</f>
        <v>0</v>
      </c>
      <c r="D516" s="42"/>
      <c r="E516" s="43"/>
    </row>
    <row r="517" spans="1:5" x14ac:dyDescent="0.3">
      <c r="A517" s="42">
        <v>516</v>
      </c>
      <c r="B517" s="42"/>
      <c r="C517" s="42" t="b">
        <f>_xlfn.XLOOKUP(Table61011[[#This Row],[Category No]],Table8[Category No],Table8[Chapter List],FALSE)</f>
        <v>0</v>
      </c>
      <c r="D517" s="42"/>
      <c r="E517" s="43"/>
    </row>
    <row r="518" spans="1:5" x14ac:dyDescent="0.3">
      <c r="A518" s="42">
        <v>517</v>
      </c>
      <c r="B518" s="42"/>
      <c r="C518" s="42" t="b">
        <f>_xlfn.XLOOKUP(Table61011[[#This Row],[Category No]],Table8[Category No],Table8[Chapter List],FALSE)</f>
        <v>0</v>
      </c>
      <c r="D518" s="42"/>
      <c r="E518" s="43"/>
    </row>
    <row r="519" spans="1:5" x14ac:dyDescent="0.3">
      <c r="A519" s="42">
        <v>518</v>
      </c>
      <c r="B519" s="42"/>
      <c r="C519" s="42" t="b">
        <f>_xlfn.XLOOKUP(Table61011[[#This Row],[Category No]],Table8[Category No],Table8[Chapter List],FALSE)</f>
        <v>0</v>
      </c>
      <c r="D519" s="42"/>
      <c r="E519" s="43"/>
    </row>
    <row r="520" spans="1:5" x14ac:dyDescent="0.3">
      <c r="A520" s="42">
        <v>519</v>
      </c>
      <c r="B520" s="42"/>
      <c r="C520" s="42" t="b">
        <f>_xlfn.XLOOKUP(Table61011[[#This Row],[Category No]],Table8[Category No],Table8[Chapter List],FALSE)</f>
        <v>0</v>
      </c>
      <c r="D520" s="42"/>
      <c r="E520" s="43"/>
    </row>
    <row r="521" spans="1:5" x14ac:dyDescent="0.3">
      <c r="A521" s="42">
        <v>520</v>
      </c>
      <c r="B521" s="42"/>
      <c r="C521" s="42" t="b">
        <f>_xlfn.XLOOKUP(Table61011[[#This Row],[Category No]],Table8[Category No],Table8[Chapter List],FALSE)</f>
        <v>0</v>
      </c>
      <c r="D521" s="42"/>
      <c r="E521" s="43"/>
    </row>
    <row r="522" spans="1:5" x14ac:dyDescent="0.3">
      <c r="A522" s="42">
        <v>521</v>
      </c>
      <c r="B522" s="42"/>
      <c r="C522" s="42" t="b">
        <f>_xlfn.XLOOKUP(Table61011[[#This Row],[Category No]],Table8[Category No],Table8[Chapter List],FALSE)</f>
        <v>0</v>
      </c>
      <c r="D522" s="42"/>
      <c r="E522" s="43"/>
    </row>
    <row r="523" spans="1:5" x14ac:dyDescent="0.3">
      <c r="A523" s="42">
        <v>522</v>
      </c>
      <c r="B523" s="42"/>
      <c r="C523" s="42" t="b">
        <f>_xlfn.XLOOKUP(Table61011[[#This Row],[Category No]],Table8[Category No],Table8[Chapter List],FALSE)</f>
        <v>0</v>
      </c>
      <c r="D523" s="42"/>
      <c r="E523" s="43"/>
    </row>
    <row r="524" spans="1:5" x14ac:dyDescent="0.3">
      <c r="A524" s="42">
        <v>523</v>
      </c>
      <c r="B524" s="42"/>
      <c r="C524" s="42" t="b">
        <f>_xlfn.XLOOKUP(Table61011[[#This Row],[Category No]],Table8[Category No],Table8[Chapter List],FALSE)</f>
        <v>0</v>
      </c>
      <c r="D524" s="42"/>
      <c r="E524" s="43"/>
    </row>
    <row r="525" spans="1:5" x14ac:dyDescent="0.3">
      <c r="A525" s="42">
        <v>524</v>
      </c>
      <c r="B525" s="42"/>
      <c r="C525" s="42" t="b">
        <f>_xlfn.XLOOKUP(Table61011[[#This Row],[Category No]],Table8[Category No],Table8[Chapter List],FALSE)</f>
        <v>0</v>
      </c>
      <c r="D525" s="42"/>
      <c r="E525" s="43"/>
    </row>
    <row r="526" spans="1:5" x14ac:dyDescent="0.3">
      <c r="A526" s="42">
        <v>525</v>
      </c>
      <c r="B526" s="42"/>
      <c r="C526" s="42" t="b">
        <f>_xlfn.XLOOKUP(Table61011[[#This Row],[Category No]],Table8[Category No],Table8[Chapter List],FALSE)</f>
        <v>0</v>
      </c>
      <c r="D526" s="42"/>
      <c r="E526" s="43"/>
    </row>
    <row r="527" spans="1:5" x14ac:dyDescent="0.3">
      <c r="A527" s="42">
        <v>526</v>
      </c>
      <c r="B527" s="42"/>
      <c r="C527" s="42" t="b">
        <f>_xlfn.XLOOKUP(Table61011[[#This Row],[Category No]],Table8[Category No],Table8[Chapter List],FALSE)</f>
        <v>0</v>
      </c>
      <c r="D527" s="42"/>
      <c r="E527" s="43"/>
    </row>
    <row r="528" spans="1:5" x14ac:dyDescent="0.3">
      <c r="A528" s="42">
        <v>527</v>
      </c>
      <c r="B528" s="42"/>
      <c r="C528" s="42" t="b">
        <f>_xlfn.XLOOKUP(Table61011[[#This Row],[Category No]],Table8[Category No],Table8[Chapter List],FALSE)</f>
        <v>0</v>
      </c>
      <c r="D528" s="42"/>
      <c r="E528" s="43"/>
    </row>
    <row r="529" spans="1:5" x14ac:dyDescent="0.3">
      <c r="A529" s="42">
        <v>528</v>
      </c>
      <c r="B529" s="42"/>
      <c r="C529" s="42" t="b">
        <f>_xlfn.XLOOKUP(Table61011[[#This Row],[Category No]],Table8[Category No],Table8[Chapter List],FALSE)</f>
        <v>0</v>
      </c>
      <c r="D529" s="42"/>
      <c r="E529" s="43"/>
    </row>
    <row r="530" spans="1:5" x14ac:dyDescent="0.3">
      <c r="A530" s="42">
        <v>529</v>
      </c>
      <c r="B530" s="42"/>
      <c r="C530" s="42" t="b">
        <f>_xlfn.XLOOKUP(Table61011[[#This Row],[Category No]],Table8[Category No],Table8[Chapter List],FALSE)</f>
        <v>0</v>
      </c>
      <c r="D530" s="42"/>
      <c r="E530" s="43"/>
    </row>
    <row r="531" spans="1:5" x14ac:dyDescent="0.3">
      <c r="A531" s="42">
        <v>530</v>
      </c>
      <c r="B531" s="42"/>
      <c r="C531" s="42" t="b">
        <f>_xlfn.XLOOKUP(Table61011[[#This Row],[Category No]],Table8[Category No],Table8[Chapter List],FALSE)</f>
        <v>0</v>
      </c>
      <c r="D531" s="42"/>
      <c r="E531" s="43"/>
    </row>
    <row r="532" spans="1:5" x14ac:dyDescent="0.3">
      <c r="A532" s="42">
        <v>531</v>
      </c>
      <c r="B532" s="42"/>
      <c r="C532" s="42" t="b">
        <f>_xlfn.XLOOKUP(Table61011[[#This Row],[Category No]],Table8[Category No],Table8[Chapter List],FALSE)</f>
        <v>0</v>
      </c>
      <c r="D532" s="42"/>
      <c r="E532" s="43"/>
    </row>
    <row r="533" spans="1:5" x14ac:dyDescent="0.3">
      <c r="A533" s="42">
        <v>532</v>
      </c>
      <c r="B533" s="42"/>
      <c r="C533" s="42" t="b">
        <f>_xlfn.XLOOKUP(Table61011[[#This Row],[Category No]],Table8[Category No],Table8[Chapter List],FALSE)</f>
        <v>0</v>
      </c>
      <c r="D533" s="42"/>
      <c r="E533" s="43"/>
    </row>
    <row r="534" spans="1:5" x14ac:dyDescent="0.3">
      <c r="A534" s="42">
        <v>533</v>
      </c>
      <c r="B534" s="42"/>
      <c r="C534" s="42" t="b">
        <f>_xlfn.XLOOKUP(Table61011[[#This Row],[Category No]],Table8[Category No],Table8[Chapter List],FALSE)</f>
        <v>0</v>
      </c>
      <c r="D534" s="42"/>
      <c r="E534" s="43"/>
    </row>
    <row r="535" spans="1:5" x14ac:dyDescent="0.3">
      <c r="A535" s="42">
        <v>534</v>
      </c>
      <c r="B535" s="42"/>
      <c r="C535" s="42" t="b">
        <f>_xlfn.XLOOKUP(Table61011[[#This Row],[Category No]],Table8[Category No],Table8[Chapter List],FALSE)</f>
        <v>0</v>
      </c>
      <c r="D535" s="42"/>
      <c r="E535" s="43"/>
    </row>
    <row r="536" spans="1:5" x14ac:dyDescent="0.3">
      <c r="A536" s="42">
        <v>535</v>
      </c>
      <c r="B536" s="42"/>
      <c r="C536" s="42" t="b">
        <f>_xlfn.XLOOKUP(Table61011[[#This Row],[Category No]],Table8[Category No],Table8[Chapter List],FALSE)</f>
        <v>0</v>
      </c>
      <c r="D536" s="42"/>
      <c r="E536" s="43"/>
    </row>
    <row r="537" spans="1:5" x14ac:dyDescent="0.3">
      <c r="A537" s="42">
        <v>536</v>
      </c>
      <c r="B537" s="42"/>
      <c r="C537" s="42" t="b">
        <f>_xlfn.XLOOKUP(Table61011[[#This Row],[Category No]],Table8[Category No],Table8[Chapter List],FALSE)</f>
        <v>0</v>
      </c>
      <c r="D537" s="42"/>
      <c r="E537" s="43"/>
    </row>
    <row r="538" spans="1:5" x14ac:dyDescent="0.3">
      <c r="A538" s="42">
        <v>537</v>
      </c>
      <c r="B538" s="42"/>
      <c r="C538" s="42" t="b">
        <f>_xlfn.XLOOKUP(Table61011[[#This Row],[Category No]],Table8[Category No],Table8[Chapter List],FALSE)</f>
        <v>0</v>
      </c>
      <c r="D538" s="42"/>
      <c r="E538" s="43"/>
    </row>
    <row r="539" spans="1:5" x14ac:dyDescent="0.3">
      <c r="A539" s="42">
        <v>538</v>
      </c>
      <c r="B539" s="42"/>
      <c r="C539" s="42" t="b">
        <f>_xlfn.XLOOKUP(Table61011[[#This Row],[Category No]],Table8[Category No],Table8[Chapter List],FALSE)</f>
        <v>0</v>
      </c>
      <c r="D539" s="42"/>
      <c r="E539" s="43"/>
    </row>
    <row r="540" spans="1:5" x14ac:dyDescent="0.3">
      <c r="A540" s="42">
        <v>539</v>
      </c>
      <c r="B540" s="42"/>
      <c r="C540" s="42" t="b">
        <f>_xlfn.XLOOKUP(Table61011[[#This Row],[Category No]],Table8[Category No],Table8[Chapter List],FALSE)</f>
        <v>0</v>
      </c>
      <c r="D540" s="42"/>
      <c r="E540" s="43"/>
    </row>
    <row r="541" spans="1:5" x14ac:dyDescent="0.3">
      <c r="A541" s="42">
        <v>540</v>
      </c>
      <c r="B541" s="42"/>
      <c r="C541" s="42" t="b">
        <f>_xlfn.XLOOKUP(Table61011[[#This Row],[Category No]],Table8[Category No],Table8[Chapter List],FALSE)</f>
        <v>0</v>
      </c>
      <c r="D541" s="42"/>
      <c r="E541" s="43"/>
    </row>
    <row r="542" spans="1:5" x14ac:dyDescent="0.3">
      <c r="A542" s="42">
        <v>541</v>
      </c>
      <c r="B542" s="42"/>
      <c r="C542" s="42" t="b">
        <f>_xlfn.XLOOKUP(Table61011[[#This Row],[Category No]],Table8[Category No],Table8[Chapter List],FALSE)</f>
        <v>0</v>
      </c>
      <c r="D542" s="42"/>
      <c r="E542" s="43"/>
    </row>
    <row r="543" spans="1:5" x14ac:dyDescent="0.3">
      <c r="A543" s="42">
        <v>542</v>
      </c>
      <c r="B543" s="42"/>
      <c r="C543" s="42" t="b">
        <f>_xlfn.XLOOKUP(Table61011[[#This Row],[Category No]],Table8[Category No],Table8[Chapter List],FALSE)</f>
        <v>0</v>
      </c>
      <c r="D543" s="42"/>
      <c r="E543" s="43"/>
    </row>
    <row r="544" spans="1:5" x14ac:dyDescent="0.3">
      <c r="A544" s="42">
        <v>543</v>
      </c>
      <c r="B544" s="42"/>
      <c r="C544" s="42" t="b">
        <f>_xlfn.XLOOKUP(Table61011[[#This Row],[Category No]],Table8[Category No],Table8[Chapter List],FALSE)</f>
        <v>0</v>
      </c>
      <c r="D544" s="42"/>
      <c r="E544" s="43"/>
    </row>
    <row r="545" spans="1:5" x14ac:dyDescent="0.3">
      <c r="A545" s="42">
        <v>544</v>
      </c>
      <c r="B545" s="42"/>
      <c r="C545" s="42" t="b">
        <f>_xlfn.XLOOKUP(Table61011[[#This Row],[Category No]],Table8[Category No],Table8[Chapter List],FALSE)</f>
        <v>0</v>
      </c>
      <c r="D545" s="42"/>
      <c r="E545" s="43"/>
    </row>
    <row r="546" spans="1:5" x14ac:dyDescent="0.3">
      <c r="A546" s="42">
        <v>545</v>
      </c>
      <c r="B546" s="42"/>
      <c r="C546" s="42" t="b">
        <f>_xlfn.XLOOKUP(Table61011[[#This Row],[Category No]],Table8[Category No],Table8[Chapter List],FALSE)</f>
        <v>0</v>
      </c>
      <c r="D546" s="42"/>
      <c r="E546" s="43"/>
    </row>
    <row r="547" spans="1:5" x14ac:dyDescent="0.3">
      <c r="A547" s="42">
        <v>546</v>
      </c>
      <c r="B547" s="42"/>
      <c r="C547" s="42" t="b">
        <f>_xlfn.XLOOKUP(Table61011[[#This Row],[Category No]],Table8[Category No],Table8[Chapter List],FALSE)</f>
        <v>0</v>
      </c>
      <c r="D547" s="42"/>
      <c r="E547" s="43"/>
    </row>
    <row r="548" spans="1:5" x14ac:dyDescent="0.3">
      <c r="A548" s="42">
        <v>547</v>
      </c>
      <c r="B548" s="42"/>
      <c r="C548" s="42" t="b">
        <f>_xlfn.XLOOKUP(Table61011[[#This Row],[Category No]],Table8[Category No],Table8[Chapter List],FALSE)</f>
        <v>0</v>
      </c>
      <c r="D548" s="42"/>
      <c r="E548" s="43"/>
    </row>
    <row r="549" spans="1:5" x14ac:dyDescent="0.3">
      <c r="A549" s="42">
        <v>548</v>
      </c>
      <c r="B549" s="42"/>
      <c r="C549" s="42" t="b">
        <f>_xlfn.XLOOKUP(Table61011[[#This Row],[Category No]],Table8[Category No],Table8[Chapter List],FALSE)</f>
        <v>0</v>
      </c>
      <c r="D549" s="42"/>
      <c r="E549" s="43"/>
    </row>
    <row r="550" spans="1:5" x14ac:dyDescent="0.3">
      <c r="A550" s="42">
        <v>549</v>
      </c>
      <c r="B550" s="42"/>
      <c r="C550" s="42" t="b">
        <f>_xlfn.XLOOKUP(Table61011[[#This Row],[Category No]],Table8[Category No],Table8[Chapter List],FALSE)</f>
        <v>0</v>
      </c>
      <c r="D550" s="42"/>
      <c r="E550" s="43"/>
    </row>
    <row r="551" spans="1:5" x14ac:dyDescent="0.3">
      <c r="A551" s="42">
        <v>550</v>
      </c>
      <c r="B551" s="42"/>
      <c r="C551" s="42" t="b">
        <f>_xlfn.XLOOKUP(Table61011[[#This Row],[Category No]],Table8[Category No],Table8[Chapter List],FALSE)</f>
        <v>0</v>
      </c>
      <c r="D551" s="42"/>
      <c r="E551" s="43"/>
    </row>
    <row r="552" spans="1:5" x14ac:dyDescent="0.3">
      <c r="A552" s="42">
        <v>551</v>
      </c>
      <c r="B552" s="42"/>
      <c r="C552" s="42" t="b">
        <f>_xlfn.XLOOKUP(Table61011[[#This Row],[Category No]],Table8[Category No],Table8[Chapter List],FALSE)</f>
        <v>0</v>
      </c>
      <c r="D552" s="42"/>
      <c r="E552" s="43"/>
    </row>
    <row r="553" spans="1:5" x14ac:dyDescent="0.3">
      <c r="A553" s="42">
        <v>552</v>
      </c>
      <c r="B553" s="42"/>
      <c r="C553" s="42" t="b">
        <f>_xlfn.XLOOKUP(Table61011[[#This Row],[Category No]],Table8[Category No],Table8[Chapter List],FALSE)</f>
        <v>0</v>
      </c>
      <c r="D553" s="42"/>
      <c r="E553" s="43"/>
    </row>
    <row r="554" spans="1:5" x14ac:dyDescent="0.3">
      <c r="A554" s="42">
        <v>553</v>
      </c>
      <c r="B554" s="42"/>
      <c r="C554" s="42" t="b">
        <f>_xlfn.XLOOKUP(Table61011[[#This Row],[Category No]],Table8[Category No],Table8[Chapter List],FALSE)</f>
        <v>0</v>
      </c>
      <c r="D554" s="42"/>
      <c r="E554" s="43"/>
    </row>
    <row r="555" spans="1:5" x14ac:dyDescent="0.3">
      <c r="A555" s="42">
        <v>554</v>
      </c>
      <c r="B555" s="42"/>
      <c r="C555" s="42" t="b">
        <f>_xlfn.XLOOKUP(Table61011[[#This Row],[Category No]],Table8[Category No],Table8[Chapter List],FALSE)</f>
        <v>0</v>
      </c>
      <c r="D555" s="42"/>
      <c r="E555" s="43"/>
    </row>
    <row r="556" spans="1:5" x14ac:dyDescent="0.3">
      <c r="A556" s="42">
        <v>555</v>
      </c>
      <c r="B556" s="42"/>
      <c r="C556" s="42" t="b">
        <f>_xlfn.XLOOKUP(Table61011[[#This Row],[Category No]],Table8[Category No],Table8[Chapter List],FALSE)</f>
        <v>0</v>
      </c>
      <c r="D556" s="42"/>
      <c r="E556" s="43"/>
    </row>
    <row r="557" spans="1:5" x14ac:dyDescent="0.3">
      <c r="A557" s="42">
        <v>556</v>
      </c>
      <c r="B557" s="42"/>
      <c r="C557" s="42" t="b">
        <f>_xlfn.XLOOKUP(Table61011[[#This Row],[Category No]],Table8[Category No],Table8[Chapter List],FALSE)</f>
        <v>0</v>
      </c>
      <c r="D557" s="42"/>
      <c r="E557" s="43"/>
    </row>
    <row r="558" spans="1:5" x14ac:dyDescent="0.3">
      <c r="A558" s="42">
        <v>557</v>
      </c>
      <c r="B558" s="42"/>
      <c r="C558" s="42" t="b">
        <f>_xlfn.XLOOKUP(Table61011[[#This Row],[Category No]],Table8[Category No],Table8[Chapter List],FALSE)</f>
        <v>0</v>
      </c>
      <c r="D558" s="42"/>
      <c r="E558" s="43"/>
    </row>
    <row r="559" spans="1:5" x14ac:dyDescent="0.3">
      <c r="A559" s="42">
        <v>558</v>
      </c>
      <c r="B559" s="42"/>
      <c r="C559" s="42" t="b">
        <f>_xlfn.XLOOKUP(Table61011[[#This Row],[Category No]],Table8[Category No],Table8[Chapter List],FALSE)</f>
        <v>0</v>
      </c>
      <c r="D559" s="42"/>
      <c r="E559" s="43"/>
    </row>
    <row r="560" spans="1:5" x14ac:dyDescent="0.3">
      <c r="A560" s="42">
        <v>559</v>
      </c>
      <c r="B560" s="42"/>
      <c r="C560" s="42" t="b">
        <f>_xlfn.XLOOKUP(Table61011[[#This Row],[Category No]],Table8[Category No],Table8[Chapter List],FALSE)</f>
        <v>0</v>
      </c>
      <c r="D560" s="42"/>
      <c r="E560" s="43"/>
    </row>
    <row r="561" spans="1:5" x14ac:dyDescent="0.3">
      <c r="A561" s="42">
        <v>560</v>
      </c>
      <c r="B561" s="42"/>
      <c r="C561" s="42" t="b">
        <f>_xlfn.XLOOKUP(Table61011[[#This Row],[Category No]],Table8[Category No],Table8[Chapter List],FALSE)</f>
        <v>0</v>
      </c>
      <c r="D561" s="42"/>
      <c r="E561" s="43"/>
    </row>
    <row r="562" spans="1:5" x14ac:dyDescent="0.3">
      <c r="A562" s="42">
        <v>561</v>
      </c>
      <c r="B562" s="42"/>
      <c r="C562" s="42" t="b">
        <f>_xlfn.XLOOKUP(Table61011[[#This Row],[Category No]],Table8[Category No],Table8[Chapter List],FALSE)</f>
        <v>0</v>
      </c>
      <c r="D562" s="42"/>
      <c r="E562" s="43"/>
    </row>
    <row r="563" spans="1:5" x14ac:dyDescent="0.3">
      <c r="A563" s="42">
        <v>562</v>
      </c>
      <c r="B563" s="42"/>
      <c r="C563" s="42" t="b">
        <f>_xlfn.XLOOKUP(Table61011[[#This Row],[Category No]],Table8[Category No],Table8[Chapter List],FALSE)</f>
        <v>0</v>
      </c>
      <c r="D563" s="42"/>
      <c r="E563" s="43"/>
    </row>
    <row r="564" spans="1:5" x14ac:dyDescent="0.3">
      <c r="A564" s="42">
        <v>563</v>
      </c>
      <c r="B564" s="42"/>
      <c r="C564" s="42" t="b">
        <f>_xlfn.XLOOKUP(Table61011[[#This Row],[Category No]],Table8[Category No],Table8[Chapter List],FALSE)</f>
        <v>0</v>
      </c>
      <c r="D564" s="42"/>
      <c r="E564" s="43"/>
    </row>
    <row r="565" spans="1:5" x14ac:dyDescent="0.3">
      <c r="A565" s="42">
        <v>564</v>
      </c>
      <c r="B565" s="42"/>
      <c r="C565" s="42" t="b">
        <f>_xlfn.XLOOKUP(Table61011[[#This Row],[Category No]],Table8[Category No],Table8[Chapter List],FALSE)</f>
        <v>0</v>
      </c>
      <c r="D565" s="42"/>
      <c r="E565" s="43"/>
    </row>
    <row r="566" spans="1:5" x14ac:dyDescent="0.3">
      <c r="A566" s="42">
        <v>565</v>
      </c>
      <c r="B566" s="42"/>
      <c r="C566" s="42" t="b">
        <f>_xlfn.XLOOKUP(Table61011[[#This Row],[Category No]],Table8[Category No],Table8[Chapter List],FALSE)</f>
        <v>0</v>
      </c>
      <c r="D566" s="42"/>
      <c r="E566" s="43"/>
    </row>
    <row r="567" spans="1:5" x14ac:dyDescent="0.3">
      <c r="A567" s="42">
        <v>566</v>
      </c>
      <c r="B567" s="42"/>
      <c r="C567" s="42" t="b">
        <f>_xlfn.XLOOKUP(Table61011[[#This Row],[Category No]],Table8[Category No],Table8[Chapter List],FALSE)</f>
        <v>0</v>
      </c>
      <c r="D567" s="42"/>
      <c r="E567" s="43"/>
    </row>
    <row r="568" spans="1:5" x14ac:dyDescent="0.3">
      <c r="A568" s="42">
        <v>567</v>
      </c>
      <c r="B568" s="42"/>
      <c r="C568" s="42" t="b">
        <f>_xlfn.XLOOKUP(Table61011[[#This Row],[Category No]],Table8[Category No],Table8[Chapter List],FALSE)</f>
        <v>0</v>
      </c>
      <c r="D568" s="42"/>
      <c r="E568" s="43"/>
    </row>
    <row r="569" spans="1:5" x14ac:dyDescent="0.3">
      <c r="A569" s="42">
        <v>568</v>
      </c>
      <c r="B569" s="42"/>
      <c r="C569" s="42" t="b">
        <f>_xlfn.XLOOKUP(Table61011[[#This Row],[Category No]],Table8[Category No],Table8[Chapter List],FALSE)</f>
        <v>0</v>
      </c>
      <c r="D569" s="42"/>
      <c r="E569" s="43"/>
    </row>
    <row r="570" spans="1:5" x14ac:dyDescent="0.3">
      <c r="A570" s="42">
        <v>569</v>
      </c>
      <c r="B570" s="42"/>
      <c r="C570" s="42" t="b">
        <f>_xlfn.XLOOKUP(Table61011[[#This Row],[Category No]],Table8[Category No],Table8[Chapter List],FALSE)</f>
        <v>0</v>
      </c>
      <c r="D570" s="42"/>
      <c r="E570" s="43"/>
    </row>
    <row r="571" spans="1:5" x14ac:dyDescent="0.3">
      <c r="A571" s="42">
        <v>570</v>
      </c>
      <c r="B571" s="42"/>
      <c r="C571" s="42" t="b">
        <f>_xlfn.XLOOKUP(Table61011[[#This Row],[Category No]],Table8[Category No],Table8[Chapter List],FALSE)</f>
        <v>0</v>
      </c>
      <c r="D571" s="42"/>
      <c r="E571" s="43"/>
    </row>
    <row r="572" spans="1:5" x14ac:dyDescent="0.3">
      <c r="A572" s="42">
        <v>571</v>
      </c>
      <c r="B572" s="42"/>
      <c r="C572" s="42" t="b">
        <f>_xlfn.XLOOKUP(Table61011[[#This Row],[Category No]],Table8[Category No],Table8[Chapter List],FALSE)</f>
        <v>0</v>
      </c>
      <c r="D572" s="42"/>
      <c r="E572" s="43"/>
    </row>
    <row r="573" spans="1:5" x14ac:dyDescent="0.3">
      <c r="A573" s="42">
        <v>572</v>
      </c>
      <c r="B573" s="42"/>
      <c r="C573" s="42" t="b">
        <f>_xlfn.XLOOKUP(Table61011[[#This Row],[Category No]],Table8[Category No],Table8[Chapter List],FALSE)</f>
        <v>0</v>
      </c>
      <c r="D573" s="42"/>
      <c r="E573" s="43"/>
    </row>
    <row r="574" spans="1:5" x14ac:dyDescent="0.3">
      <c r="A574" s="42">
        <v>573</v>
      </c>
      <c r="B574" s="42"/>
      <c r="C574" s="42" t="b">
        <f>_xlfn.XLOOKUP(Table61011[[#This Row],[Category No]],Table8[Category No],Table8[Chapter List],FALSE)</f>
        <v>0</v>
      </c>
      <c r="D574" s="42"/>
      <c r="E574" s="43"/>
    </row>
    <row r="575" spans="1:5" x14ac:dyDescent="0.3">
      <c r="A575" s="42">
        <v>574</v>
      </c>
      <c r="B575" s="42"/>
      <c r="C575" s="42" t="b">
        <f>_xlfn.XLOOKUP(Table61011[[#This Row],[Category No]],Table8[Category No],Table8[Chapter List],FALSE)</f>
        <v>0</v>
      </c>
      <c r="D575" s="42"/>
      <c r="E575" s="43"/>
    </row>
    <row r="576" spans="1:5" x14ac:dyDescent="0.3">
      <c r="A576" s="42">
        <v>575</v>
      </c>
      <c r="B576" s="42"/>
      <c r="C576" s="42" t="b">
        <f>_xlfn.XLOOKUP(Table61011[[#This Row],[Category No]],Table8[Category No],Table8[Chapter List],FALSE)</f>
        <v>0</v>
      </c>
      <c r="D576" s="42"/>
      <c r="E576" s="43"/>
    </row>
    <row r="577" spans="1:5" x14ac:dyDescent="0.3">
      <c r="A577" s="42">
        <v>576</v>
      </c>
      <c r="B577" s="42"/>
      <c r="C577" s="42" t="b">
        <f>_xlfn.XLOOKUP(Table61011[[#This Row],[Category No]],Table8[Category No],Table8[Chapter List],FALSE)</f>
        <v>0</v>
      </c>
      <c r="D577" s="42"/>
      <c r="E577" s="43"/>
    </row>
    <row r="578" spans="1:5" x14ac:dyDescent="0.3">
      <c r="A578" s="42">
        <v>577</v>
      </c>
      <c r="B578" s="42"/>
      <c r="C578" s="42" t="b">
        <f>_xlfn.XLOOKUP(Table61011[[#This Row],[Category No]],Table8[Category No],Table8[Chapter List],FALSE)</f>
        <v>0</v>
      </c>
      <c r="D578" s="42"/>
      <c r="E578" s="43"/>
    </row>
    <row r="579" spans="1:5" x14ac:dyDescent="0.3">
      <c r="A579" s="42">
        <v>578</v>
      </c>
      <c r="B579" s="42"/>
      <c r="C579" s="42" t="b">
        <f>_xlfn.XLOOKUP(Table61011[[#This Row],[Category No]],Table8[Category No],Table8[Chapter List],FALSE)</f>
        <v>0</v>
      </c>
      <c r="D579" s="42"/>
      <c r="E579" s="43"/>
    </row>
    <row r="580" spans="1:5" x14ac:dyDescent="0.3">
      <c r="A580" s="42">
        <v>579</v>
      </c>
      <c r="B580" s="42"/>
      <c r="C580" s="42" t="b">
        <f>_xlfn.XLOOKUP(Table61011[[#This Row],[Category No]],Table8[Category No],Table8[Chapter List],FALSE)</f>
        <v>0</v>
      </c>
      <c r="D580" s="42"/>
      <c r="E580" s="43"/>
    </row>
    <row r="581" spans="1:5" x14ac:dyDescent="0.3">
      <c r="A581" s="42">
        <v>580</v>
      </c>
      <c r="B581" s="42"/>
      <c r="C581" s="42" t="b">
        <f>_xlfn.XLOOKUP(Table61011[[#This Row],[Category No]],Table8[Category No],Table8[Chapter List],FALSE)</f>
        <v>0</v>
      </c>
      <c r="D581" s="42"/>
      <c r="E581" s="43"/>
    </row>
    <row r="582" spans="1:5" x14ac:dyDescent="0.3">
      <c r="A582" s="42">
        <v>581</v>
      </c>
      <c r="B582" s="42"/>
      <c r="C582" s="42" t="b">
        <f>_xlfn.XLOOKUP(Table61011[[#This Row],[Category No]],Table8[Category No],Table8[Chapter List],FALSE)</f>
        <v>0</v>
      </c>
      <c r="D582" s="42"/>
      <c r="E582" s="43"/>
    </row>
    <row r="583" spans="1:5" x14ac:dyDescent="0.3">
      <c r="A583" s="42">
        <v>582</v>
      </c>
      <c r="B583" s="42"/>
      <c r="C583" s="42" t="b">
        <f>_xlfn.XLOOKUP(Table61011[[#This Row],[Category No]],Table8[Category No],Table8[Chapter List],FALSE)</f>
        <v>0</v>
      </c>
      <c r="D583" s="42"/>
      <c r="E583" s="43"/>
    </row>
    <row r="584" spans="1:5" x14ac:dyDescent="0.3">
      <c r="A584" s="42">
        <v>583</v>
      </c>
      <c r="B584" s="42"/>
      <c r="C584" s="42" t="b">
        <f>_xlfn.XLOOKUP(Table61011[[#This Row],[Category No]],Table8[Category No],Table8[Chapter List],FALSE)</f>
        <v>0</v>
      </c>
      <c r="D584" s="42"/>
      <c r="E584" s="43"/>
    </row>
    <row r="585" spans="1:5" x14ac:dyDescent="0.3">
      <c r="A585" s="42">
        <v>584</v>
      </c>
      <c r="B585" s="42"/>
      <c r="C585" s="42" t="b">
        <f>_xlfn.XLOOKUP(Table61011[[#This Row],[Category No]],Table8[Category No],Table8[Chapter List],FALSE)</f>
        <v>0</v>
      </c>
      <c r="D585" s="42"/>
      <c r="E585" s="43"/>
    </row>
    <row r="586" spans="1:5" x14ac:dyDescent="0.3">
      <c r="A586" s="42">
        <v>585</v>
      </c>
      <c r="B586" s="42"/>
      <c r="C586" s="42" t="b">
        <f>_xlfn.XLOOKUP(Table61011[[#This Row],[Category No]],Table8[Category No],Table8[Chapter List],FALSE)</f>
        <v>0</v>
      </c>
      <c r="D586" s="42"/>
      <c r="E586" s="43"/>
    </row>
    <row r="587" spans="1:5" x14ac:dyDescent="0.3">
      <c r="A587" s="42">
        <v>586</v>
      </c>
      <c r="B587" s="42"/>
      <c r="C587" s="42" t="b">
        <f>_xlfn.XLOOKUP(Table61011[[#This Row],[Category No]],Table8[Category No],Table8[Chapter List],FALSE)</f>
        <v>0</v>
      </c>
      <c r="D587" s="42"/>
      <c r="E587" s="43"/>
    </row>
    <row r="588" spans="1:5" x14ac:dyDescent="0.3">
      <c r="A588" s="42">
        <v>587</v>
      </c>
      <c r="B588" s="42"/>
      <c r="C588" s="42" t="b">
        <f>_xlfn.XLOOKUP(Table61011[[#This Row],[Category No]],Table8[Category No],Table8[Chapter List],FALSE)</f>
        <v>0</v>
      </c>
      <c r="D588" s="42"/>
      <c r="E588" s="43"/>
    </row>
    <row r="589" spans="1:5" x14ac:dyDescent="0.3">
      <c r="A589" s="42">
        <v>588</v>
      </c>
      <c r="B589" s="42"/>
      <c r="C589" s="42" t="b">
        <f>_xlfn.XLOOKUP(Table61011[[#This Row],[Category No]],Table8[Category No],Table8[Chapter List],FALSE)</f>
        <v>0</v>
      </c>
      <c r="D589" s="42"/>
      <c r="E589" s="43"/>
    </row>
    <row r="590" spans="1:5" x14ac:dyDescent="0.3">
      <c r="A590" s="42">
        <v>589</v>
      </c>
      <c r="B590" s="42"/>
      <c r="C590" s="42" t="b">
        <f>_xlfn.XLOOKUP(Table61011[[#This Row],[Category No]],Table8[Category No],Table8[Chapter List],FALSE)</f>
        <v>0</v>
      </c>
      <c r="D590" s="42"/>
      <c r="E590" s="43"/>
    </row>
    <row r="591" spans="1:5" x14ac:dyDescent="0.3">
      <c r="A591" s="42">
        <v>590</v>
      </c>
      <c r="B591" s="42"/>
      <c r="C591" s="42" t="b">
        <f>_xlfn.XLOOKUP(Table61011[[#This Row],[Category No]],Table8[Category No],Table8[Chapter List],FALSE)</f>
        <v>0</v>
      </c>
      <c r="D591" s="42"/>
      <c r="E591" s="43"/>
    </row>
    <row r="592" spans="1:5" x14ac:dyDescent="0.3">
      <c r="A592" s="42">
        <v>591</v>
      </c>
      <c r="B592" s="42"/>
      <c r="C592" s="42" t="b">
        <f>_xlfn.XLOOKUP(Table61011[[#This Row],[Category No]],Table8[Category No],Table8[Chapter List],FALSE)</f>
        <v>0</v>
      </c>
      <c r="D592" s="42"/>
      <c r="E592" s="43"/>
    </row>
    <row r="593" spans="1:5" x14ac:dyDescent="0.3">
      <c r="A593" s="42">
        <v>592</v>
      </c>
      <c r="B593" s="42"/>
      <c r="C593" s="42" t="b">
        <f>_xlfn.XLOOKUP(Table61011[[#This Row],[Category No]],Table8[Category No],Table8[Chapter List],FALSE)</f>
        <v>0</v>
      </c>
      <c r="D593" s="42"/>
      <c r="E593" s="43"/>
    </row>
    <row r="594" spans="1:5" x14ac:dyDescent="0.3">
      <c r="A594" s="42">
        <v>593</v>
      </c>
      <c r="B594" s="42"/>
      <c r="C594" s="42" t="b">
        <f>_xlfn.XLOOKUP(Table61011[[#This Row],[Category No]],Table8[Category No],Table8[Chapter List],FALSE)</f>
        <v>0</v>
      </c>
      <c r="D594" s="42"/>
      <c r="E594" s="43"/>
    </row>
    <row r="595" spans="1:5" x14ac:dyDescent="0.3">
      <c r="A595" s="42">
        <v>594</v>
      </c>
      <c r="B595" s="42"/>
      <c r="C595" s="42" t="b">
        <f>_xlfn.XLOOKUP(Table61011[[#This Row],[Category No]],Table8[Category No],Table8[Chapter List],FALSE)</f>
        <v>0</v>
      </c>
      <c r="D595" s="42"/>
      <c r="E595" s="43"/>
    </row>
    <row r="596" spans="1:5" x14ac:dyDescent="0.3">
      <c r="A596" s="42">
        <v>595</v>
      </c>
      <c r="B596" s="42"/>
      <c r="C596" s="42" t="b">
        <f>_xlfn.XLOOKUP(Table61011[[#This Row],[Category No]],Table8[Category No],Table8[Chapter List],FALSE)</f>
        <v>0</v>
      </c>
      <c r="D596" s="42"/>
      <c r="E596" s="43"/>
    </row>
    <row r="597" spans="1:5" x14ac:dyDescent="0.3">
      <c r="A597" s="42">
        <v>596</v>
      </c>
      <c r="B597" s="42"/>
      <c r="C597" s="42" t="b">
        <f>_xlfn.XLOOKUP(Table61011[[#This Row],[Category No]],Table8[Category No],Table8[Chapter List],FALSE)</f>
        <v>0</v>
      </c>
      <c r="D597" s="42"/>
      <c r="E597" s="43"/>
    </row>
    <row r="598" spans="1:5" x14ac:dyDescent="0.3">
      <c r="A598" s="42">
        <v>597</v>
      </c>
      <c r="B598" s="42"/>
      <c r="C598" s="42" t="b">
        <f>_xlfn.XLOOKUP(Table61011[[#This Row],[Category No]],Table8[Category No],Table8[Chapter List],FALSE)</f>
        <v>0</v>
      </c>
      <c r="D598" s="42"/>
      <c r="E598" s="43"/>
    </row>
    <row r="599" spans="1:5" x14ac:dyDescent="0.3">
      <c r="A599" s="42">
        <v>598</v>
      </c>
      <c r="B599" s="42"/>
      <c r="C599" s="42" t="b">
        <f>_xlfn.XLOOKUP(Table61011[[#This Row],[Category No]],Table8[Category No],Table8[Chapter List],FALSE)</f>
        <v>0</v>
      </c>
      <c r="D599" s="42"/>
      <c r="E599" s="43"/>
    </row>
    <row r="600" spans="1:5" x14ac:dyDescent="0.3">
      <c r="A600" s="42">
        <v>599</v>
      </c>
      <c r="B600" s="42"/>
      <c r="C600" s="42" t="b">
        <f>_xlfn.XLOOKUP(Table61011[[#This Row],[Category No]],Table8[Category No],Table8[Chapter List],FALSE)</f>
        <v>0</v>
      </c>
      <c r="D600" s="42"/>
      <c r="E600" s="43"/>
    </row>
    <row r="601" spans="1:5" x14ac:dyDescent="0.3">
      <c r="A601" s="42">
        <v>600</v>
      </c>
      <c r="B601" s="42"/>
      <c r="C601" s="42" t="b">
        <f>_xlfn.XLOOKUP(Table61011[[#This Row],[Category No]],Table8[Category No],Table8[Chapter List],FALSE)</f>
        <v>0</v>
      </c>
      <c r="D601" s="42"/>
      <c r="E601" s="43"/>
    </row>
    <row r="602" spans="1:5" x14ac:dyDescent="0.3">
      <c r="A602" s="42">
        <v>601</v>
      </c>
      <c r="B602" s="42"/>
      <c r="C602" s="42" t="b">
        <f>_xlfn.XLOOKUP(Table61011[[#This Row],[Category No]],Table8[Category No],Table8[Chapter List],FALSE)</f>
        <v>0</v>
      </c>
      <c r="D602" s="42"/>
      <c r="E602" s="43"/>
    </row>
    <row r="603" spans="1:5" x14ac:dyDescent="0.3">
      <c r="A603" s="42">
        <v>602</v>
      </c>
      <c r="B603" s="42"/>
      <c r="C603" s="42" t="b">
        <f>_xlfn.XLOOKUP(Table61011[[#This Row],[Category No]],Table8[Category No],Table8[Chapter List],FALSE)</f>
        <v>0</v>
      </c>
      <c r="D603" s="42"/>
      <c r="E603" s="43"/>
    </row>
    <row r="604" spans="1:5" x14ac:dyDescent="0.3">
      <c r="A604" s="42">
        <v>603</v>
      </c>
      <c r="B604" s="42"/>
      <c r="C604" s="42" t="b">
        <f>_xlfn.XLOOKUP(Table61011[[#This Row],[Category No]],Table8[Category No],Table8[Chapter List],FALSE)</f>
        <v>0</v>
      </c>
      <c r="D604" s="42"/>
      <c r="E604" s="43"/>
    </row>
    <row r="605" spans="1:5" x14ac:dyDescent="0.3">
      <c r="A605" s="42">
        <v>604</v>
      </c>
      <c r="B605" s="42"/>
      <c r="C605" s="42" t="b">
        <f>_xlfn.XLOOKUP(Table61011[[#This Row],[Category No]],Table8[Category No],Table8[Chapter List],FALSE)</f>
        <v>0</v>
      </c>
      <c r="D605" s="42"/>
      <c r="E605" s="43"/>
    </row>
    <row r="606" spans="1:5" x14ac:dyDescent="0.3">
      <c r="A606" s="42">
        <v>605</v>
      </c>
      <c r="B606" s="42"/>
      <c r="C606" s="42" t="b">
        <f>_xlfn.XLOOKUP(Table61011[[#This Row],[Category No]],Table8[Category No],Table8[Chapter List],FALSE)</f>
        <v>0</v>
      </c>
      <c r="D606" s="42"/>
      <c r="E606" s="43"/>
    </row>
    <row r="607" spans="1:5" x14ac:dyDescent="0.3">
      <c r="A607" s="42">
        <v>606</v>
      </c>
      <c r="B607" s="42"/>
      <c r="C607" s="42" t="b">
        <f>_xlfn.XLOOKUP(Table61011[[#This Row],[Category No]],Table8[Category No],Table8[Chapter List],FALSE)</f>
        <v>0</v>
      </c>
      <c r="D607" s="42"/>
      <c r="E607" s="43"/>
    </row>
    <row r="608" spans="1:5" x14ac:dyDescent="0.3">
      <c r="A608" s="42">
        <v>607</v>
      </c>
      <c r="B608" s="42"/>
      <c r="C608" s="42" t="b">
        <f>_xlfn.XLOOKUP(Table61011[[#This Row],[Category No]],Table8[Category No],Table8[Chapter List],FALSE)</f>
        <v>0</v>
      </c>
      <c r="D608" s="42"/>
      <c r="E608" s="43"/>
    </row>
    <row r="609" spans="1:5" x14ac:dyDescent="0.3">
      <c r="A609" s="42">
        <v>608</v>
      </c>
      <c r="B609" s="42"/>
      <c r="C609" s="42" t="b">
        <f>_xlfn.XLOOKUP(Table61011[[#This Row],[Category No]],Table8[Category No],Table8[Chapter List],FALSE)</f>
        <v>0</v>
      </c>
      <c r="D609" s="42"/>
      <c r="E609" s="43"/>
    </row>
    <row r="610" spans="1:5" x14ac:dyDescent="0.3">
      <c r="A610" s="42">
        <v>609</v>
      </c>
      <c r="B610" s="42"/>
      <c r="C610" s="42" t="b">
        <f>_xlfn.XLOOKUP(Table61011[[#This Row],[Category No]],Table8[Category No],Table8[Chapter List],FALSE)</f>
        <v>0</v>
      </c>
      <c r="D610" s="42"/>
      <c r="E610" s="43"/>
    </row>
    <row r="611" spans="1:5" x14ac:dyDescent="0.3">
      <c r="A611" s="42">
        <v>610</v>
      </c>
      <c r="B611" s="42"/>
      <c r="C611" s="42" t="b">
        <f>_xlfn.XLOOKUP(Table61011[[#This Row],[Category No]],Table8[Category No],Table8[Chapter List],FALSE)</f>
        <v>0</v>
      </c>
      <c r="D611" s="42"/>
      <c r="E611" s="43"/>
    </row>
    <row r="612" spans="1:5" x14ac:dyDescent="0.3">
      <c r="A612" s="42">
        <v>611</v>
      </c>
      <c r="B612" s="42"/>
      <c r="C612" s="42" t="b">
        <f>_xlfn.XLOOKUP(Table61011[[#This Row],[Category No]],Table8[Category No],Table8[Chapter List],FALSE)</f>
        <v>0</v>
      </c>
      <c r="D612" s="42"/>
      <c r="E612" s="43"/>
    </row>
    <row r="613" spans="1:5" x14ac:dyDescent="0.3">
      <c r="A613" s="42">
        <v>612</v>
      </c>
      <c r="B613" s="42"/>
      <c r="C613" s="42" t="b">
        <f>_xlfn.XLOOKUP(Table61011[[#This Row],[Category No]],Table8[Category No],Table8[Chapter List],FALSE)</f>
        <v>0</v>
      </c>
      <c r="D613" s="42"/>
      <c r="E613" s="43"/>
    </row>
    <row r="614" spans="1:5" x14ac:dyDescent="0.3">
      <c r="A614" s="42">
        <v>613</v>
      </c>
      <c r="B614" s="42"/>
      <c r="C614" s="42" t="b">
        <f>_xlfn.XLOOKUP(Table61011[[#This Row],[Category No]],Table8[Category No],Table8[Chapter List],FALSE)</f>
        <v>0</v>
      </c>
      <c r="D614" s="42"/>
      <c r="E614" s="43"/>
    </row>
    <row r="615" spans="1:5" x14ac:dyDescent="0.3">
      <c r="A615" s="42">
        <v>614</v>
      </c>
      <c r="B615" s="42"/>
      <c r="C615" s="42" t="b">
        <f>_xlfn.XLOOKUP(Table61011[[#This Row],[Category No]],Table8[Category No],Table8[Chapter List],FALSE)</f>
        <v>0</v>
      </c>
      <c r="D615" s="42"/>
      <c r="E615" s="43"/>
    </row>
    <row r="616" spans="1:5" x14ac:dyDescent="0.3">
      <c r="A616" s="42">
        <v>615</v>
      </c>
      <c r="B616" s="42"/>
      <c r="C616" s="42" t="b">
        <f>_xlfn.XLOOKUP(Table61011[[#This Row],[Category No]],Table8[Category No],Table8[Chapter List],FALSE)</f>
        <v>0</v>
      </c>
      <c r="D616" s="42"/>
      <c r="E616" s="43"/>
    </row>
    <row r="617" spans="1:5" x14ac:dyDescent="0.3">
      <c r="A617" s="42">
        <v>616</v>
      </c>
      <c r="B617" s="42"/>
      <c r="C617" s="42" t="b">
        <f>_xlfn.XLOOKUP(Table61011[[#This Row],[Category No]],Table8[Category No],Table8[Chapter List],FALSE)</f>
        <v>0</v>
      </c>
      <c r="D617" s="42"/>
      <c r="E617" s="43"/>
    </row>
    <row r="618" spans="1:5" x14ac:dyDescent="0.3">
      <c r="A618" s="42">
        <v>617</v>
      </c>
      <c r="B618" s="42"/>
      <c r="C618" s="42" t="b">
        <f>_xlfn.XLOOKUP(Table61011[[#This Row],[Category No]],Table8[Category No],Table8[Chapter List],FALSE)</f>
        <v>0</v>
      </c>
      <c r="D618" s="42"/>
      <c r="E618" s="43"/>
    </row>
    <row r="619" spans="1:5" x14ac:dyDescent="0.3">
      <c r="A619" s="42">
        <v>618</v>
      </c>
      <c r="B619" s="42"/>
      <c r="C619" s="42" t="b">
        <f>_xlfn.XLOOKUP(Table61011[[#This Row],[Category No]],Table8[Category No],Table8[Chapter List],FALSE)</f>
        <v>0</v>
      </c>
      <c r="D619" s="42"/>
      <c r="E619" s="43"/>
    </row>
    <row r="620" spans="1:5" x14ac:dyDescent="0.3">
      <c r="A620" s="42">
        <v>619</v>
      </c>
      <c r="B620" s="42"/>
      <c r="C620" s="42" t="b">
        <f>_xlfn.XLOOKUP(Table61011[[#This Row],[Category No]],Table8[Category No],Table8[Chapter List],FALSE)</f>
        <v>0</v>
      </c>
      <c r="D620" s="42"/>
      <c r="E620" s="43"/>
    </row>
    <row r="621" spans="1:5" x14ac:dyDescent="0.3">
      <c r="A621" s="42">
        <v>620</v>
      </c>
      <c r="B621" s="42"/>
      <c r="C621" s="42" t="b">
        <f>_xlfn.XLOOKUP(Table61011[[#This Row],[Category No]],Table8[Category No],Table8[Chapter List],FALSE)</f>
        <v>0</v>
      </c>
      <c r="D621" s="42"/>
      <c r="E621" s="43"/>
    </row>
    <row r="622" spans="1:5" x14ac:dyDescent="0.3">
      <c r="A622" s="42">
        <v>621</v>
      </c>
      <c r="B622" s="42"/>
      <c r="C622" s="42" t="b">
        <f>_xlfn.XLOOKUP(Table61011[[#This Row],[Category No]],Table8[Category No],Table8[Chapter List],FALSE)</f>
        <v>0</v>
      </c>
      <c r="D622" s="42"/>
      <c r="E622" s="43"/>
    </row>
    <row r="623" spans="1:5" x14ac:dyDescent="0.3">
      <c r="A623" s="42">
        <v>622</v>
      </c>
      <c r="B623" s="42"/>
      <c r="C623" s="42" t="b">
        <f>_xlfn.XLOOKUP(Table61011[[#This Row],[Category No]],Table8[Category No],Table8[Chapter List],FALSE)</f>
        <v>0</v>
      </c>
      <c r="D623" s="42"/>
      <c r="E623" s="43"/>
    </row>
    <row r="624" spans="1:5" x14ac:dyDescent="0.3">
      <c r="A624" s="42">
        <v>623</v>
      </c>
      <c r="B624" s="42"/>
      <c r="C624" s="42" t="b">
        <f>_xlfn.XLOOKUP(Table61011[[#This Row],[Category No]],Table8[Category No],Table8[Chapter List],FALSE)</f>
        <v>0</v>
      </c>
      <c r="D624" s="42"/>
      <c r="E624" s="43"/>
    </row>
    <row r="625" spans="1:5" x14ac:dyDescent="0.3">
      <c r="A625" s="42">
        <v>624</v>
      </c>
      <c r="B625" s="42"/>
      <c r="C625" s="42" t="b">
        <f>_xlfn.XLOOKUP(Table61011[[#This Row],[Category No]],Table8[Category No],Table8[Chapter List],FALSE)</f>
        <v>0</v>
      </c>
      <c r="D625" s="42"/>
      <c r="E625" s="43"/>
    </row>
    <row r="626" spans="1:5" x14ac:dyDescent="0.3">
      <c r="A626" s="42">
        <v>625</v>
      </c>
      <c r="B626" s="42"/>
      <c r="C626" s="42" t="b">
        <f>_xlfn.XLOOKUP(Table61011[[#This Row],[Category No]],Table8[Category No],Table8[Chapter List],FALSE)</f>
        <v>0</v>
      </c>
      <c r="D626" s="42"/>
      <c r="E626" s="43"/>
    </row>
    <row r="627" spans="1:5" x14ac:dyDescent="0.3">
      <c r="A627" s="42">
        <v>626</v>
      </c>
      <c r="B627" s="42"/>
      <c r="C627" s="42" t="b">
        <f>_xlfn.XLOOKUP(Table61011[[#This Row],[Category No]],Table8[Category No],Table8[Chapter List],FALSE)</f>
        <v>0</v>
      </c>
      <c r="D627" s="42"/>
      <c r="E627" s="43"/>
    </row>
    <row r="628" spans="1:5" x14ac:dyDescent="0.3">
      <c r="A628" s="42">
        <v>627</v>
      </c>
      <c r="B628" s="42"/>
      <c r="C628" s="42" t="b">
        <f>_xlfn.XLOOKUP(Table61011[[#This Row],[Category No]],Table8[Category No],Table8[Chapter List],FALSE)</f>
        <v>0</v>
      </c>
      <c r="D628" s="42"/>
      <c r="E628" s="43"/>
    </row>
    <row r="629" spans="1:5" x14ac:dyDescent="0.3">
      <c r="A629" s="42">
        <v>628</v>
      </c>
      <c r="B629" s="42"/>
      <c r="C629" s="42" t="b">
        <f>_xlfn.XLOOKUP(Table61011[[#This Row],[Category No]],Table8[Category No],Table8[Chapter List],FALSE)</f>
        <v>0</v>
      </c>
      <c r="D629" s="42"/>
      <c r="E629" s="43"/>
    </row>
    <row r="630" spans="1:5" x14ac:dyDescent="0.3">
      <c r="A630" s="42">
        <v>629</v>
      </c>
      <c r="B630" s="42"/>
      <c r="C630" s="42" t="b">
        <f>_xlfn.XLOOKUP(Table61011[[#This Row],[Category No]],Table8[Category No],Table8[Chapter List],FALSE)</f>
        <v>0</v>
      </c>
      <c r="D630" s="42"/>
      <c r="E630" s="43"/>
    </row>
    <row r="631" spans="1:5" x14ac:dyDescent="0.3">
      <c r="A631" s="42">
        <v>630</v>
      </c>
      <c r="B631" s="42"/>
      <c r="C631" s="42" t="b">
        <f>_xlfn.XLOOKUP(Table61011[[#This Row],[Category No]],Table8[Category No],Table8[Chapter List],FALSE)</f>
        <v>0</v>
      </c>
      <c r="D631" s="42"/>
      <c r="E631" s="43"/>
    </row>
    <row r="632" spans="1:5" x14ac:dyDescent="0.3">
      <c r="A632" s="42">
        <v>631</v>
      </c>
      <c r="B632" s="42"/>
      <c r="C632" s="42" t="b">
        <f>_xlfn.XLOOKUP(Table61011[[#This Row],[Category No]],Table8[Category No],Table8[Chapter List],FALSE)</f>
        <v>0</v>
      </c>
      <c r="D632" s="42"/>
      <c r="E632" s="43"/>
    </row>
    <row r="633" spans="1:5" x14ac:dyDescent="0.3">
      <c r="A633" s="42">
        <v>632</v>
      </c>
      <c r="B633" s="42"/>
      <c r="C633" s="42" t="b">
        <f>_xlfn.XLOOKUP(Table61011[[#This Row],[Category No]],Table8[Category No],Table8[Chapter List],FALSE)</f>
        <v>0</v>
      </c>
      <c r="D633" s="42"/>
      <c r="E633" s="43"/>
    </row>
    <row r="634" spans="1:5" x14ac:dyDescent="0.3">
      <c r="A634" s="42">
        <v>633</v>
      </c>
      <c r="B634" s="42"/>
      <c r="C634" s="42" t="b">
        <f>_xlfn.XLOOKUP(Table61011[[#This Row],[Category No]],Table8[Category No],Table8[Chapter List],FALSE)</f>
        <v>0</v>
      </c>
      <c r="D634" s="42"/>
      <c r="E634" s="43"/>
    </row>
    <row r="635" spans="1:5" x14ac:dyDescent="0.3">
      <c r="A635" s="42">
        <v>634</v>
      </c>
      <c r="B635" s="42"/>
      <c r="C635" s="42" t="b">
        <f>_xlfn.XLOOKUP(Table61011[[#This Row],[Category No]],Table8[Category No],Table8[Chapter List],FALSE)</f>
        <v>0</v>
      </c>
      <c r="D635" s="42"/>
      <c r="E635" s="43"/>
    </row>
    <row r="636" spans="1:5" x14ac:dyDescent="0.3">
      <c r="A636" s="42">
        <v>635</v>
      </c>
      <c r="B636" s="42"/>
      <c r="C636" s="42" t="b">
        <f>_xlfn.XLOOKUP(Table61011[[#This Row],[Category No]],Table8[Category No],Table8[Chapter List],FALSE)</f>
        <v>0</v>
      </c>
      <c r="D636" s="42"/>
      <c r="E636" s="43"/>
    </row>
    <row r="637" spans="1:5" x14ac:dyDescent="0.3">
      <c r="A637" s="42">
        <v>636</v>
      </c>
      <c r="B637" s="42"/>
      <c r="C637" s="42" t="b">
        <f>_xlfn.XLOOKUP(Table61011[[#This Row],[Category No]],Table8[Category No],Table8[Chapter List],FALSE)</f>
        <v>0</v>
      </c>
      <c r="D637" s="42"/>
      <c r="E637" s="43"/>
    </row>
    <row r="638" spans="1:5" x14ac:dyDescent="0.3">
      <c r="A638" s="42">
        <v>637</v>
      </c>
      <c r="B638" s="42"/>
      <c r="C638" s="42" t="b">
        <f>_xlfn.XLOOKUP(Table61011[[#This Row],[Category No]],Table8[Category No],Table8[Chapter List],FALSE)</f>
        <v>0</v>
      </c>
      <c r="D638" s="42"/>
      <c r="E638" s="43"/>
    </row>
    <row r="639" spans="1:5" x14ac:dyDescent="0.3">
      <c r="A639" s="42">
        <v>638</v>
      </c>
      <c r="B639" s="42"/>
      <c r="C639" s="42" t="b">
        <f>_xlfn.XLOOKUP(Table61011[[#This Row],[Category No]],Table8[Category No],Table8[Chapter List],FALSE)</f>
        <v>0</v>
      </c>
      <c r="D639" s="42"/>
      <c r="E639" s="43"/>
    </row>
    <row r="640" spans="1:5" x14ac:dyDescent="0.3">
      <c r="A640" s="42">
        <v>639</v>
      </c>
      <c r="B640" s="42"/>
      <c r="C640" s="42" t="b">
        <f>_xlfn.XLOOKUP(Table61011[[#This Row],[Category No]],Table8[Category No],Table8[Chapter List],FALSE)</f>
        <v>0</v>
      </c>
      <c r="D640" s="42"/>
      <c r="E640" s="43"/>
    </row>
    <row r="641" spans="1:5" x14ac:dyDescent="0.3">
      <c r="A641" s="42">
        <v>640</v>
      </c>
      <c r="B641" s="42"/>
      <c r="C641" s="42" t="b">
        <f>_xlfn.XLOOKUP(Table61011[[#This Row],[Category No]],Table8[Category No],Table8[Chapter List],FALSE)</f>
        <v>0</v>
      </c>
      <c r="D641" s="42"/>
      <c r="E641" s="43"/>
    </row>
    <row r="642" spans="1:5" x14ac:dyDescent="0.3">
      <c r="A642" s="42">
        <v>641</v>
      </c>
      <c r="B642" s="42"/>
      <c r="C642" s="42" t="b">
        <f>_xlfn.XLOOKUP(Table61011[[#This Row],[Category No]],Table8[Category No],Table8[Chapter List],FALSE)</f>
        <v>0</v>
      </c>
      <c r="D642" s="42"/>
      <c r="E642" s="43"/>
    </row>
    <row r="643" spans="1:5" x14ac:dyDescent="0.3">
      <c r="A643" s="42">
        <v>642</v>
      </c>
      <c r="B643" s="42"/>
      <c r="C643" s="42" t="b">
        <f>_xlfn.XLOOKUP(Table61011[[#This Row],[Category No]],Table8[Category No],Table8[Chapter List],FALSE)</f>
        <v>0</v>
      </c>
      <c r="D643" s="42"/>
      <c r="E643" s="43"/>
    </row>
    <row r="644" spans="1:5" x14ac:dyDescent="0.3">
      <c r="A644" s="42">
        <v>643</v>
      </c>
      <c r="B644" s="42"/>
      <c r="C644" s="42" t="b">
        <f>_xlfn.XLOOKUP(Table61011[[#This Row],[Category No]],Table8[Category No],Table8[Chapter List],FALSE)</f>
        <v>0</v>
      </c>
      <c r="D644" s="42"/>
      <c r="E644" s="43"/>
    </row>
    <row r="645" spans="1:5" x14ac:dyDescent="0.3">
      <c r="A645" s="42">
        <v>644</v>
      </c>
      <c r="B645" s="42"/>
      <c r="C645" s="42" t="b">
        <f>_xlfn.XLOOKUP(Table61011[[#This Row],[Category No]],Table8[Category No],Table8[Chapter List],FALSE)</f>
        <v>0</v>
      </c>
      <c r="D645" s="42"/>
      <c r="E645" s="43"/>
    </row>
    <row r="646" spans="1:5" x14ac:dyDescent="0.3">
      <c r="A646" s="42">
        <v>645</v>
      </c>
      <c r="B646" s="42"/>
      <c r="C646" s="42" t="b">
        <f>_xlfn.XLOOKUP(Table61011[[#This Row],[Category No]],Table8[Category No],Table8[Chapter List],FALSE)</f>
        <v>0</v>
      </c>
      <c r="D646" s="42"/>
      <c r="E646" s="43"/>
    </row>
    <row r="647" spans="1:5" x14ac:dyDescent="0.3">
      <c r="A647" s="42">
        <v>646</v>
      </c>
      <c r="B647" s="42"/>
      <c r="C647" s="42" t="b">
        <f>_xlfn.XLOOKUP(Table61011[[#This Row],[Category No]],Table8[Category No],Table8[Chapter List],FALSE)</f>
        <v>0</v>
      </c>
      <c r="D647" s="42"/>
      <c r="E647" s="43"/>
    </row>
    <row r="648" spans="1:5" x14ac:dyDescent="0.3">
      <c r="A648" s="42">
        <v>647</v>
      </c>
      <c r="B648" s="42"/>
      <c r="C648" s="42" t="b">
        <f>_xlfn.XLOOKUP(Table61011[[#This Row],[Category No]],Table8[Category No],Table8[Chapter List],FALSE)</f>
        <v>0</v>
      </c>
      <c r="D648" s="42"/>
      <c r="E648" s="43"/>
    </row>
    <row r="649" spans="1:5" x14ac:dyDescent="0.3">
      <c r="A649" s="42">
        <v>648</v>
      </c>
      <c r="B649" s="42"/>
      <c r="C649" s="42" t="b">
        <f>_xlfn.XLOOKUP(Table61011[[#This Row],[Category No]],Table8[Category No],Table8[Chapter List],FALSE)</f>
        <v>0</v>
      </c>
      <c r="D649" s="42"/>
      <c r="E649" s="43"/>
    </row>
    <row r="650" spans="1:5" x14ac:dyDescent="0.3">
      <c r="A650" s="42">
        <v>649</v>
      </c>
      <c r="B650" s="42"/>
      <c r="C650" s="42" t="b">
        <f>_xlfn.XLOOKUP(Table61011[[#This Row],[Category No]],Table8[Category No],Table8[Chapter List],FALSE)</f>
        <v>0</v>
      </c>
      <c r="D650" s="42"/>
      <c r="E650" s="43"/>
    </row>
    <row r="651" spans="1:5" x14ac:dyDescent="0.3">
      <c r="A651" s="42">
        <v>650</v>
      </c>
      <c r="B651" s="42"/>
      <c r="C651" s="42" t="b">
        <f>_xlfn.XLOOKUP(Table61011[[#This Row],[Category No]],Table8[Category No],Table8[Chapter List],FALSE)</f>
        <v>0</v>
      </c>
      <c r="D651" s="42"/>
      <c r="E651" s="43"/>
    </row>
    <row r="652" spans="1:5" x14ac:dyDescent="0.3">
      <c r="A652" s="42">
        <v>651</v>
      </c>
      <c r="B652" s="42"/>
      <c r="C652" s="42" t="b">
        <f>_xlfn.XLOOKUP(Table61011[[#This Row],[Category No]],Table8[Category No],Table8[Chapter List],FALSE)</f>
        <v>0</v>
      </c>
      <c r="D652" s="42"/>
      <c r="E652" s="43"/>
    </row>
    <row r="653" spans="1:5" x14ac:dyDescent="0.3">
      <c r="A653" s="42">
        <v>652</v>
      </c>
      <c r="B653" s="42"/>
      <c r="C653" s="42" t="b">
        <f>_xlfn.XLOOKUP(Table61011[[#This Row],[Category No]],Table8[Category No],Table8[Chapter List],FALSE)</f>
        <v>0</v>
      </c>
      <c r="D653" s="42"/>
      <c r="E653" s="43"/>
    </row>
    <row r="654" spans="1:5" x14ac:dyDescent="0.3">
      <c r="A654" s="42">
        <v>653</v>
      </c>
      <c r="B654" s="42"/>
      <c r="C654" s="42" t="b">
        <f>_xlfn.XLOOKUP(Table61011[[#This Row],[Category No]],Table8[Category No],Table8[Chapter List],FALSE)</f>
        <v>0</v>
      </c>
      <c r="D654" s="42"/>
      <c r="E654" s="43"/>
    </row>
    <row r="655" spans="1:5" x14ac:dyDescent="0.3">
      <c r="A655" s="42">
        <v>654</v>
      </c>
      <c r="B655" s="42"/>
      <c r="C655" s="42" t="b">
        <f>_xlfn.XLOOKUP(Table61011[[#This Row],[Category No]],Table8[Category No],Table8[Chapter List],FALSE)</f>
        <v>0</v>
      </c>
      <c r="D655" s="42"/>
      <c r="E655" s="43"/>
    </row>
    <row r="656" spans="1:5" x14ac:dyDescent="0.3">
      <c r="A656" s="42">
        <v>655</v>
      </c>
      <c r="B656" s="42"/>
      <c r="C656" s="42" t="b">
        <f>_xlfn.XLOOKUP(Table61011[[#This Row],[Category No]],Table8[Category No],Table8[Chapter List],FALSE)</f>
        <v>0</v>
      </c>
      <c r="D656" s="42"/>
      <c r="E656" s="43"/>
    </row>
    <row r="657" spans="1:5" x14ac:dyDescent="0.3">
      <c r="A657" s="42">
        <v>656</v>
      </c>
      <c r="B657" s="42"/>
      <c r="C657" s="42" t="b">
        <f>_xlfn.XLOOKUP(Table61011[[#This Row],[Category No]],Table8[Category No],Table8[Chapter List],FALSE)</f>
        <v>0</v>
      </c>
      <c r="D657" s="42"/>
      <c r="E657" s="43"/>
    </row>
    <row r="658" spans="1:5" x14ac:dyDescent="0.3">
      <c r="A658" s="42">
        <v>657</v>
      </c>
      <c r="B658" s="42"/>
      <c r="C658" s="42" t="b">
        <f>_xlfn.XLOOKUP(Table61011[[#This Row],[Category No]],Table8[Category No],Table8[Chapter List],FALSE)</f>
        <v>0</v>
      </c>
      <c r="D658" s="42"/>
      <c r="E658" s="43"/>
    </row>
    <row r="659" spans="1:5" x14ac:dyDescent="0.3">
      <c r="A659" s="42">
        <v>658</v>
      </c>
      <c r="B659" s="42"/>
      <c r="C659" s="42" t="b">
        <f>_xlfn.XLOOKUP(Table61011[[#This Row],[Category No]],Table8[Category No],Table8[Chapter List],FALSE)</f>
        <v>0</v>
      </c>
      <c r="D659" s="42"/>
      <c r="E659" s="43"/>
    </row>
    <row r="660" spans="1:5" x14ac:dyDescent="0.3">
      <c r="A660" s="42">
        <v>659</v>
      </c>
      <c r="B660" s="42"/>
      <c r="C660" s="42" t="b">
        <f>_xlfn.XLOOKUP(Table61011[[#This Row],[Category No]],Table8[Category No],Table8[Chapter List],FALSE)</f>
        <v>0</v>
      </c>
      <c r="D660" s="42"/>
      <c r="E660" s="43"/>
    </row>
    <row r="661" spans="1:5" x14ac:dyDescent="0.3">
      <c r="A661" s="42">
        <v>660</v>
      </c>
      <c r="B661" s="42"/>
      <c r="C661" s="42" t="b">
        <f>_xlfn.XLOOKUP(Table61011[[#This Row],[Category No]],Table8[Category No],Table8[Chapter List],FALSE)</f>
        <v>0</v>
      </c>
      <c r="D661" s="42"/>
      <c r="E661" s="43"/>
    </row>
    <row r="662" spans="1:5" x14ac:dyDescent="0.3">
      <c r="A662" s="42">
        <v>661</v>
      </c>
      <c r="B662" s="42"/>
      <c r="C662" s="42" t="b">
        <f>_xlfn.XLOOKUP(Table61011[[#This Row],[Category No]],Table8[Category No],Table8[Chapter List],FALSE)</f>
        <v>0</v>
      </c>
      <c r="D662" s="42"/>
      <c r="E662" s="43"/>
    </row>
    <row r="663" spans="1:5" x14ac:dyDescent="0.3">
      <c r="A663" s="42">
        <v>662</v>
      </c>
      <c r="B663" s="42"/>
      <c r="C663" s="42" t="b">
        <f>_xlfn.XLOOKUP(Table61011[[#This Row],[Category No]],Table8[Category No],Table8[Chapter List],FALSE)</f>
        <v>0</v>
      </c>
      <c r="D663" s="42"/>
      <c r="E663" s="43"/>
    </row>
    <row r="664" spans="1:5" x14ac:dyDescent="0.3">
      <c r="A664" s="42">
        <v>663</v>
      </c>
      <c r="B664" s="42"/>
      <c r="C664" s="42" t="b">
        <f>_xlfn.XLOOKUP(Table61011[[#This Row],[Category No]],Table8[Category No],Table8[Chapter List],FALSE)</f>
        <v>0</v>
      </c>
      <c r="D664" s="42"/>
      <c r="E664" s="43"/>
    </row>
    <row r="665" spans="1:5" x14ac:dyDescent="0.3">
      <c r="A665" s="42">
        <v>664</v>
      </c>
      <c r="B665" s="42"/>
      <c r="C665" s="42" t="b">
        <f>_xlfn.XLOOKUP(Table61011[[#This Row],[Category No]],Table8[Category No],Table8[Chapter List],FALSE)</f>
        <v>0</v>
      </c>
      <c r="D665" s="42"/>
      <c r="E665" s="43"/>
    </row>
    <row r="666" spans="1:5" x14ac:dyDescent="0.3">
      <c r="A666" s="42">
        <v>665</v>
      </c>
      <c r="B666" s="42"/>
      <c r="C666" s="42" t="b">
        <f>_xlfn.XLOOKUP(Table61011[[#This Row],[Category No]],Table8[Category No],Table8[Chapter List],FALSE)</f>
        <v>0</v>
      </c>
      <c r="D666" s="42"/>
      <c r="E666" s="43"/>
    </row>
    <row r="667" spans="1:5" x14ac:dyDescent="0.3">
      <c r="A667" s="42">
        <v>666</v>
      </c>
      <c r="B667" s="42"/>
      <c r="C667" s="42" t="b">
        <f>_xlfn.XLOOKUP(Table61011[[#This Row],[Category No]],Table8[Category No],Table8[Chapter List],FALSE)</f>
        <v>0</v>
      </c>
      <c r="D667" s="42"/>
      <c r="E667" s="43"/>
    </row>
    <row r="668" spans="1:5" x14ac:dyDescent="0.3">
      <c r="A668" s="42">
        <v>667</v>
      </c>
      <c r="B668" s="42"/>
      <c r="C668" s="42" t="b">
        <f>_xlfn.XLOOKUP(Table61011[[#This Row],[Category No]],Table8[Category No],Table8[Chapter List],FALSE)</f>
        <v>0</v>
      </c>
      <c r="D668" s="42"/>
      <c r="E668" s="43"/>
    </row>
    <row r="669" spans="1:5" x14ac:dyDescent="0.3">
      <c r="A669" s="42">
        <v>668</v>
      </c>
      <c r="B669" s="42"/>
      <c r="C669" s="42" t="b">
        <f>_xlfn.XLOOKUP(Table61011[[#This Row],[Category No]],Table8[Category No],Table8[Chapter List],FALSE)</f>
        <v>0</v>
      </c>
      <c r="D669" s="42"/>
      <c r="E669" s="43"/>
    </row>
    <row r="670" spans="1:5" x14ac:dyDescent="0.3">
      <c r="A670" s="42">
        <v>669</v>
      </c>
      <c r="B670" s="42"/>
      <c r="C670" s="42" t="b">
        <f>_xlfn.XLOOKUP(Table61011[[#This Row],[Category No]],Table8[Category No],Table8[Chapter List],FALSE)</f>
        <v>0</v>
      </c>
      <c r="D670" s="42"/>
      <c r="E670" s="43"/>
    </row>
    <row r="671" spans="1:5" x14ac:dyDescent="0.3">
      <c r="A671" s="42">
        <v>670</v>
      </c>
      <c r="B671" s="42"/>
      <c r="C671" s="42" t="b">
        <f>_xlfn.XLOOKUP(Table61011[[#This Row],[Category No]],Table8[Category No],Table8[Chapter List],FALSE)</f>
        <v>0</v>
      </c>
      <c r="D671" s="42"/>
      <c r="E671" s="43"/>
    </row>
    <row r="672" spans="1:5" x14ac:dyDescent="0.3">
      <c r="A672" s="42">
        <v>671</v>
      </c>
      <c r="B672" s="42"/>
      <c r="C672" s="42" t="b">
        <f>_xlfn.XLOOKUP(Table61011[[#This Row],[Category No]],Table8[Category No],Table8[Chapter List],FALSE)</f>
        <v>0</v>
      </c>
      <c r="D672" s="42"/>
      <c r="E672" s="43"/>
    </row>
    <row r="673" spans="1:5" x14ac:dyDescent="0.3">
      <c r="A673" s="42">
        <v>672</v>
      </c>
      <c r="B673" s="42"/>
      <c r="C673" s="42" t="b">
        <f>_xlfn.XLOOKUP(Table61011[[#This Row],[Category No]],Table8[Category No],Table8[Chapter List],FALSE)</f>
        <v>0</v>
      </c>
      <c r="D673" s="42"/>
      <c r="E673" s="43"/>
    </row>
    <row r="674" spans="1:5" x14ac:dyDescent="0.3">
      <c r="A674" s="42">
        <v>673</v>
      </c>
      <c r="B674" s="42"/>
      <c r="C674" s="42" t="b">
        <f>_xlfn.XLOOKUP(Table61011[[#This Row],[Category No]],Table8[Category No],Table8[Chapter List],FALSE)</f>
        <v>0</v>
      </c>
      <c r="D674" s="42"/>
      <c r="E674" s="43"/>
    </row>
    <row r="675" spans="1:5" x14ac:dyDescent="0.3">
      <c r="A675" s="42">
        <v>674</v>
      </c>
      <c r="B675" s="42"/>
      <c r="C675" s="42" t="b">
        <f>_xlfn.XLOOKUP(Table61011[[#This Row],[Category No]],Table8[Category No],Table8[Chapter List],FALSE)</f>
        <v>0</v>
      </c>
      <c r="D675" s="42"/>
      <c r="E675" s="43"/>
    </row>
    <row r="676" spans="1:5" x14ac:dyDescent="0.3">
      <c r="A676" s="42">
        <v>675</v>
      </c>
      <c r="B676" s="42"/>
      <c r="C676" s="42" t="b">
        <f>_xlfn.XLOOKUP(Table61011[[#This Row],[Category No]],Table8[Category No],Table8[Chapter List],FALSE)</f>
        <v>0</v>
      </c>
      <c r="D676" s="42"/>
      <c r="E676" s="43"/>
    </row>
    <row r="677" spans="1:5" x14ac:dyDescent="0.3">
      <c r="A677" s="42">
        <v>676</v>
      </c>
      <c r="B677" s="42"/>
      <c r="C677" s="42" t="b">
        <f>_xlfn.XLOOKUP(Table61011[[#This Row],[Category No]],Table8[Category No],Table8[Chapter List],FALSE)</f>
        <v>0</v>
      </c>
      <c r="D677" s="42"/>
      <c r="E677" s="43"/>
    </row>
    <row r="678" spans="1:5" x14ac:dyDescent="0.3">
      <c r="A678" s="42">
        <v>677</v>
      </c>
      <c r="B678" s="42"/>
      <c r="C678" s="42" t="b">
        <f>_xlfn.XLOOKUP(Table61011[[#This Row],[Category No]],Table8[Category No],Table8[Chapter List],FALSE)</f>
        <v>0</v>
      </c>
      <c r="D678" s="42"/>
      <c r="E678" s="43"/>
    </row>
    <row r="679" spans="1:5" x14ac:dyDescent="0.3">
      <c r="A679" s="42">
        <v>678</v>
      </c>
      <c r="B679" s="42"/>
      <c r="C679" s="42" t="b">
        <f>_xlfn.XLOOKUP(Table61011[[#This Row],[Category No]],Table8[Category No],Table8[Chapter List],FALSE)</f>
        <v>0</v>
      </c>
      <c r="D679" s="42"/>
      <c r="E679" s="43"/>
    </row>
    <row r="680" spans="1:5" x14ac:dyDescent="0.3">
      <c r="A680" s="42">
        <v>679</v>
      </c>
      <c r="B680" s="42"/>
      <c r="C680" s="42" t="b">
        <f>_xlfn.XLOOKUP(Table61011[[#This Row],[Category No]],Table8[Category No],Table8[Chapter List],FALSE)</f>
        <v>0</v>
      </c>
      <c r="D680" s="42"/>
      <c r="E680" s="43"/>
    </row>
    <row r="681" spans="1:5" x14ac:dyDescent="0.3">
      <c r="A681" s="42">
        <v>680</v>
      </c>
      <c r="B681" s="42"/>
      <c r="C681" s="42" t="b">
        <f>_xlfn.XLOOKUP(Table61011[[#This Row],[Category No]],Table8[Category No],Table8[Chapter List],FALSE)</f>
        <v>0</v>
      </c>
      <c r="D681" s="42"/>
      <c r="E681" s="43"/>
    </row>
    <row r="682" spans="1:5" x14ac:dyDescent="0.3">
      <c r="A682" s="42">
        <v>681</v>
      </c>
      <c r="B682" s="42"/>
      <c r="C682" s="42" t="b">
        <f>_xlfn.XLOOKUP(Table61011[[#This Row],[Category No]],Table8[Category No],Table8[Chapter List],FALSE)</f>
        <v>0</v>
      </c>
      <c r="D682" s="42"/>
      <c r="E682" s="43"/>
    </row>
    <row r="683" spans="1:5" x14ac:dyDescent="0.3">
      <c r="A683" s="42">
        <v>682</v>
      </c>
      <c r="B683" s="42"/>
      <c r="C683" s="42" t="b">
        <f>_xlfn.XLOOKUP(Table61011[[#This Row],[Category No]],Table8[Category No],Table8[Chapter List],FALSE)</f>
        <v>0</v>
      </c>
      <c r="D683" s="42"/>
      <c r="E683" s="43"/>
    </row>
    <row r="684" spans="1:5" x14ac:dyDescent="0.3">
      <c r="A684" s="42">
        <v>683</v>
      </c>
      <c r="B684" s="42"/>
      <c r="C684" s="42" t="b">
        <f>_xlfn.XLOOKUP(Table61011[[#This Row],[Category No]],Table8[Category No],Table8[Chapter List],FALSE)</f>
        <v>0</v>
      </c>
      <c r="D684" s="42"/>
      <c r="E684" s="43"/>
    </row>
    <row r="685" spans="1:5" x14ac:dyDescent="0.3">
      <c r="A685" s="42">
        <v>684</v>
      </c>
      <c r="B685" s="42"/>
      <c r="C685" s="42" t="b">
        <f>_xlfn.XLOOKUP(Table61011[[#This Row],[Category No]],Table8[Category No],Table8[Chapter List],FALSE)</f>
        <v>0</v>
      </c>
      <c r="D685" s="42"/>
      <c r="E685" s="43"/>
    </row>
    <row r="686" spans="1:5" x14ac:dyDescent="0.3">
      <c r="A686" s="42">
        <v>685</v>
      </c>
      <c r="B686" s="42"/>
      <c r="C686" s="42" t="b">
        <f>_xlfn.XLOOKUP(Table61011[[#This Row],[Category No]],Table8[Category No],Table8[Chapter List],FALSE)</f>
        <v>0</v>
      </c>
      <c r="D686" s="42"/>
      <c r="E686" s="43"/>
    </row>
    <row r="687" spans="1:5" x14ac:dyDescent="0.3">
      <c r="A687" s="42">
        <v>686</v>
      </c>
      <c r="B687" s="42"/>
      <c r="C687" s="42" t="b">
        <f>_xlfn.XLOOKUP(Table61011[[#This Row],[Category No]],Table8[Category No],Table8[Chapter List],FALSE)</f>
        <v>0</v>
      </c>
      <c r="D687" s="42"/>
      <c r="E687" s="43"/>
    </row>
    <row r="688" spans="1:5" x14ac:dyDescent="0.3">
      <c r="A688" s="42">
        <v>687</v>
      </c>
      <c r="B688" s="42"/>
      <c r="C688" s="42" t="b">
        <f>_xlfn.XLOOKUP(Table61011[[#This Row],[Category No]],Table8[Category No],Table8[Chapter List],FALSE)</f>
        <v>0</v>
      </c>
      <c r="D688" s="42"/>
      <c r="E688" s="43"/>
    </row>
    <row r="689" spans="1:5" x14ac:dyDescent="0.3">
      <c r="A689" s="42">
        <v>688</v>
      </c>
      <c r="B689" s="42"/>
      <c r="C689" s="42" t="b">
        <f>_xlfn.XLOOKUP(Table61011[[#This Row],[Category No]],Table8[Category No],Table8[Chapter List],FALSE)</f>
        <v>0</v>
      </c>
      <c r="D689" s="42"/>
      <c r="E689" s="43"/>
    </row>
    <row r="690" spans="1:5" x14ac:dyDescent="0.3">
      <c r="A690" s="42">
        <v>689</v>
      </c>
      <c r="B690" s="42"/>
      <c r="C690" s="42" t="b">
        <f>_xlfn.XLOOKUP(Table61011[[#This Row],[Category No]],Table8[Category No],Table8[Chapter List],FALSE)</f>
        <v>0</v>
      </c>
      <c r="D690" s="42"/>
      <c r="E690" s="43"/>
    </row>
    <row r="691" spans="1:5" x14ac:dyDescent="0.3">
      <c r="A691" s="42">
        <v>690</v>
      </c>
      <c r="B691" s="42"/>
      <c r="C691" s="42" t="b">
        <f>_xlfn.XLOOKUP(Table61011[[#This Row],[Category No]],Table8[Category No],Table8[Chapter List],FALSE)</f>
        <v>0</v>
      </c>
      <c r="D691" s="42"/>
      <c r="E691" s="43"/>
    </row>
    <row r="692" spans="1:5" x14ac:dyDescent="0.3">
      <c r="A692" s="42">
        <v>691</v>
      </c>
      <c r="B692" s="42"/>
      <c r="C692" s="42" t="b">
        <f>_xlfn.XLOOKUP(Table61011[[#This Row],[Category No]],Table8[Category No],Table8[Chapter List],FALSE)</f>
        <v>0</v>
      </c>
      <c r="D692" s="42"/>
      <c r="E692" s="43"/>
    </row>
    <row r="693" spans="1:5" x14ac:dyDescent="0.3">
      <c r="A693" s="42">
        <v>692</v>
      </c>
      <c r="B693" s="42"/>
      <c r="C693" s="42" t="b">
        <f>_xlfn.XLOOKUP(Table61011[[#This Row],[Category No]],Table8[Category No],Table8[Chapter List],FALSE)</f>
        <v>0</v>
      </c>
      <c r="D693" s="42"/>
      <c r="E693" s="43"/>
    </row>
    <row r="694" spans="1:5" x14ac:dyDescent="0.3">
      <c r="A694" s="42">
        <v>693</v>
      </c>
      <c r="B694" s="42"/>
      <c r="C694" s="42" t="b">
        <f>_xlfn.XLOOKUP(Table61011[[#This Row],[Category No]],Table8[Category No],Table8[Chapter List],FALSE)</f>
        <v>0</v>
      </c>
      <c r="D694" s="42"/>
      <c r="E694" s="43"/>
    </row>
    <row r="695" spans="1:5" x14ac:dyDescent="0.3">
      <c r="A695" s="42">
        <v>694</v>
      </c>
      <c r="B695" s="42"/>
      <c r="C695" s="42" t="b">
        <f>_xlfn.XLOOKUP(Table61011[[#This Row],[Category No]],Table8[Category No],Table8[Chapter List],FALSE)</f>
        <v>0</v>
      </c>
      <c r="D695" s="42"/>
      <c r="E695" s="43"/>
    </row>
    <row r="696" spans="1:5" x14ac:dyDescent="0.3">
      <c r="A696" s="42">
        <v>695</v>
      </c>
      <c r="B696" s="42"/>
      <c r="C696" s="42" t="b">
        <f>_xlfn.XLOOKUP(Table61011[[#This Row],[Category No]],Table8[Category No],Table8[Chapter List],FALSE)</f>
        <v>0</v>
      </c>
      <c r="D696" s="42"/>
      <c r="E696" s="43"/>
    </row>
    <row r="697" spans="1:5" x14ac:dyDescent="0.3">
      <c r="A697" s="42">
        <v>696</v>
      </c>
      <c r="B697" s="42"/>
      <c r="C697" s="42" t="b">
        <f>_xlfn.XLOOKUP(Table61011[[#This Row],[Category No]],Table8[Category No],Table8[Chapter List],FALSE)</f>
        <v>0</v>
      </c>
      <c r="D697" s="42"/>
      <c r="E697" s="43"/>
    </row>
    <row r="698" spans="1:5" x14ac:dyDescent="0.3">
      <c r="A698" s="42">
        <v>697</v>
      </c>
      <c r="B698" s="42"/>
      <c r="C698" s="42" t="b">
        <f>_xlfn.XLOOKUP(Table61011[[#This Row],[Category No]],Table8[Category No],Table8[Chapter List],FALSE)</f>
        <v>0</v>
      </c>
      <c r="D698" s="42"/>
      <c r="E698" s="43"/>
    </row>
    <row r="699" spans="1:5" x14ac:dyDescent="0.3">
      <c r="A699" s="42">
        <v>698</v>
      </c>
      <c r="B699" s="42"/>
      <c r="C699" s="42" t="b">
        <f>_xlfn.XLOOKUP(Table61011[[#This Row],[Category No]],Table8[Category No],Table8[Chapter List],FALSE)</f>
        <v>0</v>
      </c>
      <c r="D699" s="42"/>
      <c r="E699" s="43"/>
    </row>
    <row r="700" spans="1:5" x14ac:dyDescent="0.3">
      <c r="A700" s="42">
        <v>699</v>
      </c>
      <c r="B700" s="42"/>
      <c r="C700" s="42" t="b">
        <f>_xlfn.XLOOKUP(Table61011[[#This Row],[Category No]],Table8[Category No],Table8[Chapter List],FALSE)</f>
        <v>0</v>
      </c>
      <c r="D700" s="42"/>
      <c r="E700" s="43"/>
    </row>
    <row r="701" spans="1:5" x14ac:dyDescent="0.3">
      <c r="A701" s="42">
        <v>700</v>
      </c>
      <c r="B701" s="42"/>
      <c r="C701" s="42" t="b">
        <f>_xlfn.XLOOKUP(Table61011[[#This Row],[Category No]],Table8[Category No],Table8[Chapter List],FALSE)</f>
        <v>0</v>
      </c>
      <c r="D701" s="42"/>
      <c r="E701" s="43"/>
    </row>
    <row r="702" spans="1:5" x14ac:dyDescent="0.3">
      <c r="A702" s="42">
        <v>701</v>
      </c>
      <c r="B702" s="42"/>
      <c r="C702" s="42" t="b">
        <f>_xlfn.XLOOKUP(Table61011[[#This Row],[Category No]],Table8[Category No],Table8[Chapter List],FALSE)</f>
        <v>0</v>
      </c>
      <c r="D702" s="42"/>
      <c r="E702" s="43"/>
    </row>
    <row r="703" spans="1:5" x14ac:dyDescent="0.3">
      <c r="A703" s="42">
        <v>702</v>
      </c>
      <c r="B703" s="42"/>
      <c r="C703" s="42" t="b">
        <f>_xlfn.XLOOKUP(Table61011[[#This Row],[Category No]],Table8[Category No],Table8[Chapter List],FALSE)</f>
        <v>0</v>
      </c>
      <c r="D703" s="42"/>
      <c r="E703" s="43"/>
    </row>
    <row r="704" spans="1:5" x14ac:dyDescent="0.3">
      <c r="A704" s="42">
        <v>703</v>
      </c>
      <c r="B704" s="42"/>
      <c r="C704" s="42" t="b">
        <f>_xlfn.XLOOKUP(Table61011[[#This Row],[Category No]],Table8[Category No],Table8[Chapter List],FALSE)</f>
        <v>0</v>
      </c>
      <c r="D704" s="42"/>
      <c r="E704" s="43"/>
    </row>
    <row r="705" spans="1:5" x14ac:dyDescent="0.3">
      <c r="A705" s="42">
        <v>704</v>
      </c>
      <c r="B705" s="42"/>
      <c r="C705" s="42" t="b">
        <f>_xlfn.XLOOKUP(Table61011[[#This Row],[Category No]],Table8[Category No],Table8[Chapter List],FALSE)</f>
        <v>0</v>
      </c>
      <c r="D705" s="42"/>
      <c r="E705" s="43"/>
    </row>
    <row r="706" spans="1:5" x14ac:dyDescent="0.3">
      <c r="A706" s="42">
        <v>705</v>
      </c>
      <c r="B706" s="42"/>
      <c r="C706" s="42" t="b">
        <f>_xlfn.XLOOKUP(Table61011[[#This Row],[Category No]],Table8[Category No],Table8[Chapter List],FALSE)</f>
        <v>0</v>
      </c>
      <c r="D706" s="42"/>
      <c r="E706" s="43"/>
    </row>
    <row r="707" spans="1:5" x14ac:dyDescent="0.3">
      <c r="A707" s="42">
        <v>706</v>
      </c>
      <c r="B707" s="42"/>
      <c r="C707" s="42" t="b">
        <f>_xlfn.XLOOKUP(Table61011[[#This Row],[Category No]],Table8[Category No],Table8[Chapter List],FALSE)</f>
        <v>0</v>
      </c>
      <c r="D707" s="42"/>
      <c r="E707" s="43"/>
    </row>
    <row r="708" spans="1:5" x14ac:dyDescent="0.3">
      <c r="A708" s="42">
        <v>707</v>
      </c>
      <c r="B708" s="42"/>
      <c r="C708" s="42" t="b">
        <f>_xlfn.XLOOKUP(Table61011[[#This Row],[Category No]],Table8[Category No],Table8[Chapter List],FALSE)</f>
        <v>0</v>
      </c>
      <c r="D708" s="42"/>
      <c r="E708" s="43"/>
    </row>
    <row r="709" spans="1:5" x14ac:dyDescent="0.3">
      <c r="A709" s="42">
        <v>708</v>
      </c>
      <c r="B709" s="42"/>
      <c r="C709" s="42" t="b">
        <f>_xlfn.XLOOKUP(Table61011[[#This Row],[Category No]],Table8[Category No],Table8[Chapter List],FALSE)</f>
        <v>0</v>
      </c>
      <c r="D709" s="42"/>
      <c r="E709" s="43"/>
    </row>
    <row r="710" spans="1:5" x14ac:dyDescent="0.3">
      <c r="A710" s="42">
        <v>709</v>
      </c>
      <c r="B710" s="42"/>
      <c r="C710" s="42" t="b">
        <f>_xlfn.XLOOKUP(Table61011[[#This Row],[Category No]],Table8[Category No],Table8[Chapter List],FALSE)</f>
        <v>0</v>
      </c>
      <c r="D710" s="42"/>
      <c r="E710" s="43"/>
    </row>
    <row r="711" spans="1:5" x14ac:dyDescent="0.3">
      <c r="A711" s="42">
        <v>710</v>
      </c>
      <c r="B711" s="42"/>
      <c r="C711" s="42" t="b">
        <f>_xlfn.XLOOKUP(Table61011[[#This Row],[Category No]],Table8[Category No],Table8[Chapter List],FALSE)</f>
        <v>0</v>
      </c>
      <c r="D711" s="42"/>
      <c r="E711" s="43"/>
    </row>
    <row r="712" spans="1:5" x14ac:dyDescent="0.3">
      <c r="A712" s="42">
        <v>711</v>
      </c>
      <c r="B712" s="42"/>
      <c r="C712" s="42" t="b">
        <f>_xlfn.XLOOKUP(Table61011[[#This Row],[Category No]],Table8[Category No],Table8[Chapter List],FALSE)</f>
        <v>0</v>
      </c>
      <c r="D712" s="42"/>
      <c r="E712" s="43"/>
    </row>
    <row r="713" spans="1:5" x14ac:dyDescent="0.3">
      <c r="A713" s="42">
        <v>712</v>
      </c>
      <c r="B713" s="42"/>
      <c r="C713" s="42" t="b">
        <f>_xlfn.XLOOKUP(Table61011[[#This Row],[Category No]],Table8[Category No],Table8[Chapter List],FALSE)</f>
        <v>0</v>
      </c>
      <c r="D713" s="42"/>
      <c r="E713" s="43"/>
    </row>
    <row r="714" spans="1:5" x14ac:dyDescent="0.3">
      <c r="A714" s="42">
        <v>713</v>
      </c>
      <c r="B714" s="42"/>
      <c r="C714" s="42" t="b">
        <f>_xlfn.XLOOKUP(Table61011[[#This Row],[Category No]],Table8[Category No],Table8[Chapter List],FALSE)</f>
        <v>0</v>
      </c>
      <c r="D714" s="42"/>
      <c r="E714" s="43"/>
    </row>
    <row r="715" spans="1:5" x14ac:dyDescent="0.3">
      <c r="A715" s="42">
        <v>714</v>
      </c>
      <c r="B715" s="42"/>
      <c r="C715" s="42" t="b">
        <f>_xlfn.XLOOKUP(Table61011[[#This Row],[Category No]],Table8[Category No],Table8[Chapter List],FALSE)</f>
        <v>0</v>
      </c>
      <c r="D715" s="42"/>
      <c r="E715" s="43"/>
    </row>
    <row r="716" spans="1:5" x14ac:dyDescent="0.3">
      <c r="A716" s="42">
        <v>715</v>
      </c>
      <c r="B716" s="42"/>
      <c r="C716" s="42" t="b">
        <f>_xlfn.XLOOKUP(Table61011[[#This Row],[Category No]],Table8[Category No],Table8[Chapter List],FALSE)</f>
        <v>0</v>
      </c>
      <c r="D716" s="42"/>
      <c r="E716" s="43"/>
    </row>
    <row r="717" spans="1:5" x14ac:dyDescent="0.3">
      <c r="A717" s="42">
        <v>716</v>
      </c>
      <c r="B717" s="42"/>
      <c r="C717" s="42" t="b">
        <f>_xlfn.XLOOKUP(Table61011[[#This Row],[Category No]],Table8[Category No],Table8[Chapter List],FALSE)</f>
        <v>0</v>
      </c>
      <c r="D717" s="42"/>
      <c r="E717" s="43"/>
    </row>
    <row r="718" spans="1:5" x14ac:dyDescent="0.3">
      <c r="A718" s="42">
        <v>717</v>
      </c>
      <c r="B718" s="42"/>
      <c r="C718" s="42" t="b">
        <f>_xlfn.XLOOKUP(Table61011[[#This Row],[Category No]],Table8[Category No],Table8[Chapter List],FALSE)</f>
        <v>0</v>
      </c>
      <c r="D718" s="42"/>
      <c r="E718" s="43"/>
    </row>
    <row r="719" spans="1:5" x14ac:dyDescent="0.3">
      <c r="A719" s="42">
        <v>718</v>
      </c>
      <c r="B719" s="42"/>
      <c r="C719" s="42" t="b">
        <f>_xlfn.XLOOKUP(Table61011[[#This Row],[Category No]],Table8[Category No],Table8[Chapter List],FALSE)</f>
        <v>0</v>
      </c>
      <c r="D719" s="42"/>
      <c r="E719" s="43"/>
    </row>
    <row r="720" spans="1:5" x14ac:dyDescent="0.3">
      <c r="A720" s="42">
        <v>719</v>
      </c>
      <c r="B720" s="42"/>
      <c r="C720" s="42" t="b">
        <f>_xlfn.XLOOKUP(Table61011[[#This Row],[Category No]],Table8[Category No],Table8[Chapter List],FALSE)</f>
        <v>0</v>
      </c>
      <c r="D720" s="42"/>
      <c r="E720" s="43"/>
    </row>
    <row r="721" spans="1:5" x14ac:dyDescent="0.3">
      <c r="A721" s="42">
        <v>720</v>
      </c>
      <c r="B721" s="42"/>
      <c r="C721" s="42" t="b">
        <f>_xlfn.XLOOKUP(Table61011[[#This Row],[Category No]],Table8[Category No],Table8[Chapter List],FALSE)</f>
        <v>0</v>
      </c>
      <c r="D721" s="42"/>
      <c r="E721" s="43"/>
    </row>
    <row r="722" spans="1:5" x14ac:dyDescent="0.3">
      <c r="A722" s="42">
        <v>721</v>
      </c>
      <c r="B722" s="42"/>
      <c r="C722" s="42" t="b">
        <f>_xlfn.XLOOKUP(Table61011[[#This Row],[Category No]],Table8[Category No],Table8[Chapter List],FALSE)</f>
        <v>0</v>
      </c>
      <c r="D722" s="42"/>
      <c r="E722" s="43"/>
    </row>
    <row r="723" spans="1:5" x14ac:dyDescent="0.3">
      <c r="A723" s="42">
        <v>722</v>
      </c>
      <c r="B723" s="42"/>
      <c r="C723" s="42" t="b">
        <f>_xlfn.XLOOKUP(Table61011[[#This Row],[Category No]],Table8[Category No],Table8[Chapter List],FALSE)</f>
        <v>0</v>
      </c>
      <c r="D723" s="42"/>
      <c r="E723" s="43"/>
    </row>
    <row r="724" spans="1:5" x14ac:dyDescent="0.3">
      <c r="A724" s="42">
        <v>723</v>
      </c>
      <c r="B724" s="42"/>
      <c r="C724" s="42" t="b">
        <f>_xlfn.XLOOKUP(Table61011[[#This Row],[Category No]],Table8[Category No],Table8[Chapter List],FALSE)</f>
        <v>0</v>
      </c>
      <c r="D724" s="42"/>
      <c r="E724" s="43"/>
    </row>
    <row r="725" spans="1:5" x14ac:dyDescent="0.3">
      <c r="A725" s="42">
        <v>724</v>
      </c>
      <c r="B725" s="42"/>
      <c r="C725" s="42" t="b">
        <f>_xlfn.XLOOKUP(Table61011[[#This Row],[Category No]],Table8[Category No],Table8[Chapter List],FALSE)</f>
        <v>0</v>
      </c>
      <c r="D725" s="42"/>
      <c r="E725" s="43"/>
    </row>
    <row r="726" spans="1:5" x14ac:dyDescent="0.3">
      <c r="A726" s="42">
        <v>725</v>
      </c>
      <c r="B726" s="42"/>
      <c r="C726" s="42" t="b">
        <f>_xlfn.XLOOKUP(Table61011[[#This Row],[Category No]],Table8[Category No],Table8[Chapter List],FALSE)</f>
        <v>0</v>
      </c>
      <c r="D726" s="42"/>
      <c r="E726" s="43"/>
    </row>
    <row r="727" spans="1:5" x14ac:dyDescent="0.3">
      <c r="A727" s="42">
        <v>726</v>
      </c>
      <c r="B727" s="42"/>
      <c r="C727" s="42" t="b">
        <f>_xlfn.XLOOKUP(Table61011[[#This Row],[Category No]],Table8[Category No],Table8[Chapter List],FALSE)</f>
        <v>0</v>
      </c>
      <c r="D727" s="42"/>
      <c r="E727" s="43"/>
    </row>
    <row r="728" spans="1:5" x14ac:dyDescent="0.3">
      <c r="A728" s="42">
        <v>727</v>
      </c>
      <c r="B728" s="42"/>
      <c r="C728" s="42" t="b">
        <f>_xlfn.XLOOKUP(Table61011[[#This Row],[Category No]],Table8[Category No],Table8[Chapter List],FALSE)</f>
        <v>0</v>
      </c>
      <c r="D728" s="42"/>
      <c r="E728" s="43"/>
    </row>
    <row r="729" spans="1:5" x14ac:dyDescent="0.3">
      <c r="A729" s="42">
        <v>728</v>
      </c>
      <c r="B729" s="42"/>
      <c r="C729" s="42" t="b">
        <f>_xlfn.XLOOKUP(Table61011[[#This Row],[Category No]],Table8[Category No],Table8[Chapter List],FALSE)</f>
        <v>0</v>
      </c>
      <c r="D729" s="42"/>
      <c r="E729" s="43"/>
    </row>
    <row r="730" spans="1:5" x14ac:dyDescent="0.3">
      <c r="A730" s="42">
        <v>729</v>
      </c>
      <c r="B730" s="42"/>
      <c r="C730" s="42" t="b">
        <f>_xlfn.XLOOKUP(Table61011[[#This Row],[Category No]],Table8[Category No],Table8[Chapter List],FALSE)</f>
        <v>0</v>
      </c>
      <c r="D730" s="42"/>
      <c r="E730" s="43"/>
    </row>
    <row r="731" spans="1:5" x14ac:dyDescent="0.3">
      <c r="A731" s="42">
        <v>730</v>
      </c>
      <c r="B731" s="42"/>
      <c r="C731" s="42" t="b">
        <f>_xlfn.XLOOKUP(Table61011[[#This Row],[Category No]],Table8[Category No],Table8[Chapter List],FALSE)</f>
        <v>0</v>
      </c>
      <c r="D731" s="42"/>
      <c r="E731" s="43"/>
    </row>
    <row r="732" spans="1:5" x14ac:dyDescent="0.3">
      <c r="A732" s="42">
        <v>731</v>
      </c>
      <c r="B732" s="42"/>
      <c r="C732" s="42" t="b">
        <f>_xlfn.XLOOKUP(Table61011[[#This Row],[Category No]],Table8[Category No],Table8[Chapter List],FALSE)</f>
        <v>0</v>
      </c>
      <c r="D732" s="42"/>
      <c r="E732" s="43"/>
    </row>
    <row r="733" spans="1:5" x14ac:dyDescent="0.3">
      <c r="A733" s="42">
        <v>732</v>
      </c>
      <c r="B733" s="42"/>
      <c r="C733" s="42" t="b">
        <f>_xlfn.XLOOKUP(Table61011[[#This Row],[Category No]],Table8[Category No],Table8[Chapter List],FALSE)</f>
        <v>0</v>
      </c>
      <c r="D733" s="42"/>
      <c r="E733" s="43"/>
    </row>
    <row r="734" spans="1:5" x14ac:dyDescent="0.3">
      <c r="A734" s="42">
        <v>733</v>
      </c>
      <c r="B734" s="42"/>
      <c r="C734" s="42" t="b">
        <f>_xlfn.XLOOKUP(Table61011[[#This Row],[Category No]],Table8[Category No],Table8[Chapter List],FALSE)</f>
        <v>0</v>
      </c>
      <c r="D734" s="42"/>
      <c r="E734" s="43"/>
    </row>
    <row r="735" spans="1:5" x14ac:dyDescent="0.3">
      <c r="A735" s="42">
        <v>734</v>
      </c>
      <c r="B735" s="42"/>
      <c r="C735" s="42" t="b">
        <f>_xlfn.XLOOKUP(Table61011[[#This Row],[Category No]],Table8[Category No],Table8[Chapter List],FALSE)</f>
        <v>0</v>
      </c>
      <c r="D735" s="42"/>
      <c r="E735" s="43"/>
    </row>
    <row r="736" spans="1:5" x14ac:dyDescent="0.3">
      <c r="A736" s="42">
        <v>735</v>
      </c>
      <c r="B736" s="42"/>
      <c r="C736" s="42" t="b">
        <f>_xlfn.XLOOKUP(Table61011[[#This Row],[Category No]],Table8[Category No],Table8[Chapter List],FALSE)</f>
        <v>0</v>
      </c>
      <c r="D736" s="42"/>
      <c r="E736" s="43"/>
    </row>
    <row r="737" spans="1:5" x14ac:dyDescent="0.3">
      <c r="A737" s="42">
        <v>736</v>
      </c>
      <c r="B737" s="42"/>
      <c r="C737" s="42" t="b">
        <f>_xlfn.XLOOKUP(Table61011[[#This Row],[Category No]],Table8[Category No],Table8[Chapter List],FALSE)</f>
        <v>0</v>
      </c>
      <c r="D737" s="42"/>
      <c r="E737" s="43"/>
    </row>
    <row r="738" spans="1:5" x14ac:dyDescent="0.3">
      <c r="A738" s="42">
        <v>737</v>
      </c>
      <c r="B738" s="42"/>
      <c r="C738" s="42" t="b">
        <f>_xlfn.XLOOKUP(Table61011[[#This Row],[Category No]],Table8[Category No],Table8[Chapter List],FALSE)</f>
        <v>0</v>
      </c>
      <c r="D738" s="42"/>
      <c r="E738" s="43"/>
    </row>
    <row r="739" spans="1:5" x14ac:dyDescent="0.3">
      <c r="A739" s="42">
        <v>738</v>
      </c>
      <c r="B739" s="42"/>
      <c r="C739" s="42" t="b">
        <f>_xlfn.XLOOKUP(Table61011[[#This Row],[Category No]],Table8[Category No],Table8[Chapter List],FALSE)</f>
        <v>0</v>
      </c>
      <c r="D739" s="42"/>
      <c r="E739" s="43"/>
    </row>
    <row r="740" spans="1:5" x14ac:dyDescent="0.3">
      <c r="A740" s="42">
        <v>739</v>
      </c>
      <c r="B740" s="42"/>
      <c r="C740" s="42" t="b">
        <f>_xlfn.XLOOKUP(Table61011[[#This Row],[Category No]],Table8[Category No],Table8[Chapter List],FALSE)</f>
        <v>0</v>
      </c>
      <c r="D740" s="42"/>
      <c r="E740" s="43"/>
    </row>
    <row r="741" spans="1:5" x14ac:dyDescent="0.3">
      <c r="A741" s="42">
        <v>740</v>
      </c>
      <c r="B741" s="42"/>
      <c r="C741" s="42" t="b">
        <f>_xlfn.XLOOKUP(Table61011[[#This Row],[Category No]],Table8[Category No],Table8[Chapter List],FALSE)</f>
        <v>0</v>
      </c>
      <c r="D741" s="42"/>
      <c r="E741" s="43"/>
    </row>
    <row r="742" spans="1:5" x14ac:dyDescent="0.3">
      <c r="A742" s="42">
        <v>741</v>
      </c>
      <c r="B742" s="42"/>
      <c r="C742" s="42" t="b">
        <f>_xlfn.XLOOKUP(Table61011[[#This Row],[Category No]],Table8[Category No],Table8[Chapter List],FALSE)</f>
        <v>0</v>
      </c>
      <c r="D742" s="42"/>
      <c r="E742" s="43"/>
    </row>
    <row r="743" spans="1:5" x14ac:dyDescent="0.3">
      <c r="A743" s="42">
        <v>742</v>
      </c>
      <c r="B743" s="42"/>
      <c r="C743" s="42" t="b">
        <f>_xlfn.XLOOKUP(Table61011[[#This Row],[Category No]],Table8[Category No],Table8[Chapter List],FALSE)</f>
        <v>0</v>
      </c>
      <c r="D743" s="42"/>
      <c r="E743" s="43"/>
    </row>
    <row r="744" spans="1:5" x14ac:dyDescent="0.3">
      <c r="A744" s="42">
        <v>743</v>
      </c>
      <c r="B744" s="42"/>
      <c r="C744" s="42" t="b">
        <f>_xlfn.XLOOKUP(Table61011[[#This Row],[Category No]],Table8[Category No],Table8[Chapter List],FALSE)</f>
        <v>0</v>
      </c>
      <c r="D744" s="42"/>
      <c r="E744" s="43"/>
    </row>
    <row r="745" spans="1:5" x14ac:dyDescent="0.3">
      <c r="A745" s="42">
        <v>744</v>
      </c>
      <c r="B745" s="42"/>
      <c r="C745" s="42" t="b">
        <f>_xlfn.XLOOKUP(Table61011[[#This Row],[Category No]],Table8[Category No],Table8[Chapter List],FALSE)</f>
        <v>0</v>
      </c>
      <c r="D745" s="42"/>
      <c r="E745" s="43"/>
    </row>
    <row r="746" spans="1:5" x14ac:dyDescent="0.3">
      <c r="A746" s="42">
        <v>745</v>
      </c>
      <c r="B746" s="42"/>
      <c r="C746" s="42" t="b">
        <f>_xlfn.XLOOKUP(Table61011[[#This Row],[Category No]],Table8[Category No],Table8[Chapter List],FALSE)</f>
        <v>0</v>
      </c>
      <c r="D746" s="42"/>
      <c r="E746" s="43"/>
    </row>
    <row r="747" spans="1:5" x14ac:dyDescent="0.3">
      <c r="A747" s="42">
        <v>746</v>
      </c>
      <c r="B747" s="42"/>
      <c r="C747" s="42" t="b">
        <f>_xlfn.XLOOKUP(Table61011[[#This Row],[Category No]],Table8[Category No],Table8[Chapter List],FALSE)</f>
        <v>0</v>
      </c>
      <c r="D747" s="42"/>
      <c r="E747" s="43"/>
    </row>
    <row r="748" spans="1:5" x14ac:dyDescent="0.3">
      <c r="A748" s="42">
        <v>747</v>
      </c>
      <c r="B748" s="42"/>
      <c r="C748" s="42" t="b">
        <f>_xlfn.XLOOKUP(Table61011[[#This Row],[Category No]],Table8[Category No],Table8[Chapter List],FALSE)</f>
        <v>0</v>
      </c>
      <c r="D748" s="42"/>
      <c r="E748" s="43"/>
    </row>
    <row r="749" spans="1:5" x14ac:dyDescent="0.3">
      <c r="A749" s="42">
        <v>748</v>
      </c>
      <c r="B749" s="42"/>
      <c r="C749" s="42" t="b">
        <f>_xlfn.XLOOKUP(Table61011[[#This Row],[Category No]],Table8[Category No],Table8[Chapter List],FALSE)</f>
        <v>0</v>
      </c>
      <c r="D749" s="42"/>
      <c r="E749" s="43"/>
    </row>
    <row r="750" spans="1:5" x14ac:dyDescent="0.3">
      <c r="A750" s="42">
        <v>749</v>
      </c>
      <c r="B750" s="42"/>
      <c r="C750" s="42" t="b">
        <f>_xlfn.XLOOKUP(Table61011[[#This Row],[Category No]],Table8[Category No],Table8[Chapter List],FALSE)</f>
        <v>0</v>
      </c>
      <c r="D750" s="42"/>
      <c r="E750" s="43"/>
    </row>
    <row r="751" spans="1:5" x14ac:dyDescent="0.3">
      <c r="A751" s="42">
        <v>750</v>
      </c>
      <c r="B751" s="42"/>
      <c r="C751" s="42" t="b">
        <f>_xlfn.XLOOKUP(Table61011[[#This Row],[Category No]],Table8[Category No],Table8[Chapter List],FALSE)</f>
        <v>0</v>
      </c>
      <c r="D751" s="42"/>
      <c r="E751" s="43"/>
    </row>
    <row r="752" spans="1:5" x14ac:dyDescent="0.3">
      <c r="A752" s="42">
        <v>751</v>
      </c>
      <c r="B752" s="42"/>
      <c r="C752" s="42" t="b">
        <f>_xlfn.XLOOKUP(Table61011[[#This Row],[Category No]],Table8[Category No],Table8[Chapter List],FALSE)</f>
        <v>0</v>
      </c>
      <c r="D752" s="42"/>
      <c r="E752" s="43"/>
    </row>
    <row r="753" spans="1:5" x14ac:dyDescent="0.3">
      <c r="A753" s="42">
        <v>752</v>
      </c>
      <c r="B753" s="42"/>
      <c r="C753" s="42" t="b">
        <f>_xlfn.XLOOKUP(Table61011[[#This Row],[Category No]],Table8[Category No],Table8[Chapter List],FALSE)</f>
        <v>0</v>
      </c>
      <c r="D753" s="42"/>
      <c r="E753" s="43"/>
    </row>
    <row r="754" spans="1:5" x14ac:dyDescent="0.3">
      <c r="A754" s="42">
        <v>753</v>
      </c>
      <c r="B754" s="42"/>
      <c r="C754" s="42" t="b">
        <f>_xlfn.XLOOKUP(Table61011[[#This Row],[Category No]],Table8[Category No],Table8[Chapter List],FALSE)</f>
        <v>0</v>
      </c>
      <c r="D754" s="42"/>
      <c r="E754" s="43"/>
    </row>
    <row r="755" spans="1:5" x14ac:dyDescent="0.3">
      <c r="A755" s="42">
        <v>754</v>
      </c>
      <c r="B755" s="42"/>
      <c r="C755" s="42" t="b">
        <f>_xlfn.XLOOKUP(Table61011[[#This Row],[Category No]],Table8[Category No],Table8[Chapter List],FALSE)</f>
        <v>0</v>
      </c>
      <c r="D755" s="42"/>
      <c r="E755" s="43"/>
    </row>
    <row r="756" spans="1:5" x14ac:dyDescent="0.3">
      <c r="A756" s="42">
        <v>755</v>
      </c>
      <c r="B756" s="42"/>
      <c r="C756" s="42" t="b">
        <f>_xlfn.XLOOKUP(Table61011[[#This Row],[Category No]],Table8[Category No],Table8[Chapter List],FALSE)</f>
        <v>0</v>
      </c>
      <c r="D756" s="42"/>
      <c r="E756" s="43"/>
    </row>
    <row r="757" spans="1:5" x14ac:dyDescent="0.3">
      <c r="A757" s="42">
        <v>756</v>
      </c>
      <c r="B757" s="42"/>
      <c r="C757" s="42" t="b">
        <f>_xlfn.XLOOKUP(Table61011[[#This Row],[Category No]],Table8[Category No],Table8[Chapter List],FALSE)</f>
        <v>0</v>
      </c>
      <c r="D757" s="42"/>
      <c r="E757" s="43"/>
    </row>
    <row r="758" spans="1:5" x14ac:dyDescent="0.3">
      <c r="A758" s="42">
        <v>757</v>
      </c>
      <c r="B758" s="42"/>
      <c r="C758" s="42" t="b">
        <f>_xlfn.XLOOKUP(Table61011[[#This Row],[Category No]],Table8[Category No],Table8[Chapter List],FALSE)</f>
        <v>0</v>
      </c>
      <c r="D758" s="42"/>
      <c r="E758" s="43"/>
    </row>
    <row r="759" spans="1:5" x14ac:dyDescent="0.3">
      <c r="A759" s="42">
        <v>758</v>
      </c>
      <c r="B759" s="42"/>
      <c r="C759" s="42" t="b">
        <f>_xlfn.XLOOKUP(Table61011[[#This Row],[Category No]],Table8[Category No],Table8[Chapter List],FALSE)</f>
        <v>0</v>
      </c>
      <c r="D759" s="42"/>
      <c r="E759" s="43"/>
    </row>
    <row r="760" spans="1:5" x14ac:dyDescent="0.3">
      <c r="A760" s="42">
        <v>759</v>
      </c>
      <c r="B760" s="42"/>
      <c r="C760" s="42" t="b">
        <f>_xlfn.XLOOKUP(Table61011[[#This Row],[Category No]],Table8[Category No],Table8[Chapter List],FALSE)</f>
        <v>0</v>
      </c>
      <c r="D760" s="42"/>
      <c r="E760" s="43"/>
    </row>
    <row r="761" spans="1:5" x14ac:dyDescent="0.3">
      <c r="A761" s="42">
        <v>760</v>
      </c>
      <c r="B761" s="42"/>
      <c r="C761" s="42" t="b">
        <f>_xlfn.XLOOKUP(Table61011[[#This Row],[Category No]],Table8[Category No],Table8[Chapter List],FALSE)</f>
        <v>0</v>
      </c>
      <c r="D761" s="42"/>
      <c r="E761" s="43"/>
    </row>
    <row r="762" spans="1:5" x14ac:dyDescent="0.3">
      <c r="A762" s="42">
        <v>761</v>
      </c>
      <c r="B762" s="42"/>
      <c r="C762" s="42" t="b">
        <f>_xlfn.XLOOKUP(Table61011[[#This Row],[Category No]],Table8[Category No],Table8[Chapter List],FALSE)</f>
        <v>0</v>
      </c>
      <c r="D762" s="42"/>
      <c r="E762" s="43"/>
    </row>
    <row r="763" spans="1:5" x14ac:dyDescent="0.3">
      <c r="A763" s="42">
        <v>762</v>
      </c>
      <c r="B763" s="42"/>
      <c r="C763" s="42" t="b">
        <f>_xlfn.XLOOKUP(Table61011[[#This Row],[Category No]],Table8[Category No],Table8[Chapter List],FALSE)</f>
        <v>0</v>
      </c>
      <c r="D763" s="42"/>
      <c r="E763" s="43"/>
    </row>
    <row r="764" spans="1:5" x14ac:dyDescent="0.3">
      <c r="A764" s="42">
        <v>763</v>
      </c>
      <c r="B764" s="42"/>
      <c r="C764" s="42" t="b">
        <f>_xlfn.XLOOKUP(Table61011[[#This Row],[Category No]],Table8[Category No],Table8[Chapter List],FALSE)</f>
        <v>0</v>
      </c>
      <c r="D764" s="42"/>
      <c r="E764" s="43"/>
    </row>
    <row r="765" spans="1:5" x14ac:dyDescent="0.3">
      <c r="A765" s="42">
        <v>764</v>
      </c>
      <c r="B765" s="42"/>
      <c r="C765" s="42" t="b">
        <f>_xlfn.XLOOKUP(Table61011[[#This Row],[Category No]],Table8[Category No],Table8[Chapter List],FALSE)</f>
        <v>0</v>
      </c>
      <c r="D765" s="42"/>
      <c r="E765" s="43"/>
    </row>
    <row r="766" spans="1:5" x14ac:dyDescent="0.3">
      <c r="A766" s="42">
        <v>765</v>
      </c>
      <c r="B766" s="42"/>
      <c r="C766" s="42" t="b">
        <f>_xlfn.XLOOKUP(Table61011[[#This Row],[Category No]],Table8[Category No],Table8[Chapter List],FALSE)</f>
        <v>0</v>
      </c>
      <c r="D766" s="42"/>
      <c r="E766" s="43"/>
    </row>
    <row r="767" spans="1:5" x14ac:dyDescent="0.3">
      <c r="A767" s="42">
        <v>766</v>
      </c>
      <c r="B767" s="42"/>
      <c r="C767" s="42" t="b">
        <f>_xlfn.XLOOKUP(Table61011[[#This Row],[Category No]],Table8[Category No],Table8[Chapter List],FALSE)</f>
        <v>0</v>
      </c>
      <c r="D767" s="42"/>
      <c r="E767" s="43"/>
    </row>
    <row r="768" spans="1:5" x14ac:dyDescent="0.3">
      <c r="A768" s="42">
        <v>767</v>
      </c>
      <c r="B768" s="42"/>
      <c r="C768" s="42" t="b">
        <f>_xlfn.XLOOKUP(Table61011[[#This Row],[Category No]],Table8[Category No],Table8[Chapter List],FALSE)</f>
        <v>0</v>
      </c>
      <c r="D768" s="42"/>
      <c r="E768" s="43"/>
    </row>
    <row r="769" spans="1:5" x14ac:dyDescent="0.3">
      <c r="A769" s="42">
        <v>768</v>
      </c>
      <c r="B769" s="42"/>
      <c r="C769" s="42" t="b">
        <f>_xlfn.XLOOKUP(Table61011[[#This Row],[Category No]],Table8[Category No],Table8[Chapter List],FALSE)</f>
        <v>0</v>
      </c>
      <c r="D769" s="42"/>
      <c r="E769" s="43"/>
    </row>
    <row r="770" spans="1:5" x14ac:dyDescent="0.3">
      <c r="A770" s="42">
        <v>769</v>
      </c>
      <c r="B770" s="42"/>
      <c r="C770" s="42" t="b">
        <f>_xlfn.XLOOKUP(Table61011[[#This Row],[Category No]],Table8[Category No],Table8[Chapter List],FALSE)</f>
        <v>0</v>
      </c>
      <c r="D770" s="42"/>
      <c r="E770" s="43"/>
    </row>
    <row r="771" spans="1:5" x14ac:dyDescent="0.3">
      <c r="A771" s="42">
        <v>770</v>
      </c>
      <c r="B771" s="42"/>
      <c r="C771" s="42" t="b">
        <f>_xlfn.XLOOKUP(Table61011[[#This Row],[Category No]],Table8[Category No],Table8[Chapter List],FALSE)</f>
        <v>0</v>
      </c>
      <c r="D771" s="42"/>
      <c r="E771" s="43"/>
    </row>
    <row r="772" spans="1:5" x14ac:dyDescent="0.3">
      <c r="A772" s="42">
        <v>771</v>
      </c>
      <c r="B772" s="42"/>
      <c r="C772" s="42" t="b">
        <f>_xlfn.XLOOKUP(Table61011[[#This Row],[Category No]],Table8[Category No],Table8[Chapter List],FALSE)</f>
        <v>0</v>
      </c>
      <c r="D772" s="42"/>
      <c r="E772" s="43"/>
    </row>
    <row r="773" spans="1:5" x14ac:dyDescent="0.3">
      <c r="A773" s="42">
        <v>772</v>
      </c>
      <c r="B773" s="42"/>
      <c r="C773" s="42" t="b">
        <f>_xlfn.XLOOKUP(Table61011[[#This Row],[Category No]],Table8[Category No],Table8[Chapter List],FALSE)</f>
        <v>0</v>
      </c>
      <c r="D773" s="42"/>
      <c r="E773" s="43"/>
    </row>
    <row r="774" spans="1:5" x14ac:dyDescent="0.3">
      <c r="A774" s="42">
        <v>773</v>
      </c>
      <c r="B774" s="42"/>
      <c r="C774" s="42" t="b">
        <f>_xlfn.XLOOKUP(Table61011[[#This Row],[Category No]],Table8[Category No],Table8[Chapter List],FALSE)</f>
        <v>0</v>
      </c>
      <c r="D774" s="42"/>
      <c r="E774" s="43"/>
    </row>
    <row r="775" spans="1:5" x14ac:dyDescent="0.3">
      <c r="A775" s="42">
        <v>774</v>
      </c>
      <c r="B775" s="42"/>
      <c r="C775" s="42" t="b">
        <f>_xlfn.XLOOKUP(Table61011[[#This Row],[Category No]],Table8[Category No],Table8[Chapter List],FALSE)</f>
        <v>0</v>
      </c>
      <c r="D775" s="42"/>
      <c r="E775" s="43"/>
    </row>
    <row r="776" spans="1:5" x14ac:dyDescent="0.3">
      <c r="A776" s="42">
        <v>775</v>
      </c>
      <c r="B776" s="42"/>
      <c r="C776" s="42" t="b">
        <f>_xlfn.XLOOKUP(Table61011[[#This Row],[Category No]],Table8[Category No],Table8[Chapter List],FALSE)</f>
        <v>0</v>
      </c>
      <c r="D776" s="42"/>
      <c r="E776" s="43"/>
    </row>
    <row r="777" spans="1:5" x14ac:dyDescent="0.3">
      <c r="A777" s="42">
        <v>776</v>
      </c>
      <c r="B777" s="42"/>
      <c r="C777" s="42" t="b">
        <f>_xlfn.XLOOKUP(Table61011[[#This Row],[Category No]],Table8[Category No],Table8[Chapter List],FALSE)</f>
        <v>0</v>
      </c>
      <c r="D777" s="42"/>
      <c r="E777" s="43"/>
    </row>
    <row r="778" spans="1:5" x14ac:dyDescent="0.3">
      <c r="A778" s="42">
        <v>777</v>
      </c>
      <c r="B778" s="42"/>
      <c r="C778" s="42" t="b">
        <f>_xlfn.XLOOKUP(Table61011[[#This Row],[Category No]],Table8[Category No],Table8[Chapter List],FALSE)</f>
        <v>0</v>
      </c>
      <c r="D778" s="42"/>
      <c r="E778" s="43"/>
    </row>
    <row r="779" spans="1:5" x14ac:dyDescent="0.3">
      <c r="A779" s="42">
        <v>778</v>
      </c>
      <c r="B779" s="42"/>
      <c r="C779" s="42" t="b">
        <f>_xlfn.XLOOKUP(Table61011[[#This Row],[Category No]],Table8[Category No],Table8[Chapter List],FALSE)</f>
        <v>0</v>
      </c>
      <c r="D779" s="42"/>
      <c r="E779" s="43"/>
    </row>
    <row r="780" spans="1:5" x14ac:dyDescent="0.3">
      <c r="A780" s="42">
        <v>779</v>
      </c>
      <c r="B780" s="42"/>
      <c r="C780" s="42" t="b">
        <f>_xlfn.XLOOKUP(Table61011[[#This Row],[Category No]],Table8[Category No],Table8[Chapter List],FALSE)</f>
        <v>0</v>
      </c>
      <c r="D780" s="42"/>
      <c r="E780" s="43"/>
    </row>
    <row r="781" spans="1:5" x14ac:dyDescent="0.3">
      <c r="A781" s="42">
        <v>780</v>
      </c>
      <c r="B781" s="42"/>
      <c r="C781" s="42" t="b">
        <f>_xlfn.XLOOKUP(Table61011[[#This Row],[Category No]],Table8[Category No],Table8[Chapter List],FALSE)</f>
        <v>0</v>
      </c>
      <c r="D781" s="42"/>
      <c r="E781" s="43"/>
    </row>
    <row r="782" spans="1:5" x14ac:dyDescent="0.3">
      <c r="A782" s="42">
        <v>781</v>
      </c>
      <c r="B782" s="42"/>
      <c r="C782" s="42" t="b">
        <f>_xlfn.XLOOKUP(Table61011[[#This Row],[Category No]],Table8[Category No],Table8[Chapter List],FALSE)</f>
        <v>0</v>
      </c>
      <c r="D782" s="42"/>
      <c r="E782" s="43"/>
    </row>
    <row r="783" spans="1:5" x14ac:dyDescent="0.3">
      <c r="A783" s="42">
        <v>782</v>
      </c>
      <c r="B783" s="42"/>
      <c r="C783" s="42" t="b">
        <f>_xlfn.XLOOKUP(Table61011[[#This Row],[Category No]],Table8[Category No],Table8[Chapter List],FALSE)</f>
        <v>0</v>
      </c>
      <c r="D783" s="42"/>
      <c r="E783" s="43"/>
    </row>
    <row r="784" spans="1:5" x14ac:dyDescent="0.3">
      <c r="A784" s="42">
        <v>783</v>
      </c>
      <c r="B784" s="42"/>
      <c r="C784" s="42" t="b">
        <f>_xlfn.XLOOKUP(Table61011[[#This Row],[Category No]],Table8[Category No],Table8[Chapter List],FALSE)</f>
        <v>0</v>
      </c>
      <c r="D784" s="42"/>
      <c r="E784" s="43"/>
    </row>
    <row r="785" spans="1:5" x14ac:dyDescent="0.3">
      <c r="A785" s="42">
        <v>784</v>
      </c>
      <c r="B785" s="42"/>
      <c r="C785" s="42" t="b">
        <f>_xlfn.XLOOKUP(Table61011[[#This Row],[Category No]],Table8[Category No],Table8[Chapter List],FALSE)</f>
        <v>0</v>
      </c>
      <c r="D785" s="42"/>
      <c r="E785" s="43"/>
    </row>
    <row r="786" spans="1:5" x14ac:dyDescent="0.3">
      <c r="A786" s="42">
        <v>785</v>
      </c>
      <c r="B786" s="42"/>
      <c r="C786" s="42" t="b">
        <f>_xlfn.XLOOKUP(Table61011[[#This Row],[Category No]],Table8[Category No],Table8[Chapter List],FALSE)</f>
        <v>0</v>
      </c>
      <c r="D786" s="42"/>
      <c r="E786" s="43"/>
    </row>
    <row r="787" spans="1:5" x14ac:dyDescent="0.3">
      <c r="A787" s="42">
        <v>786</v>
      </c>
      <c r="B787" s="42"/>
      <c r="C787" s="42" t="b">
        <f>_xlfn.XLOOKUP(Table61011[[#This Row],[Category No]],Table8[Category No],Table8[Chapter List],FALSE)</f>
        <v>0</v>
      </c>
      <c r="D787" s="42"/>
      <c r="E787" s="43"/>
    </row>
    <row r="788" spans="1:5" x14ac:dyDescent="0.3">
      <c r="A788" s="42">
        <v>787</v>
      </c>
      <c r="B788" s="42"/>
      <c r="C788" s="42" t="b">
        <f>_xlfn.XLOOKUP(Table61011[[#This Row],[Category No]],Table8[Category No],Table8[Chapter List],FALSE)</f>
        <v>0</v>
      </c>
      <c r="D788" s="42"/>
      <c r="E788" s="43"/>
    </row>
    <row r="789" spans="1:5" x14ac:dyDescent="0.3">
      <c r="A789" s="42">
        <v>788</v>
      </c>
      <c r="B789" s="42"/>
      <c r="C789" s="42" t="b">
        <f>_xlfn.XLOOKUP(Table61011[[#This Row],[Category No]],Table8[Category No],Table8[Chapter List],FALSE)</f>
        <v>0</v>
      </c>
      <c r="D789" s="42"/>
      <c r="E789" s="43"/>
    </row>
    <row r="790" spans="1:5" x14ac:dyDescent="0.3">
      <c r="A790" s="42">
        <v>789</v>
      </c>
      <c r="B790" s="42"/>
      <c r="C790" s="42" t="b">
        <f>_xlfn.XLOOKUP(Table61011[[#This Row],[Category No]],Table8[Category No],Table8[Chapter List],FALSE)</f>
        <v>0</v>
      </c>
      <c r="D790" s="42"/>
      <c r="E790" s="43"/>
    </row>
    <row r="791" spans="1:5" x14ac:dyDescent="0.3">
      <c r="A791" s="42">
        <v>790</v>
      </c>
      <c r="B791" s="42"/>
      <c r="C791" s="42" t="b">
        <f>_xlfn.XLOOKUP(Table61011[[#This Row],[Category No]],Table8[Category No],Table8[Chapter List],FALSE)</f>
        <v>0</v>
      </c>
      <c r="D791" s="42"/>
      <c r="E791" s="43"/>
    </row>
    <row r="792" spans="1:5" x14ac:dyDescent="0.3">
      <c r="A792" s="42">
        <v>791</v>
      </c>
      <c r="B792" s="42"/>
      <c r="C792" s="42" t="b">
        <f>_xlfn.XLOOKUP(Table61011[[#This Row],[Category No]],Table8[Category No],Table8[Chapter List],FALSE)</f>
        <v>0</v>
      </c>
      <c r="D792" s="42"/>
      <c r="E792" s="43"/>
    </row>
    <row r="793" spans="1:5" x14ac:dyDescent="0.3">
      <c r="A793" s="42">
        <v>792</v>
      </c>
      <c r="B793" s="42"/>
      <c r="C793" s="42" t="b">
        <f>_xlfn.XLOOKUP(Table61011[[#This Row],[Category No]],Table8[Category No],Table8[Chapter List],FALSE)</f>
        <v>0</v>
      </c>
      <c r="D793" s="42"/>
      <c r="E793" s="43"/>
    </row>
    <row r="794" spans="1:5" x14ac:dyDescent="0.3">
      <c r="A794" s="42">
        <v>793</v>
      </c>
      <c r="B794" s="42"/>
      <c r="C794" s="42" t="b">
        <f>_xlfn.XLOOKUP(Table61011[[#This Row],[Category No]],Table8[Category No],Table8[Chapter List],FALSE)</f>
        <v>0</v>
      </c>
      <c r="D794" s="42"/>
      <c r="E794" s="43"/>
    </row>
    <row r="795" spans="1:5" x14ac:dyDescent="0.3">
      <c r="A795" s="42">
        <v>794</v>
      </c>
      <c r="B795" s="42"/>
      <c r="C795" s="42" t="b">
        <f>_xlfn.XLOOKUP(Table61011[[#This Row],[Category No]],Table8[Category No],Table8[Chapter List],FALSE)</f>
        <v>0</v>
      </c>
      <c r="D795" s="42"/>
      <c r="E795" s="43"/>
    </row>
    <row r="796" spans="1:5" x14ac:dyDescent="0.3">
      <c r="A796" s="42">
        <v>795</v>
      </c>
      <c r="B796" s="42"/>
      <c r="C796" s="42" t="b">
        <f>_xlfn.XLOOKUP(Table61011[[#This Row],[Category No]],Table8[Category No],Table8[Chapter List],FALSE)</f>
        <v>0</v>
      </c>
      <c r="D796" s="42"/>
      <c r="E796" s="43"/>
    </row>
    <row r="797" spans="1:5" x14ac:dyDescent="0.3">
      <c r="A797" s="42">
        <v>796</v>
      </c>
      <c r="B797" s="42"/>
      <c r="C797" s="42" t="b">
        <f>_xlfn.XLOOKUP(Table61011[[#This Row],[Category No]],Table8[Category No],Table8[Chapter List],FALSE)</f>
        <v>0</v>
      </c>
      <c r="D797" s="42"/>
      <c r="E797" s="43"/>
    </row>
    <row r="798" spans="1:5" x14ac:dyDescent="0.3">
      <c r="A798" s="42">
        <v>797</v>
      </c>
      <c r="B798" s="42"/>
      <c r="C798" s="42" t="b">
        <f>_xlfn.XLOOKUP(Table61011[[#This Row],[Category No]],Table8[Category No],Table8[Chapter List],FALSE)</f>
        <v>0</v>
      </c>
      <c r="D798" s="42"/>
      <c r="E798" s="43"/>
    </row>
    <row r="799" spans="1:5" x14ac:dyDescent="0.3">
      <c r="A799" s="42">
        <v>798</v>
      </c>
      <c r="B799" s="42"/>
      <c r="C799" s="42" t="b">
        <f>_xlfn.XLOOKUP(Table61011[[#This Row],[Category No]],Table8[Category No],Table8[Chapter List],FALSE)</f>
        <v>0</v>
      </c>
      <c r="D799" s="42"/>
      <c r="E799" s="43"/>
    </row>
    <row r="800" spans="1:5" x14ac:dyDescent="0.3">
      <c r="A800" s="42">
        <v>799</v>
      </c>
      <c r="B800" s="42"/>
      <c r="C800" s="42" t="b">
        <f>_xlfn.XLOOKUP(Table61011[[#This Row],[Category No]],Table8[Category No],Table8[Chapter List],FALSE)</f>
        <v>0</v>
      </c>
      <c r="D800" s="42"/>
      <c r="E800" s="43"/>
    </row>
    <row r="801" spans="1:5" x14ac:dyDescent="0.3">
      <c r="A801" s="42">
        <v>800</v>
      </c>
      <c r="B801" s="42"/>
      <c r="C801" s="42" t="b">
        <f>_xlfn.XLOOKUP(Table61011[[#This Row],[Category No]],Table8[Category No],Table8[Chapter List],FALSE)</f>
        <v>0</v>
      </c>
      <c r="D801" s="42"/>
      <c r="E801" s="43"/>
    </row>
    <row r="802" spans="1:5" x14ac:dyDescent="0.3">
      <c r="A802" s="42">
        <v>801</v>
      </c>
      <c r="B802" s="42"/>
      <c r="C802" s="42" t="b">
        <f>_xlfn.XLOOKUP(Table61011[[#This Row],[Category No]],Table8[Category No],Table8[Chapter List],FALSE)</f>
        <v>0</v>
      </c>
      <c r="D802" s="42"/>
      <c r="E802" s="43"/>
    </row>
    <row r="803" spans="1:5" x14ac:dyDescent="0.3">
      <c r="A803" s="42">
        <v>802</v>
      </c>
      <c r="B803" s="42"/>
      <c r="C803" s="42" t="b">
        <f>_xlfn.XLOOKUP(Table61011[[#This Row],[Category No]],Table8[Category No],Table8[Chapter List],FALSE)</f>
        <v>0</v>
      </c>
      <c r="D803" s="42"/>
      <c r="E803" s="43"/>
    </row>
    <row r="804" spans="1:5" x14ac:dyDescent="0.3">
      <c r="A804" s="42">
        <v>803</v>
      </c>
      <c r="B804" s="42"/>
      <c r="C804" s="42" t="b">
        <f>_xlfn.XLOOKUP(Table61011[[#This Row],[Category No]],Table8[Category No],Table8[Chapter List],FALSE)</f>
        <v>0</v>
      </c>
      <c r="D804" s="42"/>
      <c r="E804" s="43"/>
    </row>
    <row r="805" spans="1:5" x14ac:dyDescent="0.3">
      <c r="A805" s="42">
        <v>804</v>
      </c>
      <c r="B805" s="42"/>
      <c r="C805" s="42" t="b">
        <f>_xlfn.XLOOKUP(Table61011[[#This Row],[Category No]],Table8[Category No],Table8[Chapter List],FALSE)</f>
        <v>0</v>
      </c>
      <c r="D805" s="42"/>
      <c r="E805" s="43"/>
    </row>
    <row r="806" spans="1:5" x14ac:dyDescent="0.3">
      <c r="A806" s="42">
        <v>805</v>
      </c>
      <c r="B806" s="42"/>
      <c r="C806" s="42" t="b">
        <f>_xlfn.XLOOKUP(Table61011[[#This Row],[Category No]],Table8[Category No],Table8[Chapter List],FALSE)</f>
        <v>0</v>
      </c>
      <c r="D806" s="42"/>
      <c r="E806" s="43"/>
    </row>
    <row r="807" spans="1:5" x14ac:dyDescent="0.3">
      <c r="A807" s="42">
        <v>806</v>
      </c>
      <c r="B807" s="42"/>
      <c r="C807" s="42" t="b">
        <f>_xlfn.XLOOKUP(Table61011[[#This Row],[Category No]],Table8[Category No],Table8[Chapter List],FALSE)</f>
        <v>0</v>
      </c>
      <c r="D807" s="42"/>
      <c r="E807" s="43"/>
    </row>
    <row r="808" spans="1:5" x14ac:dyDescent="0.3">
      <c r="A808" s="42">
        <v>807</v>
      </c>
      <c r="B808" s="42"/>
      <c r="C808" s="42" t="b">
        <f>_xlfn.XLOOKUP(Table61011[[#This Row],[Category No]],Table8[Category No],Table8[Chapter List],FALSE)</f>
        <v>0</v>
      </c>
      <c r="D808" s="42"/>
      <c r="E808" s="43"/>
    </row>
    <row r="809" spans="1:5" x14ac:dyDescent="0.3">
      <c r="A809" s="42">
        <v>808</v>
      </c>
      <c r="B809" s="42"/>
      <c r="C809" s="42" t="b">
        <f>_xlfn.XLOOKUP(Table61011[[#This Row],[Category No]],Table8[Category No],Table8[Chapter List],FALSE)</f>
        <v>0</v>
      </c>
      <c r="D809" s="42"/>
      <c r="E809" s="43"/>
    </row>
    <row r="810" spans="1:5" x14ac:dyDescent="0.3">
      <c r="A810" s="42">
        <v>809</v>
      </c>
      <c r="B810" s="42"/>
      <c r="C810" s="42" t="b">
        <f>_xlfn.XLOOKUP(Table61011[[#This Row],[Category No]],Table8[Category No],Table8[Chapter List],FALSE)</f>
        <v>0</v>
      </c>
      <c r="D810" s="42"/>
      <c r="E810" s="43"/>
    </row>
    <row r="811" spans="1:5" x14ac:dyDescent="0.3">
      <c r="A811" s="42">
        <v>810</v>
      </c>
      <c r="B811" s="42"/>
      <c r="C811" s="42" t="b">
        <f>_xlfn.XLOOKUP(Table61011[[#This Row],[Category No]],Table8[Category No],Table8[Chapter List],FALSE)</f>
        <v>0</v>
      </c>
      <c r="D811" s="42"/>
      <c r="E811" s="43"/>
    </row>
    <row r="812" spans="1:5" x14ac:dyDescent="0.3">
      <c r="A812" s="42">
        <v>811</v>
      </c>
      <c r="B812" s="42"/>
      <c r="C812" s="42" t="b">
        <f>_xlfn.XLOOKUP(Table61011[[#This Row],[Category No]],Table8[Category No],Table8[Chapter List],FALSE)</f>
        <v>0</v>
      </c>
      <c r="D812" s="42"/>
      <c r="E812" s="43"/>
    </row>
    <row r="813" spans="1:5" x14ac:dyDescent="0.3">
      <c r="A813" s="42">
        <v>812</v>
      </c>
      <c r="B813" s="42"/>
      <c r="C813" s="42" t="b">
        <f>_xlfn.XLOOKUP(Table61011[[#This Row],[Category No]],Table8[Category No],Table8[Chapter List],FALSE)</f>
        <v>0</v>
      </c>
      <c r="D813" s="42"/>
      <c r="E813" s="43"/>
    </row>
    <row r="814" spans="1:5" x14ac:dyDescent="0.3">
      <c r="A814" s="42">
        <v>813</v>
      </c>
      <c r="B814" s="42"/>
      <c r="C814" s="42" t="b">
        <f>_xlfn.XLOOKUP(Table61011[[#This Row],[Category No]],Table8[Category No],Table8[Chapter List],FALSE)</f>
        <v>0</v>
      </c>
      <c r="D814" s="42"/>
      <c r="E814" s="43"/>
    </row>
    <row r="815" spans="1:5" x14ac:dyDescent="0.3">
      <c r="A815" s="42">
        <v>814</v>
      </c>
      <c r="B815" s="42"/>
      <c r="C815" s="42" t="b">
        <f>_xlfn.XLOOKUP(Table61011[[#This Row],[Category No]],Table8[Category No],Table8[Chapter List],FALSE)</f>
        <v>0</v>
      </c>
      <c r="D815" s="42"/>
      <c r="E815" s="43"/>
    </row>
    <row r="816" spans="1:5" x14ac:dyDescent="0.3">
      <c r="A816" s="42">
        <v>815</v>
      </c>
      <c r="B816" s="42"/>
      <c r="C816" s="42" t="b">
        <f>_xlfn.XLOOKUP(Table61011[[#This Row],[Category No]],Table8[Category No],Table8[Chapter List],FALSE)</f>
        <v>0</v>
      </c>
      <c r="D816" s="42"/>
      <c r="E816" s="43"/>
    </row>
    <row r="817" spans="1:5" x14ac:dyDescent="0.3">
      <c r="A817" s="42">
        <v>816</v>
      </c>
      <c r="B817" s="42"/>
      <c r="C817" s="42" t="b">
        <f>_xlfn.XLOOKUP(Table61011[[#This Row],[Category No]],Table8[Category No],Table8[Chapter List],FALSE)</f>
        <v>0</v>
      </c>
      <c r="D817" s="42"/>
      <c r="E817" s="43"/>
    </row>
    <row r="818" spans="1:5" x14ac:dyDescent="0.3">
      <c r="A818" s="42">
        <v>817</v>
      </c>
      <c r="B818" s="42"/>
      <c r="C818" s="42" t="b">
        <f>_xlfn.XLOOKUP(Table61011[[#This Row],[Category No]],Table8[Category No],Table8[Chapter List],FALSE)</f>
        <v>0</v>
      </c>
      <c r="D818" s="42"/>
      <c r="E818" s="43"/>
    </row>
    <row r="819" spans="1:5" x14ac:dyDescent="0.3">
      <c r="A819" s="42">
        <v>818</v>
      </c>
      <c r="B819" s="42"/>
      <c r="C819" s="42" t="b">
        <f>_xlfn.XLOOKUP(Table61011[[#This Row],[Category No]],Table8[Category No],Table8[Chapter List],FALSE)</f>
        <v>0</v>
      </c>
      <c r="D819" s="42"/>
      <c r="E819" s="43"/>
    </row>
    <row r="820" spans="1:5" x14ac:dyDescent="0.3">
      <c r="A820" s="42">
        <v>819</v>
      </c>
      <c r="B820" s="42"/>
      <c r="C820" s="42" t="b">
        <f>_xlfn.XLOOKUP(Table61011[[#This Row],[Category No]],Table8[Category No],Table8[Chapter List],FALSE)</f>
        <v>0</v>
      </c>
      <c r="D820" s="42"/>
      <c r="E820" s="43"/>
    </row>
    <row r="821" spans="1:5" x14ac:dyDescent="0.3">
      <c r="A821" s="42">
        <v>820</v>
      </c>
      <c r="B821" s="42"/>
      <c r="C821" s="42" t="b">
        <f>_xlfn.XLOOKUP(Table61011[[#This Row],[Category No]],Table8[Category No],Table8[Chapter List],FALSE)</f>
        <v>0</v>
      </c>
      <c r="D821" s="42"/>
      <c r="E821" s="43"/>
    </row>
    <row r="822" spans="1:5" x14ac:dyDescent="0.3">
      <c r="A822" s="42">
        <v>821</v>
      </c>
      <c r="B822" s="42"/>
      <c r="C822" s="42" t="b">
        <f>_xlfn.XLOOKUP(Table61011[[#This Row],[Category No]],Table8[Category No],Table8[Chapter List],FALSE)</f>
        <v>0</v>
      </c>
      <c r="D822" s="42"/>
      <c r="E822" s="43"/>
    </row>
    <row r="823" spans="1:5" x14ac:dyDescent="0.3">
      <c r="A823" s="42">
        <v>822</v>
      </c>
      <c r="B823" s="42"/>
      <c r="C823" s="42" t="b">
        <f>_xlfn.XLOOKUP(Table61011[[#This Row],[Category No]],Table8[Category No],Table8[Chapter List],FALSE)</f>
        <v>0</v>
      </c>
      <c r="D823" s="42"/>
      <c r="E823" s="43"/>
    </row>
    <row r="824" spans="1:5" x14ac:dyDescent="0.3">
      <c r="A824" s="42">
        <v>823</v>
      </c>
      <c r="B824" s="42"/>
      <c r="C824" s="42" t="b">
        <f>_xlfn.XLOOKUP(Table61011[[#This Row],[Category No]],Table8[Category No],Table8[Chapter List],FALSE)</f>
        <v>0</v>
      </c>
      <c r="D824" s="42"/>
      <c r="E824" s="43"/>
    </row>
    <row r="825" spans="1:5" x14ac:dyDescent="0.3">
      <c r="A825" s="42">
        <v>824</v>
      </c>
      <c r="B825" s="42"/>
      <c r="C825" s="42" t="b">
        <f>_xlfn.XLOOKUP(Table61011[[#This Row],[Category No]],Table8[Category No],Table8[Chapter List],FALSE)</f>
        <v>0</v>
      </c>
      <c r="D825" s="42"/>
      <c r="E825" s="43"/>
    </row>
    <row r="826" spans="1:5" x14ac:dyDescent="0.3">
      <c r="A826" s="42">
        <v>825</v>
      </c>
      <c r="B826" s="42"/>
      <c r="C826" s="42" t="b">
        <f>_xlfn.XLOOKUP(Table61011[[#This Row],[Category No]],Table8[Category No],Table8[Chapter List],FALSE)</f>
        <v>0</v>
      </c>
      <c r="D826" s="42"/>
      <c r="E826" s="43"/>
    </row>
    <row r="827" spans="1:5" x14ac:dyDescent="0.3">
      <c r="A827" s="42">
        <v>826</v>
      </c>
      <c r="B827" s="42"/>
      <c r="C827" s="42" t="b">
        <f>_xlfn.XLOOKUP(Table61011[[#This Row],[Category No]],Table8[Category No],Table8[Chapter List],FALSE)</f>
        <v>0</v>
      </c>
      <c r="D827" s="42"/>
      <c r="E827" s="43"/>
    </row>
    <row r="828" spans="1:5" x14ac:dyDescent="0.3">
      <c r="A828" s="42">
        <v>827</v>
      </c>
      <c r="B828" s="42"/>
      <c r="C828" s="42" t="b">
        <f>_xlfn.XLOOKUP(Table61011[[#This Row],[Category No]],Table8[Category No],Table8[Chapter List],FALSE)</f>
        <v>0</v>
      </c>
      <c r="D828" s="42"/>
      <c r="E828" s="43"/>
    </row>
    <row r="829" spans="1:5" x14ac:dyDescent="0.3">
      <c r="A829" s="42">
        <v>828</v>
      </c>
      <c r="B829" s="42"/>
      <c r="C829" s="42" t="b">
        <f>_xlfn.XLOOKUP(Table61011[[#This Row],[Category No]],Table8[Category No],Table8[Chapter List],FALSE)</f>
        <v>0</v>
      </c>
      <c r="D829" s="42"/>
      <c r="E829" s="43"/>
    </row>
    <row r="830" spans="1:5" x14ac:dyDescent="0.3">
      <c r="A830" s="42">
        <v>829</v>
      </c>
      <c r="B830" s="42"/>
      <c r="C830" s="42" t="b">
        <f>_xlfn.XLOOKUP(Table61011[[#This Row],[Category No]],Table8[Category No],Table8[Chapter List],FALSE)</f>
        <v>0</v>
      </c>
      <c r="D830" s="42"/>
      <c r="E830" s="43"/>
    </row>
    <row r="831" spans="1:5" x14ac:dyDescent="0.3">
      <c r="A831" s="42">
        <v>830</v>
      </c>
      <c r="B831" s="42"/>
      <c r="C831" s="42" t="b">
        <f>_xlfn.XLOOKUP(Table61011[[#This Row],[Category No]],Table8[Category No],Table8[Chapter List],FALSE)</f>
        <v>0</v>
      </c>
      <c r="D831" s="42"/>
      <c r="E831" s="43"/>
    </row>
    <row r="832" spans="1:5" x14ac:dyDescent="0.3">
      <c r="A832" s="42">
        <v>831</v>
      </c>
      <c r="B832" s="42"/>
      <c r="C832" s="42" t="b">
        <f>_xlfn.XLOOKUP(Table61011[[#This Row],[Category No]],Table8[Category No],Table8[Chapter List],FALSE)</f>
        <v>0</v>
      </c>
      <c r="D832" s="42"/>
      <c r="E832" s="43"/>
    </row>
    <row r="833" spans="1:5" x14ac:dyDescent="0.3">
      <c r="A833" s="42">
        <v>832</v>
      </c>
      <c r="B833" s="42"/>
      <c r="C833" s="42" t="b">
        <f>_xlfn.XLOOKUP(Table61011[[#This Row],[Category No]],Table8[Category No],Table8[Chapter List],FALSE)</f>
        <v>0</v>
      </c>
      <c r="D833" s="42"/>
      <c r="E833" s="43"/>
    </row>
    <row r="834" spans="1:5" x14ac:dyDescent="0.3">
      <c r="A834" s="42">
        <v>833</v>
      </c>
      <c r="B834" s="42"/>
      <c r="C834" s="42" t="b">
        <f>_xlfn.XLOOKUP(Table61011[[#This Row],[Category No]],Table8[Category No],Table8[Chapter List],FALSE)</f>
        <v>0</v>
      </c>
      <c r="D834" s="42"/>
      <c r="E834" s="43"/>
    </row>
    <row r="835" spans="1:5" x14ac:dyDescent="0.3">
      <c r="A835" s="42">
        <v>834</v>
      </c>
      <c r="B835" s="42"/>
      <c r="C835" s="42" t="b">
        <f>_xlfn.XLOOKUP(Table61011[[#This Row],[Category No]],Table8[Category No],Table8[Chapter List],FALSE)</f>
        <v>0</v>
      </c>
      <c r="D835" s="42"/>
      <c r="E835" s="43"/>
    </row>
    <row r="836" spans="1:5" x14ac:dyDescent="0.3">
      <c r="A836" s="42">
        <v>835</v>
      </c>
      <c r="B836" s="42"/>
      <c r="C836" s="42" t="b">
        <f>_xlfn.XLOOKUP(Table61011[[#This Row],[Category No]],Table8[Category No],Table8[Chapter List],FALSE)</f>
        <v>0</v>
      </c>
      <c r="D836" s="42"/>
      <c r="E836" s="43"/>
    </row>
    <row r="837" spans="1:5" x14ac:dyDescent="0.3">
      <c r="A837" s="42">
        <v>836</v>
      </c>
      <c r="B837" s="42"/>
      <c r="C837" s="42" t="b">
        <f>_xlfn.XLOOKUP(Table61011[[#This Row],[Category No]],Table8[Category No],Table8[Chapter List],FALSE)</f>
        <v>0</v>
      </c>
      <c r="D837" s="42"/>
      <c r="E837" s="43"/>
    </row>
    <row r="838" spans="1:5" x14ac:dyDescent="0.3">
      <c r="A838" s="42">
        <v>837</v>
      </c>
      <c r="B838" s="42"/>
      <c r="C838" s="42" t="b">
        <f>_xlfn.XLOOKUP(Table61011[[#This Row],[Category No]],Table8[Category No],Table8[Chapter List],FALSE)</f>
        <v>0</v>
      </c>
      <c r="D838" s="42"/>
      <c r="E838" s="43"/>
    </row>
    <row r="839" spans="1:5" x14ac:dyDescent="0.3">
      <c r="A839" s="42">
        <v>838</v>
      </c>
      <c r="B839" s="42"/>
      <c r="C839" s="42" t="b">
        <f>_xlfn.XLOOKUP(Table61011[[#This Row],[Category No]],Table8[Category No],Table8[Chapter List],FALSE)</f>
        <v>0</v>
      </c>
      <c r="D839" s="42"/>
      <c r="E839" s="43"/>
    </row>
    <row r="840" spans="1:5" x14ac:dyDescent="0.3">
      <c r="A840" s="42">
        <v>839</v>
      </c>
      <c r="B840" s="42"/>
      <c r="C840" s="42" t="b">
        <f>_xlfn.XLOOKUP(Table61011[[#This Row],[Category No]],Table8[Category No],Table8[Chapter List],FALSE)</f>
        <v>0</v>
      </c>
      <c r="D840" s="42"/>
      <c r="E840" s="43"/>
    </row>
    <row r="841" spans="1:5" x14ac:dyDescent="0.3">
      <c r="A841" s="42">
        <v>840</v>
      </c>
      <c r="B841" s="42"/>
      <c r="C841" s="42" t="b">
        <f>_xlfn.XLOOKUP(Table61011[[#This Row],[Category No]],Table8[Category No],Table8[Chapter List],FALSE)</f>
        <v>0</v>
      </c>
      <c r="D841" s="42"/>
      <c r="E841" s="43"/>
    </row>
    <row r="842" spans="1:5" x14ac:dyDescent="0.3">
      <c r="A842" s="42">
        <v>841</v>
      </c>
      <c r="B842" s="42"/>
      <c r="C842" s="42" t="b">
        <f>_xlfn.XLOOKUP(Table61011[[#This Row],[Category No]],Table8[Category No],Table8[Chapter List],FALSE)</f>
        <v>0</v>
      </c>
      <c r="D842" s="42"/>
      <c r="E842" s="43"/>
    </row>
    <row r="843" spans="1:5" x14ac:dyDescent="0.3">
      <c r="A843" s="42">
        <v>842</v>
      </c>
      <c r="B843" s="42"/>
      <c r="C843" s="42" t="b">
        <f>_xlfn.XLOOKUP(Table61011[[#This Row],[Category No]],Table8[Category No],Table8[Chapter List],FALSE)</f>
        <v>0</v>
      </c>
      <c r="D843" s="42"/>
      <c r="E843" s="43"/>
    </row>
    <row r="844" spans="1:5" x14ac:dyDescent="0.3">
      <c r="A844" s="42">
        <v>843</v>
      </c>
      <c r="B844" s="42"/>
      <c r="C844" s="42" t="b">
        <f>_xlfn.XLOOKUP(Table61011[[#This Row],[Category No]],Table8[Category No],Table8[Chapter List],FALSE)</f>
        <v>0</v>
      </c>
      <c r="D844" s="42"/>
      <c r="E844" s="43"/>
    </row>
    <row r="845" spans="1:5" x14ac:dyDescent="0.3">
      <c r="A845" s="42">
        <v>844</v>
      </c>
      <c r="B845" s="42"/>
      <c r="C845" s="42" t="b">
        <f>_xlfn.XLOOKUP(Table61011[[#This Row],[Category No]],Table8[Category No],Table8[Chapter List],FALSE)</f>
        <v>0</v>
      </c>
      <c r="D845" s="42"/>
      <c r="E845" s="43"/>
    </row>
    <row r="846" spans="1:5" x14ac:dyDescent="0.3">
      <c r="A846" s="42">
        <v>845</v>
      </c>
      <c r="B846" s="42"/>
      <c r="C846" s="42" t="b">
        <f>_xlfn.XLOOKUP(Table61011[[#This Row],[Category No]],Table8[Category No],Table8[Chapter List],FALSE)</f>
        <v>0</v>
      </c>
      <c r="D846" s="42"/>
      <c r="E846" s="43"/>
    </row>
    <row r="847" spans="1:5" x14ac:dyDescent="0.3">
      <c r="A847" s="42">
        <v>846</v>
      </c>
      <c r="B847" s="42"/>
      <c r="C847" s="42" t="b">
        <f>_xlfn.XLOOKUP(Table61011[[#This Row],[Category No]],Table8[Category No],Table8[Chapter List],FALSE)</f>
        <v>0</v>
      </c>
      <c r="D847" s="42"/>
      <c r="E847" s="43"/>
    </row>
    <row r="848" spans="1:5" x14ac:dyDescent="0.3">
      <c r="A848" s="42">
        <v>847</v>
      </c>
      <c r="B848" s="42"/>
      <c r="C848" s="42" t="b">
        <f>_xlfn.XLOOKUP(Table61011[[#This Row],[Category No]],Table8[Category No],Table8[Chapter List],FALSE)</f>
        <v>0</v>
      </c>
      <c r="D848" s="42"/>
      <c r="E848" s="43"/>
    </row>
    <row r="849" spans="1:5" x14ac:dyDescent="0.3">
      <c r="A849" s="42">
        <v>848</v>
      </c>
      <c r="B849" s="42"/>
      <c r="C849" s="42" t="b">
        <f>_xlfn.XLOOKUP(Table61011[[#This Row],[Category No]],Table8[Category No],Table8[Chapter List],FALSE)</f>
        <v>0</v>
      </c>
      <c r="D849" s="42"/>
      <c r="E849" s="43"/>
    </row>
    <row r="850" spans="1:5" x14ac:dyDescent="0.3">
      <c r="A850" s="42">
        <v>849</v>
      </c>
      <c r="B850" s="42"/>
      <c r="C850" s="42" t="b">
        <f>_xlfn.XLOOKUP(Table61011[[#This Row],[Category No]],Table8[Category No],Table8[Chapter List],FALSE)</f>
        <v>0</v>
      </c>
      <c r="D850" s="42"/>
      <c r="E850" s="43"/>
    </row>
    <row r="851" spans="1:5" x14ac:dyDescent="0.3">
      <c r="A851" s="42">
        <v>850</v>
      </c>
      <c r="B851" s="42"/>
      <c r="C851" s="42" t="b">
        <f>_xlfn.XLOOKUP(Table61011[[#This Row],[Category No]],Table8[Category No],Table8[Chapter List],FALSE)</f>
        <v>0</v>
      </c>
      <c r="D851" s="42"/>
      <c r="E851" s="43"/>
    </row>
    <row r="852" spans="1:5" x14ac:dyDescent="0.3">
      <c r="A852" s="42">
        <v>851</v>
      </c>
      <c r="B852" s="42"/>
      <c r="C852" s="42" t="b">
        <f>_xlfn.XLOOKUP(Table61011[[#This Row],[Category No]],Table8[Category No],Table8[Chapter List],FALSE)</f>
        <v>0</v>
      </c>
      <c r="D852" s="42"/>
      <c r="E852" s="43"/>
    </row>
    <row r="853" spans="1:5" x14ac:dyDescent="0.3">
      <c r="A853" s="42">
        <v>852</v>
      </c>
      <c r="B853" s="42"/>
      <c r="C853" s="42" t="b">
        <f>_xlfn.XLOOKUP(Table61011[[#This Row],[Category No]],Table8[Category No],Table8[Chapter List],FALSE)</f>
        <v>0</v>
      </c>
      <c r="D853" s="42"/>
      <c r="E853" s="43"/>
    </row>
    <row r="854" spans="1:5" x14ac:dyDescent="0.3">
      <c r="A854" s="42">
        <v>853</v>
      </c>
      <c r="B854" s="42"/>
      <c r="C854" s="42" t="b">
        <f>_xlfn.XLOOKUP(Table61011[[#This Row],[Category No]],Table8[Category No],Table8[Chapter List],FALSE)</f>
        <v>0</v>
      </c>
      <c r="D854" s="42"/>
      <c r="E854" s="43"/>
    </row>
    <row r="855" spans="1:5" x14ac:dyDescent="0.3">
      <c r="A855" s="42">
        <v>854</v>
      </c>
      <c r="B855" s="42"/>
      <c r="C855" s="42" t="b">
        <f>_xlfn.XLOOKUP(Table61011[[#This Row],[Category No]],Table8[Category No],Table8[Chapter List],FALSE)</f>
        <v>0</v>
      </c>
      <c r="D855" s="42"/>
      <c r="E855" s="43"/>
    </row>
    <row r="856" spans="1:5" x14ac:dyDescent="0.3">
      <c r="A856" s="42">
        <v>855</v>
      </c>
      <c r="B856" s="42"/>
      <c r="C856" s="42" t="b">
        <f>_xlfn.XLOOKUP(Table61011[[#This Row],[Category No]],Table8[Category No],Table8[Chapter List],FALSE)</f>
        <v>0</v>
      </c>
      <c r="D856" s="42"/>
      <c r="E856" s="43"/>
    </row>
    <row r="857" spans="1:5" x14ac:dyDescent="0.3">
      <c r="A857" s="42">
        <v>856</v>
      </c>
      <c r="B857" s="42"/>
      <c r="C857" s="42" t="b">
        <f>_xlfn.XLOOKUP(Table61011[[#This Row],[Category No]],Table8[Category No],Table8[Chapter List],FALSE)</f>
        <v>0</v>
      </c>
      <c r="D857" s="42"/>
      <c r="E857" s="43"/>
    </row>
    <row r="858" spans="1:5" x14ac:dyDescent="0.3">
      <c r="A858" s="42">
        <v>857</v>
      </c>
      <c r="B858" s="42"/>
      <c r="C858" s="42" t="b">
        <f>_xlfn.XLOOKUP(Table61011[[#This Row],[Category No]],Table8[Category No],Table8[Chapter List],FALSE)</f>
        <v>0</v>
      </c>
      <c r="D858" s="42"/>
      <c r="E858" s="43"/>
    </row>
    <row r="859" spans="1:5" x14ac:dyDescent="0.3">
      <c r="A859" s="42">
        <v>858</v>
      </c>
      <c r="B859" s="42"/>
      <c r="C859" s="42" t="b">
        <f>_xlfn.XLOOKUP(Table61011[[#This Row],[Category No]],Table8[Category No],Table8[Chapter List],FALSE)</f>
        <v>0</v>
      </c>
      <c r="D859" s="42"/>
      <c r="E859" s="43"/>
    </row>
    <row r="860" spans="1:5" x14ac:dyDescent="0.3">
      <c r="A860" s="42">
        <v>859</v>
      </c>
      <c r="B860" s="42"/>
      <c r="C860" s="42" t="b">
        <f>_xlfn.XLOOKUP(Table61011[[#This Row],[Category No]],Table8[Category No],Table8[Chapter List],FALSE)</f>
        <v>0</v>
      </c>
      <c r="D860" s="42"/>
      <c r="E860" s="43"/>
    </row>
    <row r="861" spans="1:5" x14ac:dyDescent="0.3">
      <c r="A861" s="42">
        <v>860</v>
      </c>
      <c r="B861" s="42"/>
      <c r="C861" s="42" t="b">
        <f>_xlfn.XLOOKUP(Table61011[[#This Row],[Category No]],Table8[Category No],Table8[Chapter List],FALSE)</f>
        <v>0</v>
      </c>
      <c r="D861" s="42"/>
      <c r="E861" s="43"/>
    </row>
    <row r="862" spans="1:5" x14ac:dyDescent="0.3">
      <c r="A862" s="42">
        <v>861</v>
      </c>
      <c r="B862" s="42"/>
      <c r="C862" s="42" t="b">
        <f>_xlfn.XLOOKUP(Table61011[[#This Row],[Category No]],Table8[Category No],Table8[Chapter List],FALSE)</f>
        <v>0</v>
      </c>
      <c r="D862" s="42"/>
      <c r="E862" s="43"/>
    </row>
    <row r="863" spans="1:5" x14ac:dyDescent="0.3">
      <c r="A863" s="42">
        <v>862</v>
      </c>
      <c r="B863" s="42"/>
      <c r="C863" s="42" t="b">
        <f>_xlfn.XLOOKUP(Table61011[[#This Row],[Category No]],Table8[Category No],Table8[Chapter List],FALSE)</f>
        <v>0</v>
      </c>
      <c r="D863" s="42"/>
      <c r="E863" s="43"/>
    </row>
    <row r="864" spans="1:5" x14ac:dyDescent="0.3">
      <c r="A864" s="42">
        <v>863</v>
      </c>
      <c r="B864" s="42"/>
      <c r="C864" s="42" t="b">
        <f>_xlfn.XLOOKUP(Table61011[[#This Row],[Category No]],Table8[Category No],Table8[Chapter List],FALSE)</f>
        <v>0</v>
      </c>
      <c r="D864" s="42"/>
      <c r="E864" s="43"/>
    </row>
    <row r="865" spans="1:5" x14ac:dyDescent="0.3">
      <c r="A865" s="42">
        <v>864</v>
      </c>
      <c r="B865" s="42"/>
      <c r="C865" s="42" t="b">
        <f>_xlfn.XLOOKUP(Table61011[[#This Row],[Category No]],Table8[Category No],Table8[Chapter List],FALSE)</f>
        <v>0</v>
      </c>
      <c r="D865" s="42"/>
      <c r="E865" s="43"/>
    </row>
    <row r="866" spans="1:5" x14ac:dyDescent="0.3">
      <c r="A866" s="42">
        <v>865</v>
      </c>
      <c r="B866" s="42"/>
      <c r="C866" s="42" t="b">
        <f>_xlfn.XLOOKUP(Table61011[[#This Row],[Category No]],Table8[Category No],Table8[Chapter List],FALSE)</f>
        <v>0</v>
      </c>
      <c r="D866" s="42"/>
      <c r="E866" s="43"/>
    </row>
    <row r="867" spans="1:5" x14ac:dyDescent="0.3">
      <c r="A867" s="42">
        <v>866</v>
      </c>
      <c r="B867" s="42"/>
      <c r="C867" s="42" t="b">
        <f>_xlfn.XLOOKUP(Table61011[[#This Row],[Category No]],Table8[Category No],Table8[Chapter List],FALSE)</f>
        <v>0</v>
      </c>
      <c r="D867" s="42"/>
      <c r="E867" s="43"/>
    </row>
    <row r="868" spans="1:5" x14ac:dyDescent="0.3">
      <c r="A868" s="42">
        <v>867</v>
      </c>
      <c r="B868" s="42"/>
      <c r="C868" s="42" t="b">
        <f>_xlfn.XLOOKUP(Table61011[[#This Row],[Category No]],Table8[Category No],Table8[Chapter List],FALSE)</f>
        <v>0</v>
      </c>
      <c r="D868" s="42"/>
      <c r="E868" s="43"/>
    </row>
    <row r="869" spans="1:5" x14ac:dyDescent="0.3">
      <c r="A869" s="42">
        <v>868</v>
      </c>
      <c r="B869" s="42"/>
      <c r="C869" s="42" t="b">
        <f>_xlfn.XLOOKUP(Table61011[[#This Row],[Category No]],Table8[Category No],Table8[Chapter List],FALSE)</f>
        <v>0</v>
      </c>
      <c r="D869" s="42"/>
      <c r="E869" s="43"/>
    </row>
    <row r="870" spans="1:5" x14ac:dyDescent="0.3">
      <c r="A870" s="42">
        <v>869</v>
      </c>
      <c r="B870" s="42"/>
      <c r="C870" s="42" t="b">
        <f>_xlfn.XLOOKUP(Table61011[[#This Row],[Category No]],Table8[Category No],Table8[Chapter List],FALSE)</f>
        <v>0</v>
      </c>
      <c r="D870" s="42"/>
      <c r="E870" s="43"/>
    </row>
    <row r="871" spans="1:5" x14ac:dyDescent="0.3">
      <c r="A871" s="42">
        <v>870</v>
      </c>
      <c r="B871" s="42"/>
      <c r="C871" s="42" t="b">
        <f>_xlfn.XLOOKUP(Table61011[[#This Row],[Category No]],Table8[Category No],Table8[Chapter List],FALSE)</f>
        <v>0</v>
      </c>
      <c r="D871" s="42"/>
      <c r="E871" s="43"/>
    </row>
    <row r="872" spans="1:5" x14ac:dyDescent="0.3">
      <c r="A872" s="42">
        <v>871</v>
      </c>
      <c r="B872" s="42"/>
      <c r="C872" s="42" t="b">
        <f>_xlfn.XLOOKUP(Table61011[[#This Row],[Category No]],Table8[Category No],Table8[Chapter List],FALSE)</f>
        <v>0</v>
      </c>
      <c r="D872" s="42"/>
      <c r="E872" s="43"/>
    </row>
    <row r="873" spans="1:5" x14ac:dyDescent="0.3">
      <c r="A873" s="42">
        <v>872</v>
      </c>
      <c r="B873" s="42"/>
      <c r="C873" s="42" t="b">
        <f>_xlfn.XLOOKUP(Table61011[[#This Row],[Category No]],Table8[Category No],Table8[Chapter List],FALSE)</f>
        <v>0</v>
      </c>
      <c r="D873" s="42"/>
      <c r="E873" s="43"/>
    </row>
    <row r="874" spans="1:5" x14ac:dyDescent="0.3">
      <c r="A874" s="42">
        <v>873</v>
      </c>
      <c r="B874" s="42"/>
      <c r="C874" s="42" t="b">
        <f>_xlfn.XLOOKUP(Table61011[[#This Row],[Category No]],Table8[Category No],Table8[Chapter List],FALSE)</f>
        <v>0</v>
      </c>
      <c r="D874" s="42"/>
      <c r="E874" s="43"/>
    </row>
    <row r="875" spans="1:5" x14ac:dyDescent="0.3">
      <c r="A875" s="42">
        <v>874</v>
      </c>
      <c r="B875" s="42"/>
      <c r="C875" s="42" t="b">
        <f>_xlfn.XLOOKUP(Table61011[[#This Row],[Category No]],Table8[Category No],Table8[Chapter List],FALSE)</f>
        <v>0</v>
      </c>
      <c r="D875" s="42"/>
      <c r="E875" s="43"/>
    </row>
    <row r="876" spans="1:5" x14ac:dyDescent="0.3">
      <c r="A876" s="42">
        <v>875</v>
      </c>
      <c r="B876" s="42"/>
      <c r="C876" s="42" t="b">
        <f>_xlfn.XLOOKUP(Table61011[[#This Row],[Category No]],Table8[Category No],Table8[Chapter List],FALSE)</f>
        <v>0</v>
      </c>
      <c r="D876" s="42"/>
      <c r="E876" s="43"/>
    </row>
    <row r="877" spans="1:5" x14ac:dyDescent="0.3">
      <c r="A877" s="42">
        <v>876</v>
      </c>
      <c r="B877" s="42"/>
      <c r="C877" s="42" t="b">
        <f>_xlfn.XLOOKUP(Table61011[[#This Row],[Category No]],Table8[Category No],Table8[Chapter List],FALSE)</f>
        <v>0</v>
      </c>
      <c r="D877" s="42"/>
      <c r="E877" s="43"/>
    </row>
    <row r="878" spans="1:5" x14ac:dyDescent="0.3">
      <c r="A878" s="42">
        <v>877</v>
      </c>
      <c r="B878" s="42"/>
      <c r="C878" s="42" t="b">
        <f>_xlfn.XLOOKUP(Table61011[[#This Row],[Category No]],Table8[Category No],Table8[Chapter List],FALSE)</f>
        <v>0</v>
      </c>
      <c r="D878" s="42"/>
      <c r="E878" s="43"/>
    </row>
    <row r="879" spans="1:5" x14ac:dyDescent="0.3">
      <c r="A879" s="42">
        <v>878</v>
      </c>
      <c r="B879" s="42"/>
      <c r="C879" s="42" t="b">
        <f>_xlfn.XLOOKUP(Table61011[[#This Row],[Category No]],Table8[Category No],Table8[Chapter List],FALSE)</f>
        <v>0</v>
      </c>
      <c r="D879" s="42"/>
      <c r="E879" s="43"/>
    </row>
    <row r="880" spans="1:5" x14ac:dyDescent="0.3">
      <c r="A880" s="42">
        <v>879</v>
      </c>
      <c r="B880" s="42"/>
      <c r="C880" s="42" t="b">
        <f>_xlfn.XLOOKUP(Table61011[[#This Row],[Category No]],Table8[Category No],Table8[Chapter List],FALSE)</f>
        <v>0</v>
      </c>
      <c r="D880" s="42"/>
      <c r="E880" s="43"/>
    </row>
    <row r="881" spans="1:5" x14ac:dyDescent="0.3">
      <c r="A881" s="42">
        <v>880</v>
      </c>
      <c r="B881" s="42"/>
      <c r="C881" s="42" t="b">
        <f>_xlfn.XLOOKUP(Table61011[[#This Row],[Category No]],Table8[Category No],Table8[Chapter List],FALSE)</f>
        <v>0</v>
      </c>
      <c r="D881" s="42"/>
      <c r="E881" s="43"/>
    </row>
    <row r="882" spans="1:5" x14ac:dyDescent="0.3">
      <c r="A882" s="42">
        <v>881</v>
      </c>
      <c r="B882" s="42"/>
      <c r="C882" s="42" t="b">
        <f>_xlfn.XLOOKUP(Table61011[[#This Row],[Category No]],Table8[Category No],Table8[Chapter List],FALSE)</f>
        <v>0</v>
      </c>
      <c r="D882" s="42"/>
      <c r="E882" s="43"/>
    </row>
    <row r="883" spans="1:5" x14ac:dyDescent="0.3">
      <c r="A883" s="42">
        <v>882</v>
      </c>
      <c r="B883" s="42"/>
      <c r="C883" s="42" t="b">
        <f>_xlfn.XLOOKUP(Table61011[[#This Row],[Category No]],Table8[Category No],Table8[Chapter List],FALSE)</f>
        <v>0</v>
      </c>
      <c r="D883" s="42"/>
      <c r="E883" s="43"/>
    </row>
    <row r="884" spans="1:5" x14ac:dyDescent="0.3">
      <c r="A884" s="42">
        <v>883</v>
      </c>
      <c r="B884" s="42"/>
      <c r="C884" s="42" t="b">
        <f>_xlfn.XLOOKUP(Table61011[[#This Row],[Category No]],Table8[Category No],Table8[Chapter List],FALSE)</f>
        <v>0</v>
      </c>
      <c r="D884" s="42"/>
      <c r="E884" s="43"/>
    </row>
    <row r="885" spans="1:5" x14ac:dyDescent="0.3">
      <c r="A885" s="42">
        <v>884</v>
      </c>
      <c r="B885" s="42"/>
      <c r="C885" s="42" t="b">
        <f>_xlfn.XLOOKUP(Table61011[[#This Row],[Category No]],Table8[Category No],Table8[Chapter List],FALSE)</f>
        <v>0</v>
      </c>
      <c r="D885" s="42"/>
      <c r="E885" s="43"/>
    </row>
    <row r="886" spans="1:5" x14ac:dyDescent="0.3">
      <c r="A886" s="42">
        <v>885</v>
      </c>
      <c r="B886" s="42"/>
      <c r="C886" s="42" t="b">
        <f>_xlfn.XLOOKUP(Table61011[[#This Row],[Category No]],Table8[Category No],Table8[Chapter List],FALSE)</f>
        <v>0</v>
      </c>
      <c r="D886" s="42"/>
      <c r="E886" s="43"/>
    </row>
    <row r="887" spans="1:5" x14ac:dyDescent="0.3">
      <c r="A887" s="42">
        <v>886</v>
      </c>
      <c r="B887" s="42"/>
      <c r="C887" s="42" t="b">
        <f>_xlfn.XLOOKUP(Table61011[[#This Row],[Category No]],Table8[Category No],Table8[Chapter List],FALSE)</f>
        <v>0</v>
      </c>
      <c r="D887" s="42"/>
      <c r="E887" s="43"/>
    </row>
    <row r="888" spans="1:5" x14ac:dyDescent="0.3">
      <c r="A888" s="42">
        <v>887</v>
      </c>
      <c r="B888" s="42"/>
      <c r="C888" s="42" t="b">
        <f>_xlfn.XLOOKUP(Table61011[[#This Row],[Category No]],Table8[Category No],Table8[Chapter List],FALSE)</f>
        <v>0</v>
      </c>
      <c r="D888" s="42"/>
      <c r="E888" s="43"/>
    </row>
    <row r="889" spans="1:5" x14ac:dyDescent="0.3">
      <c r="A889" s="42">
        <v>888</v>
      </c>
      <c r="B889" s="42"/>
      <c r="C889" s="42" t="b">
        <f>_xlfn.XLOOKUP(Table61011[[#This Row],[Category No]],Table8[Category No],Table8[Chapter List],FALSE)</f>
        <v>0</v>
      </c>
      <c r="D889" s="42"/>
      <c r="E889" s="43"/>
    </row>
    <row r="890" spans="1:5" x14ac:dyDescent="0.3">
      <c r="A890" s="42">
        <v>889</v>
      </c>
      <c r="B890" s="42"/>
      <c r="C890" s="42" t="b">
        <f>_xlfn.XLOOKUP(Table61011[[#This Row],[Category No]],Table8[Category No],Table8[Chapter List],FALSE)</f>
        <v>0</v>
      </c>
      <c r="D890" s="42"/>
      <c r="E890" s="43"/>
    </row>
    <row r="891" spans="1:5" x14ac:dyDescent="0.3">
      <c r="A891" s="42">
        <v>890</v>
      </c>
      <c r="B891" s="42"/>
      <c r="C891" s="42" t="b">
        <f>_xlfn.XLOOKUP(Table61011[[#This Row],[Category No]],Table8[Category No],Table8[Chapter List],FALSE)</f>
        <v>0</v>
      </c>
      <c r="D891" s="42"/>
      <c r="E891" s="43"/>
    </row>
    <row r="892" spans="1:5" x14ac:dyDescent="0.3">
      <c r="A892" s="42">
        <v>891</v>
      </c>
      <c r="B892" s="42"/>
      <c r="C892" s="42" t="b">
        <f>_xlfn.XLOOKUP(Table61011[[#This Row],[Category No]],Table8[Category No],Table8[Chapter List],FALSE)</f>
        <v>0</v>
      </c>
      <c r="D892" s="42"/>
      <c r="E892" s="43"/>
    </row>
    <row r="893" spans="1:5" x14ac:dyDescent="0.3">
      <c r="A893" s="42">
        <v>892</v>
      </c>
      <c r="B893" s="42"/>
      <c r="C893" s="42" t="b">
        <f>_xlfn.XLOOKUP(Table61011[[#This Row],[Category No]],Table8[Category No],Table8[Chapter List],FALSE)</f>
        <v>0</v>
      </c>
      <c r="D893" s="42"/>
      <c r="E893" s="43"/>
    </row>
    <row r="894" spans="1:5" x14ac:dyDescent="0.3">
      <c r="A894" s="42">
        <v>893</v>
      </c>
      <c r="B894" s="42"/>
      <c r="C894" s="42" t="b">
        <f>_xlfn.XLOOKUP(Table61011[[#This Row],[Category No]],Table8[Category No],Table8[Chapter List],FALSE)</f>
        <v>0</v>
      </c>
      <c r="D894" s="42"/>
      <c r="E894" s="43"/>
    </row>
    <row r="895" spans="1:5" x14ac:dyDescent="0.3">
      <c r="A895" s="42">
        <v>894</v>
      </c>
      <c r="B895" s="42"/>
      <c r="C895" s="42" t="b">
        <f>_xlfn.XLOOKUP(Table61011[[#This Row],[Category No]],Table8[Category No],Table8[Chapter List],FALSE)</f>
        <v>0</v>
      </c>
      <c r="D895" s="42"/>
      <c r="E895" s="43"/>
    </row>
    <row r="896" spans="1:5" x14ac:dyDescent="0.3">
      <c r="A896" s="42">
        <v>895</v>
      </c>
      <c r="B896" s="42"/>
      <c r="C896" s="42" t="b">
        <f>_xlfn.XLOOKUP(Table61011[[#This Row],[Category No]],Table8[Category No],Table8[Chapter List],FALSE)</f>
        <v>0</v>
      </c>
      <c r="D896" s="42"/>
      <c r="E896" s="43"/>
    </row>
    <row r="897" spans="1:5" x14ac:dyDescent="0.3">
      <c r="A897" s="42">
        <v>896</v>
      </c>
      <c r="B897" s="42"/>
      <c r="C897" s="42" t="b">
        <f>_xlfn.XLOOKUP(Table61011[[#This Row],[Category No]],Table8[Category No],Table8[Chapter List],FALSE)</f>
        <v>0</v>
      </c>
      <c r="D897" s="42"/>
      <c r="E897" s="43"/>
    </row>
    <row r="898" spans="1:5" x14ac:dyDescent="0.3">
      <c r="A898" s="42">
        <v>897</v>
      </c>
      <c r="B898" s="42"/>
      <c r="C898" s="42" t="b">
        <f>_xlfn.XLOOKUP(Table61011[[#This Row],[Category No]],Table8[Category No],Table8[Chapter List],FALSE)</f>
        <v>0</v>
      </c>
      <c r="D898" s="42"/>
      <c r="E898" s="43"/>
    </row>
    <row r="899" spans="1:5" x14ac:dyDescent="0.3">
      <c r="A899" s="42">
        <v>898</v>
      </c>
      <c r="B899" s="42"/>
      <c r="C899" s="42" t="b">
        <f>_xlfn.XLOOKUP(Table61011[[#This Row],[Category No]],Table8[Category No],Table8[Chapter List],FALSE)</f>
        <v>0</v>
      </c>
      <c r="D899" s="42"/>
      <c r="E899" s="43"/>
    </row>
    <row r="900" spans="1:5" x14ac:dyDescent="0.3">
      <c r="A900" s="42">
        <v>899</v>
      </c>
      <c r="B900" s="42"/>
      <c r="C900" s="42" t="b">
        <f>_xlfn.XLOOKUP(Table61011[[#This Row],[Category No]],Table8[Category No],Table8[Chapter List],FALSE)</f>
        <v>0</v>
      </c>
      <c r="D900" s="42"/>
      <c r="E900" s="43"/>
    </row>
    <row r="901" spans="1:5" x14ac:dyDescent="0.3">
      <c r="A901" s="42">
        <v>900</v>
      </c>
      <c r="B901" s="42"/>
      <c r="C901" s="42" t="b">
        <f>_xlfn.XLOOKUP(Table61011[[#This Row],[Category No]],Table8[Category No],Table8[Chapter List],FALSE)</f>
        <v>0</v>
      </c>
      <c r="D901" s="42"/>
      <c r="E901" s="43"/>
    </row>
    <row r="902" spans="1:5" x14ac:dyDescent="0.3">
      <c r="A902" s="42">
        <v>901</v>
      </c>
      <c r="B902" s="42"/>
      <c r="C902" s="42" t="b">
        <f>_xlfn.XLOOKUP(Table61011[[#This Row],[Category No]],Table8[Category No],Table8[Chapter List],FALSE)</f>
        <v>0</v>
      </c>
      <c r="D902" s="42"/>
      <c r="E902" s="43"/>
    </row>
    <row r="903" spans="1:5" x14ac:dyDescent="0.3">
      <c r="A903" s="42">
        <v>902</v>
      </c>
      <c r="B903" s="42"/>
      <c r="C903" s="42" t="b">
        <f>_xlfn.XLOOKUP(Table61011[[#This Row],[Category No]],Table8[Category No],Table8[Chapter List],FALSE)</f>
        <v>0</v>
      </c>
      <c r="D903" s="42"/>
      <c r="E903" s="43"/>
    </row>
    <row r="904" spans="1:5" x14ac:dyDescent="0.3">
      <c r="A904" s="42">
        <v>903</v>
      </c>
      <c r="B904" s="42"/>
      <c r="C904" s="42" t="b">
        <f>_xlfn.XLOOKUP(Table61011[[#This Row],[Category No]],Table8[Category No],Table8[Chapter List],FALSE)</f>
        <v>0</v>
      </c>
      <c r="D904" s="42"/>
      <c r="E904" s="43"/>
    </row>
    <row r="905" spans="1:5" x14ac:dyDescent="0.3">
      <c r="A905" s="42">
        <v>904</v>
      </c>
      <c r="B905" s="42"/>
      <c r="C905" s="42" t="b">
        <f>_xlfn.XLOOKUP(Table61011[[#This Row],[Category No]],Table8[Category No],Table8[Chapter List],FALSE)</f>
        <v>0</v>
      </c>
      <c r="D905" s="42"/>
      <c r="E905" s="43"/>
    </row>
    <row r="906" spans="1:5" x14ac:dyDescent="0.3">
      <c r="A906" s="42">
        <v>905</v>
      </c>
      <c r="B906" s="42"/>
      <c r="C906" s="42" t="b">
        <f>_xlfn.XLOOKUP(Table61011[[#This Row],[Category No]],Table8[Category No],Table8[Chapter List],FALSE)</f>
        <v>0</v>
      </c>
      <c r="D906" s="42"/>
      <c r="E906" s="43"/>
    </row>
    <row r="907" spans="1:5" x14ac:dyDescent="0.3">
      <c r="A907" s="42">
        <v>906</v>
      </c>
      <c r="B907" s="42"/>
      <c r="C907" s="42" t="b">
        <f>_xlfn.XLOOKUP(Table61011[[#This Row],[Category No]],Table8[Category No],Table8[Chapter List],FALSE)</f>
        <v>0</v>
      </c>
      <c r="D907" s="42"/>
      <c r="E907" s="43"/>
    </row>
    <row r="908" spans="1:5" x14ac:dyDescent="0.3">
      <c r="A908" s="42">
        <v>907</v>
      </c>
      <c r="B908" s="42"/>
      <c r="C908" s="42" t="b">
        <f>_xlfn.XLOOKUP(Table61011[[#This Row],[Category No]],Table8[Category No],Table8[Chapter List],FALSE)</f>
        <v>0</v>
      </c>
      <c r="D908" s="42"/>
      <c r="E908" s="43"/>
    </row>
    <row r="909" spans="1:5" x14ac:dyDescent="0.3">
      <c r="A909" s="42">
        <v>908</v>
      </c>
      <c r="B909" s="42"/>
      <c r="C909" s="42" t="b">
        <f>_xlfn.XLOOKUP(Table61011[[#This Row],[Category No]],Table8[Category No],Table8[Chapter List],FALSE)</f>
        <v>0</v>
      </c>
      <c r="D909" s="42"/>
      <c r="E909" s="43"/>
    </row>
    <row r="910" spans="1:5" x14ac:dyDescent="0.3">
      <c r="A910" s="42">
        <v>909</v>
      </c>
      <c r="B910" s="42"/>
      <c r="C910" s="42" t="b">
        <f>_xlfn.XLOOKUP(Table61011[[#This Row],[Category No]],Table8[Category No],Table8[Chapter List],FALSE)</f>
        <v>0</v>
      </c>
      <c r="D910" s="42"/>
      <c r="E910" s="43"/>
    </row>
    <row r="911" spans="1:5" x14ac:dyDescent="0.3">
      <c r="A911" s="42">
        <v>910</v>
      </c>
      <c r="B911" s="42"/>
      <c r="C911" s="42" t="b">
        <f>_xlfn.XLOOKUP(Table61011[[#This Row],[Category No]],Table8[Category No],Table8[Chapter List],FALSE)</f>
        <v>0</v>
      </c>
      <c r="D911" s="42"/>
      <c r="E911" s="43"/>
    </row>
    <row r="912" spans="1:5" x14ac:dyDescent="0.3">
      <c r="A912" s="42">
        <v>911</v>
      </c>
      <c r="B912" s="42"/>
      <c r="C912" s="42" t="b">
        <f>_xlfn.XLOOKUP(Table61011[[#This Row],[Category No]],Table8[Category No],Table8[Chapter List],FALSE)</f>
        <v>0</v>
      </c>
      <c r="D912" s="42"/>
      <c r="E912" s="43"/>
    </row>
    <row r="913" spans="1:5" x14ac:dyDescent="0.3">
      <c r="A913" s="42">
        <v>912</v>
      </c>
      <c r="B913" s="42"/>
      <c r="C913" s="42" t="b">
        <f>_xlfn.XLOOKUP(Table61011[[#This Row],[Category No]],Table8[Category No],Table8[Chapter List],FALSE)</f>
        <v>0</v>
      </c>
      <c r="D913" s="42"/>
      <c r="E913" s="43"/>
    </row>
    <row r="914" spans="1:5" x14ac:dyDescent="0.3">
      <c r="A914" s="42">
        <v>913</v>
      </c>
      <c r="B914" s="42"/>
      <c r="C914" s="42" t="b">
        <f>_xlfn.XLOOKUP(Table61011[[#This Row],[Category No]],Table8[Category No],Table8[Chapter List],FALSE)</f>
        <v>0</v>
      </c>
      <c r="D914" s="42"/>
      <c r="E914" s="43"/>
    </row>
    <row r="915" spans="1:5" x14ac:dyDescent="0.3">
      <c r="A915" s="42">
        <v>914</v>
      </c>
      <c r="B915" s="42"/>
      <c r="C915" s="42" t="b">
        <f>_xlfn.XLOOKUP(Table61011[[#This Row],[Category No]],Table8[Category No],Table8[Chapter List],FALSE)</f>
        <v>0</v>
      </c>
      <c r="D915" s="42"/>
      <c r="E915" s="43"/>
    </row>
    <row r="916" spans="1:5" x14ac:dyDescent="0.3">
      <c r="A916" s="42">
        <v>915</v>
      </c>
      <c r="B916" s="42"/>
      <c r="C916" s="42" t="b">
        <f>_xlfn.XLOOKUP(Table61011[[#This Row],[Category No]],Table8[Category No],Table8[Chapter List],FALSE)</f>
        <v>0</v>
      </c>
      <c r="D916" s="42"/>
      <c r="E916" s="43"/>
    </row>
    <row r="917" spans="1:5" x14ac:dyDescent="0.3">
      <c r="A917" s="42">
        <v>916</v>
      </c>
      <c r="B917" s="42"/>
      <c r="C917" s="42" t="b">
        <f>_xlfn.XLOOKUP(Table61011[[#This Row],[Category No]],Table8[Category No],Table8[Chapter List],FALSE)</f>
        <v>0</v>
      </c>
      <c r="D917" s="42"/>
      <c r="E917" s="43"/>
    </row>
    <row r="918" spans="1:5" x14ac:dyDescent="0.3">
      <c r="A918" s="42">
        <v>917</v>
      </c>
      <c r="B918" s="42"/>
      <c r="C918" s="42" t="b">
        <f>_xlfn.XLOOKUP(Table61011[[#This Row],[Category No]],Table8[Category No],Table8[Chapter List],FALSE)</f>
        <v>0</v>
      </c>
      <c r="D918" s="42"/>
      <c r="E918" s="43"/>
    </row>
    <row r="919" spans="1:5" x14ac:dyDescent="0.3">
      <c r="A919" s="42">
        <v>918</v>
      </c>
      <c r="B919" s="42"/>
      <c r="C919" s="42" t="b">
        <f>_xlfn.XLOOKUP(Table61011[[#This Row],[Category No]],Table8[Category No],Table8[Chapter List],FALSE)</f>
        <v>0</v>
      </c>
      <c r="D919" s="42"/>
      <c r="E919" s="43"/>
    </row>
    <row r="920" spans="1:5" x14ac:dyDescent="0.3">
      <c r="A920" s="42">
        <v>919</v>
      </c>
      <c r="B920" s="42"/>
      <c r="C920" s="42" t="b">
        <f>_xlfn.XLOOKUP(Table61011[[#This Row],[Category No]],Table8[Category No],Table8[Chapter List],FALSE)</f>
        <v>0</v>
      </c>
      <c r="D920" s="42"/>
      <c r="E920" s="43"/>
    </row>
    <row r="921" spans="1:5" x14ac:dyDescent="0.3">
      <c r="A921" s="42">
        <v>920</v>
      </c>
      <c r="B921" s="42"/>
      <c r="C921" s="42" t="b">
        <f>_xlfn.XLOOKUP(Table61011[[#This Row],[Category No]],Table8[Category No],Table8[Chapter List],FALSE)</f>
        <v>0</v>
      </c>
      <c r="D921" s="42"/>
      <c r="E921" s="43"/>
    </row>
    <row r="922" spans="1:5" x14ac:dyDescent="0.3">
      <c r="A922" s="42">
        <v>921</v>
      </c>
      <c r="B922" s="42"/>
      <c r="C922" s="42" t="b">
        <f>_xlfn.XLOOKUP(Table61011[[#This Row],[Category No]],Table8[Category No],Table8[Chapter List],FALSE)</f>
        <v>0</v>
      </c>
      <c r="D922" s="42"/>
      <c r="E922" s="43"/>
    </row>
    <row r="923" spans="1:5" x14ac:dyDescent="0.3">
      <c r="A923" s="42">
        <v>922</v>
      </c>
      <c r="B923" s="42"/>
      <c r="C923" s="42" t="b">
        <f>_xlfn.XLOOKUP(Table61011[[#This Row],[Category No]],Table8[Category No],Table8[Chapter List],FALSE)</f>
        <v>0</v>
      </c>
      <c r="D923" s="42"/>
      <c r="E923" s="43"/>
    </row>
    <row r="924" spans="1:5" x14ac:dyDescent="0.3">
      <c r="A924" s="42">
        <v>923</v>
      </c>
      <c r="B924" s="42"/>
      <c r="C924" s="42" t="b">
        <f>_xlfn.XLOOKUP(Table61011[[#This Row],[Category No]],Table8[Category No],Table8[Chapter List],FALSE)</f>
        <v>0</v>
      </c>
      <c r="D924" s="42"/>
      <c r="E924" s="43"/>
    </row>
    <row r="925" spans="1:5" x14ac:dyDescent="0.3">
      <c r="A925" s="42">
        <v>924</v>
      </c>
      <c r="B925" s="42"/>
      <c r="C925" s="42" t="b">
        <f>_xlfn.XLOOKUP(Table61011[[#This Row],[Category No]],Table8[Category No],Table8[Chapter List],FALSE)</f>
        <v>0</v>
      </c>
      <c r="D925" s="42"/>
      <c r="E925" s="43"/>
    </row>
    <row r="926" spans="1:5" x14ac:dyDescent="0.3">
      <c r="A926" s="42">
        <v>925</v>
      </c>
      <c r="B926" s="42"/>
      <c r="C926" s="42" t="b">
        <f>_xlfn.XLOOKUP(Table61011[[#This Row],[Category No]],Table8[Category No],Table8[Chapter List],FALSE)</f>
        <v>0</v>
      </c>
      <c r="D926" s="42"/>
      <c r="E926" s="43"/>
    </row>
    <row r="927" spans="1:5" x14ac:dyDescent="0.3">
      <c r="A927" s="42">
        <v>926</v>
      </c>
      <c r="B927" s="42"/>
      <c r="C927" s="42" t="b">
        <f>_xlfn.XLOOKUP(Table61011[[#This Row],[Category No]],Table8[Category No],Table8[Chapter List],FALSE)</f>
        <v>0</v>
      </c>
      <c r="D927" s="42"/>
      <c r="E927" s="43"/>
    </row>
    <row r="928" spans="1:5" x14ac:dyDescent="0.3">
      <c r="A928" s="42">
        <v>927</v>
      </c>
      <c r="B928" s="42"/>
      <c r="C928" s="42" t="b">
        <f>_xlfn.XLOOKUP(Table61011[[#This Row],[Category No]],Table8[Category No],Table8[Chapter List],FALSE)</f>
        <v>0</v>
      </c>
      <c r="D928" s="42"/>
      <c r="E928" s="43"/>
    </row>
    <row r="929" spans="1:5" x14ac:dyDescent="0.3">
      <c r="A929" s="42">
        <v>928</v>
      </c>
      <c r="B929" s="42"/>
      <c r="C929" s="42" t="b">
        <f>_xlfn.XLOOKUP(Table61011[[#This Row],[Category No]],Table8[Category No],Table8[Chapter List],FALSE)</f>
        <v>0</v>
      </c>
      <c r="D929" s="42"/>
      <c r="E929" s="43"/>
    </row>
    <row r="930" spans="1:5" x14ac:dyDescent="0.3">
      <c r="A930" s="42">
        <v>929</v>
      </c>
      <c r="B930" s="42"/>
      <c r="C930" s="42" t="b">
        <f>_xlfn.XLOOKUP(Table61011[[#This Row],[Category No]],Table8[Category No],Table8[Chapter List],FALSE)</f>
        <v>0</v>
      </c>
      <c r="D930" s="42"/>
      <c r="E930" s="43"/>
    </row>
    <row r="931" spans="1:5" x14ac:dyDescent="0.3">
      <c r="A931" s="42">
        <v>930</v>
      </c>
      <c r="B931" s="42"/>
      <c r="C931" s="42" t="b">
        <f>_xlfn.XLOOKUP(Table61011[[#This Row],[Category No]],Table8[Category No],Table8[Chapter List],FALSE)</f>
        <v>0</v>
      </c>
      <c r="D931" s="42"/>
      <c r="E931" s="43"/>
    </row>
    <row r="932" spans="1:5" x14ac:dyDescent="0.3">
      <c r="A932" s="42">
        <v>931</v>
      </c>
      <c r="B932" s="42"/>
      <c r="C932" s="42" t="b">
        <f>_xlfn.XLOOKUP(Table61011[[#This Row],[Category No]],Table8[Category No],Table8[Chapter List],FALSE)</f>
        <v>0</v>
      </c>
      <c r="D932" s="42"/>
      <c r="E932" s="43"/>
    </row>
    <row r="933" spans="1:5" x14ac:dyDescent="0.3">
      <c r="A933" s="42">
        <v>932</v>
      </c>
      <c r="B933" s="42"/>
      <c r="C933" s="42" t="b">
        <f>_xlfn.XLOOKUP(Table61011[[#This Row],[Category No]],Table8[Category No],Table8[Chapter List],FALSE)</f>
        <v>0</v>
      </c>
      <c r="D933" s="42"/>
      <c r="E933" s="43"/>
    </row>
    <row r="934" spans="1:5" x14ac:dyDescent="0.3">
      <c r="A934" s="42">
        <v>933</v>
      </c>
      <c r="B934" s="42"/>
      <c r="C934" s="42" t="b">
        <f>_xlfn.XLOOKUP(Table61011[[#This Row],[Category No]],Table8[Category No],Table8[Chapter List],FALSE)</f>
        <v>0</v>
      </c>
      <c r="D934" s="42"/>
      <c r="E934" s="43"/>
    </row>
    <row r="935" spans="1:5" x14ac:dyDescent="0.3">
      <c r="A935" s="42">
        <v>934</v>
      </c>
      <c r="B935" s="42"/>
      <c r="C935" s="42" t="b">
        <f>_xlfn.XLOOKUP(Table61011[[#This Row],[Category No]],Table8[Category No],Table8[Chapter List],FALSE)</f>
        <v>0</v>
      </c>
      <c r="D935" s="42"/>
      <c r="E935" s="43"/>
    </row>
    <row r="936" spans="1:5" x14ac:dyDescent="0.3">
      <c r="A936" s="42">
        <v>935</v>
      </c>
      <c r="B936" s="42"/>
      <c r="C936" s="42" t="b">
        <f>_xlfn.XLOOKUP(Table61011[[#This Row],[Category No]],Table8[Category No],Table8[Chapter List],FALSE)</f>
        <v>0</v>
      </c>
      <c r="D936" s="42"/>
      <c r="E936" s="43"/>
    </row>
    <row r="937" spans="1:5" x14ac:dyDescent="0.3">
      <c r="A937" s="42">
        <v>936</v>
      </c>
      <c r="B937" s="42"/>
      <c r="C937" s="42" t="b">
        <f>_xlfn.XLOOKUP(Table61011[[#This Row],[Category No]],Table8[Category No],Table8[Chapter List],FALSE)</f>
        <v>0</v>
      </c>
      <c r="D937" s="42"/>
      <c r="E937" s="43"/>
    </row>
    <row r="938" spans="1:5" x14ac:dyDescent="0.3">
      <c r="A938" s="42">
        <v>937</v>
      </c>
      <c r="B938" s="42"/>
      <c r="C938" s="42" t="b">
        <f>_xlfn.XLOOKUP(Table61011[[#This Row],[Category No]],Table8[Category No],Table8[Chapter List],FALSE)</f>
        <v>0</v>
      </c>
      <c r="D938" s="42"/>
      <c r="E938" s="43"/>
    </row>
    <row r="939" spans="1:5" x14ac:dyDescent="0.3">
      <c r="A939" s="42">
        <v>938</v>
      </c>
      <c r="B939" s="42"/>
      <c r="C939" s="42" t="b">
        <f>_xlfn.XLOOKUP(Table61011[[#This Row],[Category No]],Table8[Category No],Table8[Chapter List],FALSE)</f>
        <v>0</v>
      </c>
      <c r="D939" s="42"/>
      <c r="E939" s="43"/>
    </row>
    <row r="940" spans="1:5" x14ac:dyDescent="0.3">
      <c r="A940" s="42">
        <v>939</v>
      </c>
      <c r="B940" s="42"/>
      <c r="C940" s="42" t="b">
        <f>_xlfn.XLOOKUP(Table61011[[#This Row],[Category No]],Table8[Category No],Table8[Chapter List],FALSE)</f>
        <v>0</v>
      </c>
      <c r="D940" s="42"/>
      <c r="E940" s="43"/>
    </row>
    <row r="941" spans="1:5" x14ac:dyDescent="0.3">
      <c r="A941" s="42">
        <v>940</v>
      </c>
      <c r="B941" s="42"/>
      <c r="C941" s="42" t="b">
        <f>_xlfn.XLOOKUP(Table61011[[#This Row],[Category No]],Table8[Category No],Table8[Chapter List],FALSE)</f>
        <v>0</v>
      </c>
      <c r="D941" s="42"/>
      <c r="E941" s="43"/>
    </row>
    <row r="942" spans="1:5" x14ac:dyDescent="0.3">
      <c r="A942" s="42">
        <v>941</v>
      </c>
      <c r="B942" s="42"/>
      <c r="C942" s="42" t="b">
        <f>_xlfn.XLOOKUP(Table61011[[#This Row],[Category No]],Table8[Category No],Table8[Chapter List],FALSE)</f>
        <v>0</v>
      </c>
      <c r="D942" s="42"/>
      <c r="E942" s="43"/>
    </row>
    <row r="943" spans="1:5" x14ac:dyDescent="0.3">
      <c r="A943" s="42">
        <v>942</v>
      </c>
      <c r="B943" s="42"/>
      <c r="C943" s="42" t="b">
        <f>_xlfn.XLOOKUP(Table61011[[#This Row],[Category No]],Table8[Category No],Table8[Chapter List],FALSE)</f>
        <v>0</v>
      </c>
      <c r="D943" s="42"/>
      <c r="E943" s="43"/>
    </row>
    <row r="944" spans="1:5" x14ac:dyDescent="0.3">
      <c r="A944" s="42">
        <v>943</v>
      </c>
      <c r="B944" s="42"/>
      <c r="C944" s="42" t="b">
        <f>_xlfn.XLOOKUP(Table61011[[#This Row],[Category No]],Table8[Category No],Table8[Chapter List],FALSE)</f>
        <v>0</v>
      </c>
      <c r="D944" s="42"/>
      <c r="E944" s="43"/>
    </row>
    <row r="945" spans="1:5" x14ac:dyDescent="0.3">
      <c r="A945" s="42">
        <v>944</v>
      </c>
      <c r="B945" s="42"/>
      <c r="C945" s="42" t="b">
        <f>_xlfn.XLOOKUP(Table61011[[#This Row],[Category No]],Table8[Category No],Table8[Chapter List],FALSE)</f>
        <v>0</v>
      </c>
      <c r="D945" s="42"/>
      <c r="E945" s="43"/>
    </row>
    <row r="946" spans="1:5" x14ac:dyDescent="0.3">
      <c r="A946" s="42">
        <v>945</v>
      </c>
      <c r="B946" s="42"/>
      <c r="C946" s="42" t="b">
        <f>_xlfn.XLOOKUP(Table61011[[#This Row],[Category No]],Table8[Category No],Table8[Chapter List],FALSE)</f>
        <v>0</v>
      </c>
      <c r="D946" s="42"/>
      <c r="E946" s="43"/>
    </row>
    <row r="947" spans="1:5" x14ac:dyDescent="0.3">
      <c r="A947" s="42">
        <v>946</v>
      </c>
      <c r="B947" s="42"/>
      <c r="C947" s="42" t="b">
        <f>_xlfn.XLOOKUP(Table61011[[#This Row],[Category No]],Table8[Category No],Table8[Chapter List],FALSE)</f>
        <v>0</v>
      </c>
      <c r="D947" s="42"/>
      <c r="E947" s="43"/>
    </row>
    <row r="948" spans="1:5" x14ac:dyDescent="0.3">
      <c r="A948" s="42">
        <v>947</v>
      </c>
      <c r="B948" s="42"/>
      <c r="C948" s="42" t="b">
        <f>_xlfn.XLOOKUP(Table61011[[#This Row],[Category No]],Table8[Category No],Table8[Chapter List],FALSE)</f>
        <v>0</v>
      </c>
      <c r="D948" s="42"/>
      <c r="E948" s="43"/>
    </row>
    <row r="949" spans="1:5" x14ac:dyDescent="0.3">
      <c r="A949" s="42">
        <v>948</v>
      </c>
      <c r="B949" s="42"/>
      <c r="C949" s="42" t="b">
        <f>_xlfn.XLOOKUP(Table61011[[#This Row],[Category No]],Table8[Category No],Table8[Chapter List],FALSE)</f>
        <v>0</v>
      </c>
      <c r="D949" s="42"/>
      <c r="E949" s="43"/>
    </row>
    <row r="950" spans="1:5" x14ac:dyDescent="0.3">
      <c r="A950" s="42">
        <v>949</v>
      </c>
      <c r="B950" s="42"/>
      <c r="C950" s="42" t="b">
        <f>_xlfn.XLOOKUP(Table61011[[#This Row],[Category No]],Table8[Category No],Table8[Chapter List],FALSE)</f>
        <v>0</v>
      </c>
      <c r="D950" s="42"/>
      <c r="E950" s="43"/>
    </row>
    <row r="951" spans="1:5" x14ac:dyDescent="0.3">
      <c r="A951" s="42">
        <v>950</v>
      </c>
      <c r="B951" s="42"/>
      <c r="C951" s="42" t="b">
        <f>_xlfn.XLOOKUP(Table61011[[#This Row],[Category No]],Table8[Category No],Table8[Chapter List],FALSE)</f>
        <v>0</v>
      </c>
      <c r="D951" s="42"/>
      <c r="E951" s="43"/>
    </row>
    <row r="952" spans="1:5" x14ac:dyDescent="0.3">
      <c r="A952" s="42">
        <v>951</v>
      </c>
      <c r="B952" s="42"/>
      <c r="C952" s="42" t="b">
        <f>_xlfn.XLOOKUP(Table61011[[#This Row],[Category No]],Table8[Category No],Table8[Chapter List],FALSE)</f>
        <v>0</v>
      </c>
      <c r="D952" s="42"/>
      <c r="E952" s="43"/>
    </row>
    <row r="953" spans="1:5" x14ac:dyDescent="0.3">
      <c r="A953" s="42">
        <v>952</v>
      </c>
      <c r="B953" s="42"/>
      <c r="C953" s="42" t="b">
        <f>_xlfn.XLOOKUP(Table61011[[#This Row],[Category No]],Table8[Category No],Table8[Chapter List],FALSE)</f>
        <v>0</v>
      </c>
      <c r="D953" s="42"/>
      <c r="E953" s="43"/>
    </row>
    <row r="954" spans="1:5" x14ac:dyDescent="0.3">
      <c r="A954" s="42">
        <v>953</v>
      </c>
      <c r="B954" s="42"/>
      <c r="C954" s="42" t="b">
        <f>_xlfn.XLOOKUP(Table61011[[#This Row],[Category No]],Table8[Category No],Table8[Chapter List],FALSE)</f>
        <v>0</v>
      </c>
      <c r="D954" s="42"/>
      <c r="E954" s="43"/>
    </row>
    <row r="955" spans="1:5" x14ac:dyDescent="0.3">
      <c r="A955" s="42">
        <v>954</v>
      </c>
      <c r="B955" s="42"/>
      <c r="C955" s="42" t="b">
        <f>_xlfn.XLOOKUP(Table61011[[#This Row],[Category No]],Table8[Category No],Table8[Chapter List],FALSE)</f>
        <v>0</v>
      </c>
      <c r="D955" s="42"/>
      <c r="E955" s="43"/>
    </row>
    <row r="956" spans="1:5" x14ac:dyDescent="0.3">
      <c r="A956" s="42">
        <v>955</v>
      </c>
      <c r="B956" s="42"/>
      <c r="C956" s="42" t="b">
        <f>_xlfn.XLOOKUP(Table61011[[#This Row],[Category No]],Table8[Category No],Table8[Chapter List],FALSE)</f>
        <v>0</v>
      </c>
      <c r="D956" s="42"/>
      <c r="E956" s="43"/>
    </row>
    <row r="957" spans="1:5" x14ac:dyDescent="0.3">
      <c r="A957" s="42">
        <v>956</v>
      </c>
      <c r="B957" s="42"/>
      <c r="C957" s="42" t="b">
        <f>_xlfn.XLOOKUP(Table61011[[#This Row],[Category No]],Table8[Category No],Table8[Chapter List],FALSE)</f>
        <v>0</v>
      </c>
      <c r="D957" s="42"/>
      <c r="E957" s="43"/>
    </row>
    <row r="958" spans="1:5" x14ac:dyDescent="0.3">
      <c r="A958" s="42">
        <v>957</v>
      </c>
      <c r="B958" s="42"/>
      <c r="C958" s="42" t="b">
        <f>_xlfn.XLOOKUP(Table61011[[#This Row],[Category No]],Table8[Category No],Table8[Chapter List],FALSE)</f>
        <v>0</v>
      </c>
      <c r="D958" s="42"/>
      <c r="E958" s="43"/>
    </row>
    <row r="959" spans="1:5" x14ac:dyDescent="0.3">
      <c r="A959" s="42">
        <v>958</v>
      </c>
      <c r="B959" s="42"/>
      <c r="C959" s="42" t="b">
        <f>_xlfn.XLOOKUP(Table61011[[#This Row],[Category No]],Table8[Category No],Table8[Chapter List],FALSE)</f>
        <v>0</v>
      </c>
      <c r="D959" s="42"/>
      <c r="E959" s="43"/>
    </row>
    <row r="960" spans="1:5" x14ac:dyDescent="0.3">
      <c r="A960" s="42">
        <v>959</v>
      </c>
      <c r="B960" s="42"/>
      <c r="C960" s="42" t="b">
        <f>_xlfn.XLOOKUP(Table61011[[#This Row],[Category No]],Table8[Category No],Table8[Chapter List],FALSE)</f>
        <v>0</v>
      </c>
      <c r="D960" s="42"/>
      <c r="E960" s="43"/>
    </row>
    <row r="961" spans="1:5" x14ac:dyDescent="0.3">
      <c r="A961" s="42">
        <v>960</v>
      </c>
      <c r="B961" s="42"/>
      <c r="C961" s="42" t="b">
        <f>_xlfn.XLOOKUP(Table61011[[#This Row],[Category No]],Table8[Category No],Table8[Chapter List],FALSE)</f>
        <v>0</v>
      </c>
      <c r="D961" s="42"/>
      <c r="E961" s="43"/>
    </row>
    <row r="962" spans="1:5" x14ac:dyDescent="0.3">
      <c r="A962" s="42">
        <v>961</v>
      </c>
      <c r="B962" s="42"/>
      <c r="C962" s="42" t="b">
        <f>_xlfn.XLOOKUP(Table61011[[#This Row],[Category No]],Table8[Category No],Table8[Chapter List],FALSE)</f>
        <v>0</v>
      </c>
      <c r="D962" s="42"/>
      <c r="E962" s="43"/>
    </row>
    <row r="963" spans="1:5" x14ac:dyDescent="0.3">
      <c r="A963" s="42">
        <v>962</v>
      </c>
      <c r="B963" s="42"/>
      <c r="C963" s="42" t="b">
        <f>_xlfn.XLOOKUP(Table61011[[#This Row],[Category No]],Table8[Category No],Table8[Chapter List],FALSE)</f>
        <v>0</v>
      </c>
      <c r="D963" s="42"/>
      <c r="E963" s="43"/>
    </row>
    <row r="964" spans="1:5" x14ac:dyDescent="0.3">
      <c r="A964" s="42">
        <v>963</v>
      </c>
      <c r="B964" s="42"/>
      <c r="C964" s="42" t="b">
        <f>_xlfn.XLOOKUP(Table61011[[#This Row],[Category No]],Table8[Category No],Table8[Chapter List],FALSE)</f>
        <v>0</v>
      </c>
      <c r="D964" s="42"/>
      <c r="E964" s="43"/>
    </row>
    <row r="965" spans="1:5" x14ac:dyDescent="0.3">
      <c r="A965" s="42">
        <v>964</v>
      </c>
      <c r="B965" s="42"/>
      <c r="C965" s="42" t="b">
        <f>_xlfn.XLOOKUP(Table61011[[#This Row],[Category No]],Table8[Category No],Table8[Chapter List],FALSE)</f>
        <v>0</v>
      </c>
      <c r="D965" s="42"/>
      <c r="E965" s="43"/>
    </row>
    <row r="966" spans="1:5" x14ac:dyDescent="0.3">
      <c r="A966" s="42">
        <v>965</v>
      </c>
      <c r="B966" s="42"/>
      <c r="C966" s="42" t="b">
        <f>_xlfn.XLOOKUP(Table61011[[#This Row],[Category No]],Table8[Category No],Table8[Chapter List],FALSE)</f>
        <v>0</v>
      </c>
      <c r="D966" s="42"/>
      <c r="E966" s="43"/>
    </row>
    <row r="967" spans="1:5" x14ac:dyDescent="0.3">
      <c r="A967" s="42">
        <v>966</v>
      </c>
      <c r="B967" s="42"/>
      <c r="C967" s="42" t="b">
        <f>_xlfn.XLOOKUP(Table61011[[#This Row],[Category No]],Table8[Category No],Table8[Chapter List],FALSE)</f>
        <v>0</v>
      </c>
      <c r="D967" s="42"/>
      <c r="E967" s="43"/>
    </row>
    <row r="968" spans="1:5" x14ac:dyDescent="0.3">
      <c r="A968" s="42">
        <v>967</v>
      </c>
      <c r="B968" s="42"/>
      <c r="C968" s="42" t="b">
        <f>_xlfn.XLOOKUP(Table61011[[#This Row],[Category No]],Table8[Category No],Table8[Chapter List],FALSE)</f>
        <v>0</v>
      </c>
      <c r="D968" s="42"/>
      <c r="E968" s="43"/>
    </row>
    <row r="969" spans="1:5" x14ac:dyDescent="0.3">
      <c r="A969" s="42">
        <v>968</v>
      </c>
      <c r="B969" s="42"/>
      <c r="C969" s="42" t="b">
        <f>_xlfn.XLOOKUP(Table61011[[#This Row],[Category No]],Table8[Category No],Table8[Chapter List],FALSE)</f>
        <v>0</v>
      </c>
      <c r="D969" s="42"/>
      <c r="E969" s="43"/>
    </row>
    <row r="970" spans="1:5" x14ac:dyDescent="0.3">
      <c r="A970" s="42">
        <v>969</v>
      </c>
      <c r="B970" s="42"/>
      <c r="C970" s="42" t="b">
        <f>_xlfn.XLOOKUP(Table61011[[#This Row],[Category No]],Table8[Category No],Table8[Chapter List],FALSE)</f>
        <v>0</v>
      </c>
      <c r="D970" s="42"/>
      <c r="E970" s="43"/>
    </row>
    <row r="971" spans="1:5" x14ac:dyDescent="0.3">
      <c r="A971" s="42">
        <v>970</v>
      </c>
      <c r="B971" s="42"/>
      <c r="C971" s="42" t="b">
        <f>_xlfn.XLOOKUP(Table61011[[#This Row],[Category No]],Table8[Category No],Table8[Chapter List],FALSE)</f>
        <v>0</v>
      </c>
      <c r="D971" s="42"/>
      <c r="E971" s="43"/>
    </row>
    <row r="972" spans="1:5" x14ac:dyDescent="0.3">
      <c r="A972" s="42">
        <v>971</v>
      </c>
      <c r="B972" s="42"/>
      <c r="C972" s="42" t="b">
        <f>_xlfn.XLOOKUP(Table61011[[#This Row],[Category No]],Table8[Category No],Table8[Chapter List],FALSE)</f>
        <v>0</v>
      </c>
      <c r="D972" s="42"/>
      <c r="E972" s="43"/>
    </row>
    <row r="973" spans="1:5" x14ac:dyDescent="0.3">
      <c r="A973" s="42">
        <v>972</v>
      </c>
      <c r="B973" s="42"/>
      <c r="C973" s="42" t="b">
        <f>_xlfn.XLOOKUP(Table61011[[#This Row],[Category No]],Table8[Category No],Table8[Chapter List],FALSE)</f>
        <v>0</v>
      </c>
      <c r="D973" s="42"/>
      <c r="E973" s="43"/>
    </row>
    <row r="974" spans="1:5" x14ac:dyDescent="0.3">
      <c r="A974" s="42">
        <v>973</v>
      </c>
      <c r="B974" s="42"/>
      <c r="C974" s="42" t="b">
        <f>_xlfn.XLOOKUP(Table61011[[#This Row],[Category No]],Table8[Category No],Table8[Chapter List],FALSE)</f>
        <v>0</v>
      </c>
      <c r="D974" s="42"/>
      <c r="E974" s="43"/>
    </row>
    <row r="975" spans="1:5" x14ac:dyDescent="0.3">
      <c r="A975" s="42">
        <v>974</v>
      </c>
      <c r="B975" s="42"/>
      <c r="C975" s="42" t="b">
        <f>_xlfn.XLOOKUP(Table61011[[#This Row],[Category No]],Table8[Category No],Table8[Chapter List],FALSE)</f>
        <v>0</v>
      </c>
      <c r="D975" s="42"/>
      <c r="E975" s="43"/>
    </row>
    <row r="976" spans="1:5" x14ac:dyDescent="0.3">
      <c r="A976" s="42">
        <v>975</v>
      </c>
      <c r="B976" s="42"/>
      <c r="C976" s="42" t="b">
        <f>_xlfn.XLOOKUP(Table61011[[#This Row],[Category No]],Table8[Category No],Table8[Chapter List],FALSE)</f>
        <v>0</v>
      </c>
      <c r="D976" s="42"/>
      <c r="E976" s="43"/>
    </row>
    <row r="977" spans="1:5" x14ac:dyDescent="0.3">
      <c r="A977" s="42">
        <v>976</v>
      </c>
      <c r="B977" s="42"/>
      <c r="C977" s="42" t="b">
        <f>_xlfn.XLOOKUP(Table61011[[#This Row],[Category No]],Table8[Category No],Table8[Chapter List],FALSE)</f>
        <v>0</v>
      </c>
      <c r="D977" s="42"/>
      <c r="E977" s="43"/>
    </row>
    <row r="978" spans="1:5" x14ac:dyDescent="0.3">
      <c r="A978" s="42">
        <v>977</v>
      </c>
      <c r="B978" s="42"/>
      <c r="C978" s="42" t="b">
        <f>_xlfn.XLOOKUP(Table61011[[#This Row],[Category No]],Table8[Category No],Table8[Chapter List],FALSE)</f>
        <v>0</v>
      </c>
      <c r="D978" s="42"/>
      <c r="E978" s="43"/>
    </row>
    <row r="979" spans="1:5" x14ac:dyDescent="0.3">
      <c r="A979" s="42">
        <v>978</v>
      </c>
      <c r="B979" s="42"/>
      <c r="C979" s="42" t="b">
        <f>_xlfn.XLOOKUP(Table61011[[#This Row],[Category No]],Table8[Category No],Table8[Chapter List],FALSE)</f>
        <v>0</v>
      </c>
      <c r="D979" s="42"/>
      <c r="E979" s="43"/>
    </row>
    <row r="980" spans="1:5" x14ac:dyDescent="0.3">
      <c r="A980" s="42">
        <v>979</v>
      </c>
      <c r="B980" s="42"/>
      <c r="C980" s="42" t="b">
        <f>_xlfn.XLOOKUP(Table61011[[#This Row],[Category No]],Table8[Category No],Table8[Chapter List],FALSE)</f>
        <v>0</v>
      </c>
      <c r="D980" s="42"/>
      <c r="E980" s="43"/>
    </row>
    <row r="981" spans="1:5" x14ac:dyDescent="0.3">
      <c r="A981" s="42">
        <v>980</v>
      </c>
      <c r="B981" s="42"/>
      <c r="C981" s="42" t="b">
        <f>_xlfn.XLOOKUP(Table61011[[#This Row],[Category No]],Table8[Category No],Table8[Chapter List],FALSE)</f>
        <v>0</v>
      </c>
      <c r="D981" s="42"/>
      <c r="E981" s="43"/>
    </row>
    <row r="982" spans="1:5" x14ac:dyDescent="0.3">
      <c r="A982" s="42">
        <v>981</v>
      </c>
      <c r="B982" s="42"/>
      <c r="C982" s="42" t="b">
        <f>_xlfn.XLOOKUP(Table61011[[#This Row],[Category No]],Table8[Category No],Table8[Chapter List],FALSE)</f>
        <v>0</v>
      </c>
      <c r="D982" s="42"/>
      <c r="E982" s="43"/>
    </row>
    <row r="983" spans="1:5" x14ac:dyDescent="0.3">
      <c r="A983" s="42">
        <v>982</v>
      </c>
      <c r="B983" s="42"/>
      <c r="C983" s="42" t="b">
        <f>_xlfn.XLOOKUP(Table61011[[#This Row],[Category No]],Table8[Category No],Table8[Chapter List],FALSE)</f>
        <v>0</v>
      </c>
      <c r="D983" s="42"/>
      <c r="E983" s="43"/>
    </row>
    <row r="984" spans="1:5" x14ac:dyDescent="0.3">
      <c r="A984" s="42">
        <v>983</v>
      </c>
      <c r="B984" s="42"/>
      <c r="C984" s="42" t="b">
        <f>_xlfn.XLOOKUP(Table61011[[#This Row],[Category No]],Table8[Category No],Table8[Chapter List],FALSE)</f>
        <v>0</v>
      </c>
      <c r="D984" s="42"/>
      <c r="E984" s="43"/>
    </row>
    <row r="985" spans="1:5" x14ac:dyDescent="0.3">
      <c r="A985" s="42">
        <v>984</v>
      </c>
      <c r="B985" s="42"/>
      <c r="C985" s="42" t="b">
        <f>_xlfn.XLOOKUP(Table61011[[#This Row],[Category No]],Table8[Category No],Table8[Chapter List],FALSE)</f>
        <v>0</v>
      </c>
      <c r="D985" s="42"/>
      <c r="E985" s="43"/>
    </row>
    <row r="986" spans="1:5" x14ac:dyDescent="0.3">
      <c r="A986" s="42">
        <v>985</v>
      </c>
      <c r="B986" s="42"/>
      <c r="C986" s="42" t="b">
        <f>_xlfn.XLOOKUP(Table61011[[#This Row],[Category No]],Table8[Category No],Table8[Chapter List],FALSE)</f>
        <v>0</v>
      </c>
      <c r="D986" s="42"/>
      <c r="E986" s="43"/>
    </row>
    <row r="987" spans="1:5" x14ac:dyDescent="0.3">
      <c r="A987" s="42">
        <v>986</v>
      </c>
      <c r="B987" s="42"/>
      <c r="C987" s="42" t="b">
        <f>_xlfn.XLOOKUP(Table61011[[#This Row],[Category No]],Table8[Category No],Table8[Chapter List],FALSE)</f>
        <v>0</v>
      </c>
      <c r="D987" s="42"/>
      <c r="E987" s="43"/>
    </row>
    <row r="988" spans="1:5" x14ac:dyDescent="0.3">
      <c r="A988" s="42">
        <v>987</v>
      </c>
      <c r="B988" s="42"/>
      <c r="C988" s="42" t="b">
        <f>_xlfn.XLOOKUP(Table61011[[#This Row],[Category No]],Table8[Category No],Table8[Chapter List],FALSE)</f>
        <v>0</v>
      </c>
      <c r="D988" s="42"/>
      <c r="E988" s="43"/>
    </row>
    <row r="989" spans="1:5" x14ac:dyDescent="0.3">
      <c r="A989" s="42">
        <v>988</v>
      </c>
      <c r="B989" s="42"/>
      <c r="C989" s="42" t="b">
        <f>_xlfn.XLOOKUP(Table61011[[#This Row],[Category No]],Table8[Category No],Table8[Chapter List],FALSE)</f>
        <v>0</v>
      </c>
      <c r="D989" s="42"/>
      <c r="E989" s="43"/>
    </row>
    <row r="990" spans="1:5" x14ac:dyDescent="0.3">
      <c r="A990" s="42">
        <v>989</v>
      </c>
      <c r="B990" s="42"/>
      <c r="C990" s="42" t="b">
        <f>_xlfn.XLOOKUP(Table61011[[#This Row],[Category No]],Table8[Category No],Table8[Chapter List],FALSE)</f>
        <v>0</v>
      </c>
      <c r="D990" s="42"/>
      <c r="E990" s="43"/>
    </row>
    <row r="991" spans="1:5" x14ac:dyDescent="0.3">
      <c r="A991" s="42">
        <v>990</v>
      </c>
      <c r="B991" s="42"/>
      <c r="C991" s="42" t="b">
        <f>_xlfn.XLOOKUP(Table61011[[#This Row],[Category No]],Table8[Category No],Table8[Chapter List],FALSE)</f>
        <v>0</v>
      </c>
      <c r="D991" s="42"/>
      <c r="E991" s="43"/>
    </row>
    <row r="992" spans="1:5" x14ac:dyDescent="0.3">
      <c r="A992" s="42">
        <v>991</v>
      </c>
      <c r="B992" s="42"/>
      <c r="C992" s="42" t="b">
        <f>_xlfn.XLOOKUP(Table61011[[#This Row],[Category No]],Table8[Category No],Table8[Chapter List],FALSE)</f>
        <v>0</v>
      </c>
      <c r="D992" s="42"/>
      <c r="E992" s="43"/>
    </row>
    <row r="993" spans="1:5" x14ac:dyDescent="0.3">
      <c r="A993" s="42">
        <v>992</v>
      </c>
      <c r="B993" s="42"/>
      <c r="C993" s="42" t="b">
        <f>_xlfn.XLOOKUP(Table61011[[#This Row],[Category No]],Table8[Category No],Table8[Chapter List],FALSE)</f>
        <v>0</v>
      </c>
      <c r="D993" s="42"/>
      <c r="E993" s="43"/>
    </row>
    <row r="994" spans="1:5" x14ac:dyDescent="0.3">
      <c r="A994" s="42">
        <v>993</v>
      </c>
      <c r="B994" s="42"/>
      <c r="C994" s="42" t="b">
        <f>_xlfn.XLOOKUP(Table61011[[#This Row],[Category No]],Table8[Category No],Table8[Chapter List],FALSE)</f>
        <v>0</v>
      </c>
      <c r="D994" s="42"/>
      <c r="E994" s="43"/>
    </row>
    <row r="995" spans="1:5" x14ac:dyDescent="0.3">
      <c r="A995" s="42">
        <v>994</v>
      </c>
      <c r="B995" s="42"/>
      <c r="C995" s="42" t="b">
        <f>_xlfn.XLOOKUP(Table61011[[#This Row],[Category No]],Table8[Category No],Table8[Chapter List],FALSE)</f>
        <v>0</v>
      </c>
      <c r="D995" s="42"/>
      <c r="E995" s="43"/>
    </row>
    <row r="996" spans="1:5" x14ac:dyDescent="0.3">
      <c r="A996" s="42">
        <v>995</v>
      </c>
      <c r="B996" s="42"/>
      <c r="C996" s="42" t="b">
        <f>_xlfn.XLOOKUP(Table61011[[#This Row],[Category No]],Table8[Category No],Table8[Chapter List],FALSE)</f>
        <v>0</v>
      </c>
      <c r="D996" s="42"/>
      <c r="E996" s="43"/>
    </row>
    <row r="997" spans="1:5" x14ac:dyDescent="0.3">
      <c r="A997" s="42">
        <v>996</v>
      </c>
      <c r="B997" s="42"/>
      <c r="C997" s="42" t="b">
        <f>_xlfn.XLOOKUP(Table61011[[#This Row],[Category No]],Table8[Category No],Table8[Chapter List],FALSE)</f>
        <v>0</v>
      </c>
      <c r="D997" s="42"/>
      <c r="E997" s="43"/>
    </row>
    <row r="998" spans="1:5" x14ac:dyDescent="0.3">
      <c r="A998" s="42">
        <v>997</v>
      </c>
      <c r="B998" s="42"/>
      <c r="C998" s="42" t="b">
        <f>_xlfn.XLOOKUP(Table61011[[#This Row],[Category No]],Table8[Category No],Table8[Chapter List],FALSE)</f>
        <v>0</v>
      </c>
      <c r="D998" s="42"/>
      <c r="E998" s="43"/>
    </row>
    <row r="999" spans="1:5" x14ac:dyDescent="0.3">
      <c r="A999" s="42">
        <v>998</v>
      </c>
      <c r="B999" s="42"/>
      <c r="C999" s="42" t="b">
        <f>_xlfn.XLOOKUP(Table61011[[#This Row],[Category No]],Table8[Category No],Table8[Chapter List],FALSE)</f>
        <v>0</v>
      </c>
      <c r="D999" s="42"/>
      <c r="E999" s="43"/>
    </row>
    <row r="1000" spans="1:5" x14ac:dyDescent="0.3">
      <c r="A1000" s="42">
        <v>999</v>
      </c>
      <c r="B1000" s="42"/>
      <c r="C1000" s="42" t="b">
        <f>_xlfn.XLOOKUP(Table61011[[#This Row],[Category No]],Table8[Category No],Table8[Chapter List],FALSE)</f>
        <v>0</v>
      </c>
      <c r="D1000" s="42"/>
      <c r="E1000" s="43"/>
    </row>
  </sheetData>
  <mergeCells count="5">
    <mergeCell ref="F3:F6"/>
    <mergeCell ref="F7:F11"/>
    <mergeCell ref="F12:F15"/>
    <mergeCell ref="F26:F27"/>
    <mergeCell ref="F28:F29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EC6A-1F45-43FA-8A7F-C997F3A418A0}">
  <dimension ref="A1:F1000"/>
  <sheetViews>
    <sheetView tabSelected="1" topLeftCell="A19" workbookViewId="0">
      <selection activeCell="G430" sqref="G430:G435"/>
    </sheetView>
  </sheetViews>
  <sheetFormatPr defaultRowHeight="13.8" x14ac:dyDescent="0.3"/>
  <cols>
    <col min="1" max="1" width="9.33203125" style="37" bestFit="1" customWidth="1"/>
    <col min="2" max="2" width="14.21875" style="37" bestFit="1" customWidth="1"/>
    <col min="3" max="3" width="36.21875" style="37" customWidth="1"/>
    <col min="4" max="4" width="8.109375" style="37" bestFit="1" customWidth="1"/>
    <col min="5" max="5" width="91.77734375" style="37" bestFit="1" customWidth="1"/>
    <col min="6" max="6" width="33.21875" style="37" bestFit="1" customWidth="1"/>
    <col min="7" max="16384" width="8.88671875" style="37"/>
  </cols>
  <sheetData>
    <row r="1" spans="1:6" x14ac:dyDescent="0.3">
      <c r="A1" s="35" t="s">
        <v>1</v>
      </c>
      <c r="B1" s="36" t="s">
        <v>125</v>
      </c>
      <c r="C1" s="36" t="s">
        <v>126</v>
      </c>
      <c r="D1" s="47" t="s">
        <v>132</v>
      </c>
      <c r="E1" s="36" t="s">
        <v>131</v>
      </c>
    </row>
    <row r="2" spans="1:6" x14ac:dyDescent="0.3">
      <c r="A2" s="32">
        <v>1</v>
      </c>
      <c r="B2" s="32" t="s">
        <v>62</v>
      </c>
      <c r="C2" s="32" t="str">
        <f>_xlfn.XLOOKUP(Table6101112[[#This Row],[Category No]],Table8[Category No],Table8[Chapter List],FALSE)</f>
        <v>Rig Vedic Period</v>
      </c>
      <c r="D2" s="32"/>
      <c r="E2" s="34" t="s">
        <v>298</v>
      </c>
    </row>
    <row r="3" spans="1:6" x14ac:dyDescent="0.3">
      <c r="A3" s="32">
        <v>2</v>
      </c>
      <c r="B3" s="32" t="s">
        <v>62</v>
      </c>
      <c r="C3" s="32" t="str">
        <f>_xlfn.XLOOKUP(Table6101112[[#This Row],[Category No]],Table8[Category No],Table8[Chapter List],FALSE)</f>
        <v>Rig Vedic Period</v>
      </c>
      <c r="D3" s="32"/>
      <c r="E3" s="34" t="s">
        <v>327</v>
      </c>
    </row>
    <row r="4" spans="1:6" x14ac:dyDescent="0.3">
      <c r="A4" s="32">
        <v>3</v>
      </c>
      <c r="B4" s="32" t="s">
        <v>65</v>
      </c>
      <c r="C4" s="32" t="str">
        <f>_xlfn.XLOOKUP(Table6101112[[#This Row],[Category No]],Table8[Category No],Table8[Chapter List],FALSE)</f>
        <v>MahajanapCEa, Iranian &amp; Macedonian Invasion</v>
      </c>
      <c r="D4" s="32" t="s">
        <v>1045</v>
      </c>
      <c r="E4" s="34" t="s">
        <v>1053</v>
      </c>
    </row>
    <row r="5" spans="1:6" x14ac:dyDescent="0.3">
      <c r="A5" s="32">
        <v>4</v>
      </c>
      <c r="B5" s="32" t="s">
        <v>65</v>
      </c>
      <c r="C5" s="32" t="str">
        <f>_xlfn.XLOOKUP(Table6101112[[#This Row],[Category No]],Table8[Category No],Table8[Chapter List],FALSE)</f>
        <v>MahajanapCEa, Iranian &amp; Macedonian Invasion</v>
      </c>
      <c r="D5" s="32"/>
      <c r="E5" s="34" t="s">
        <v>1054</v>
      </c>
    </row>
    <row r="6" spans="1:6" x14ac:dyDescent="0.3">
      <c r="A6" s="32">
        <v>5</v>
      </c>
      <c r="B6" s="32" t="s">
        <v>66</v>
      </c>
      <c r="C6" s="32" t="str">
        <f>_xlfn.XLOOKUP(Table6101112[[#This Row],[Category No]],Table8[Category No],Table8[Chapter List],FALSE)</f>
        <v>The Mauryan Empire</v>
      </c>
      <c r="D6" s="32"/>
      <c r="E6" s="34" t="s">
        <v>1095</v>
      </c>
    </row>
    <row r="7" spans="1:6" x14ac:dyDescent="0.3">
      <c r="A7" s="32">
        <v>6</v>
      </c>
      <c r="B7" s="32" t="s">
        <v>67</v>
      </c>
      <c r="C7" s="32" t="str">
        <f>_xlfn.XLOOKUP(Table6101112[[#This Row],[Category No]],Table8[Category No],Table8[Chapter List],FALSE)</f>
        <v>Post-Mauryan India (200 BC - 300 CE)</v>
      </c>
      <c r="D7" s="32"/>
      <c r="E7" s="34" t="s">
        <v>1243</v>
      </c>
      <c r="F7" s="64" t="s">
        <v>1215</v>
      </c>
    </row>
    <row r="8" spans="1:6" x14ac:dyDescent="0.3">
      <c r="A8" s="32">
        <v>7</v>
      </c>
      <c r="B8" s="32" t="s">
        <v>67</v>
      </c>
      <c r="C8" s="32" t="str">
        <f>_xlfn.XLOOKUP(Table6101112[[#This Row],[Category No]],Table8[Category No],Table8[Chapter List],FALSE)</f>
        <v>Post-Mauryan India (200 BC - 300 CE)</v>
      </c>
      <c r="D8" s="32"/>
      <c r="E8" s="34" t="s">
        <v>1244</v>
      </c>
      <c r="F8" s="64"/>
    </row>
    <row r="9" spans="1:6" x14ac:dyDescent="0.3">
      <c r="A9" s="32">
        <v>8</v>
      </c>
      <c r="B9" s="32" t="s">
        <v>67</v>
      </c>
      <c r="C9" s="32" t="str">
        <f>_xlfn.XLOOKUP(Table6101112[[#This Row],[Category No]],Table8[Category No],Table8[Chapter List],FALSE)</f>
        <v>Post-Mauryan India (200 BC - 300 CE)</v>
      </c>
      <c r="D9" s="32"/>
      <c r="E9" s="34" t="s">
        <v>1295</v>
      </c>
      <c r="F9" s="32" t="s">
        <v>1218</v>
      </c>
    </row>
    <row r="10" spans="1:6" x14ac:dyDescent="0.3">
      <c r="A10" s="32">
        <v>9</v>
      </c>
      <c r="B10" s="32" t="s">
        <v>67</v>
      </c>
      <c r="C10" s="32" t="str">
        <f>_xlfn.XLOOKUP(Table6101112[[#This Row],[Category No]],Table8[Category No],Table8[Chapter List],FALSE)</f>
        <v>Post-Mauryan India (200 BC - 300 CE)</v>
      </c>
      <c r="D10" s="32"/>
      <c r="E10" s="34" t="s">
        <v>1355</v>
      </c>
      <c r="F10" s="32" t="s">
        <v>1220</v>
      </c>
    </row>
    <row r="11" spans="1:6" x14ac:dyDescent="0.3">
      <c r="A11" s="32">
        <v>10</v>
      </c>
      <c r="B11" s="32" t="s">
        <v>68</v>
      </c>
      <c r="C11" s="32" t="str">
        <f>_xlfn.XLOOKUP(Table6101112[[#This Row],[Category No]],Table8[Category No],Table8[Chapter List],FALSE)</f>
        <v>Sangam Period (South Indian Dynasties)</v>
      </c>
      <c r="D11" s="32"/>
      <c r="E11" s="34" t="s">
        <v>1470</v>
      </c>
    </row>
    <row r="12" spans="1:6" x14ac:dyDescent="0.3">
      <c r="A12" s="32">
        <v>11</v>
      </c>
      <c r="B12" s="32" t="s">
        <v>68</v>
      </c>
      <c r="C12" s="32" t="str">
        <f>_xlfn.XLOOKUP(Table6101112[[#This Row],[Category No]],Table8[Category No],Table8[Chapter List],FALSE)</f>
        <v>Sangam Period (South Indian Dynasties)</v>
      </c>
      <c r="D12" s="32"/>
      <c r="E12" s="34" t="s">
        <v>1471</v>
      </c>
    </row>
    <row r="13" spans="1:6" ht="69" x14ac:dyDescent="0.3">
      <c r="A13" s="32">
        <v>12</v>
      </c>
      <c r="B13" s="32" t="s">
        <v>69</v>
      </c>
      <c r="C13" s="32" t="str">
        <f>_xlfn.XLOOKUP(Table6101112[[#This Row],[Category No]],Table8[Category No],Table8[Chapter List],FALSE)</f>
        <v>Imperial Guptas &amp; Vakataks, Post Gupta Empire</v>
      </c>
      <c r="D13" s="32"/>
      <c r="E13" s="33" t="s">
        <v>1629</v>
      </c>
    </row>
    <row r="14" spans="1:6" ht="41.4" x14ac:dyDescent="0.3">
      <c r="A14" s="32">
        <v>13</v>
      </c>
      <c r="B14" s="32" t="s">
        <v>69</v>
      </c>
      <c r="C14" s="32" t="str">
        <f>_xlfn.XLOOKUP(Table6101112[[#This Row],[Category No]],Table8[Category No],Table8[Chapter List],FALSE)</f>
        <v>Imperial Guptas &amp; Vakataks, Post Gupta Empire</v>
      </c>
      <c r="D14" s="32"/>
      <c r="E14" s="33" t="s">
        <v>1630</v>
      </c>
    </row>
    <row r="15" spans="1:6" x14ac:dyDescent="0.3">
      <c r="A15" s="32">
        <v>14</v>
      </c>
      <c r="B15" s="32" t="s">
        <v>70</v>
      </c>
      <c r="C15" s="32" t="str">
        <f>_xlfn.XLOOKUP(Table6101112[[#This Row],[Category No]],Table8[Category No],Table8[Chapter List],FALSE)</f>
        <v>Harshavardhana/ Vardhan Dynasty/ Pushyabhuti Dynasty</v>
      </c>
      <c r="D15" s="32"/>
      <c r="E15" s="34" t="s">
        <v>1905</v>
      </c>
      <c r="F15" s="37" t="s">
        <v>1967</v>
      </c>
    </row>
    <row r="16" spans="1:6" x14ac:dyDescent="0.3">
      <c r="A16" s="32">
        <v>15</v>
      </c>
      <c r="B16" s="32" t="s">
        <v>70</v>
      </c>
      <c r="C16" s="32" t="str">
        <f>_xlfn.XLOOKUP(Table6101112[[#This Row],[Category No]],Table8[Category No],Table8[Chapter List],FALSE)</f>
        <v>Harshavardhana/ Vardhan Dynasty/ Pushyabhuti Dynasty</v>
      </c>
      <c r="D16" s="32"/>
      <c r="E16" s="34" t="s">
        <v>1906</v>
      </c>
    </row>
    <row r="17" spans="1:6" x14ac:dyDescent="0.3">
      <c r="A17" s="32">
        <v>16</v>
      </c>
      <c r="B17" s="42" t="s">
        <v>74</v>
      </c>
      <c r="C17" s="32" t="str">
        <f>_xlfn.XLOOKUP(Table6101112[[#This Row],[Category No]],Table8[Category No],Table8[Chapter List],FALSE)</f>
        <v>Early Medieval India's Major Dynasties Part 1 - (550 - 750)CE</v>
      </c>
      <c r="D17" s="32"/>
      <c r="E17" s="34" t="s">
        <v>1966</v>
      </c>
      <c r="F17" s="37" t="s">
        <v>1967</v>
      </c>
    </row>
    <row r="18" spans="1:6" x14ac:dyDescent="0.3">
      <c r="A18" s="32">
        <v>17</v>
      </c>
      <c r="B18" s="42" t="s">
        <v>74</v>
      </c>
      <c r="C18" s="32" t="str">
        <f>_xlfn.XLOOKUP(Table6101112[[#This Row],[Category No]],Table8[Category No],Table8[Chapter List],FALSE)</f>
        <v>Early Medieval India's Major Dynasties Part 1 - (550 - 750)CE</v>
      </c>
      <c r="D18" s="32"/>
      <c r="E18" s="34" t="s">
        <v>2036</v>
      </c>
    </row>
    <row r="19" spans="1:6" x14ac:dyDescent="0.3">
      <c r="A19" s="32">
        <v>18</v>
      </c>
      <c r="B19" s="42" t="s">
        <v>74</v>
      </c>
      <c r="C19" s="32" t="str">
        <f>_xlfn.XLOOKUP(Table6101112[[#This Row],[Category No]],Table8[Category No],Table8[Chapter List],FALSE)</f>
        <v>Early Medieval India's Major Dynasties Part 1 - (550 - 750)CE</v>
      </c>
      <c r="D19" s="32"/>
      <c r="E19" s="34" t="s">
        <v>2037</v>
      </c>
    </row>
    <row r="20" spans="1:6" x14ac:dyDescent="0.3">
      <c r="A20" s="32">
        <v>19</v>
      </c>
      <c r="B20" s="42" t="s">
        <v>74</v>
      </c>
      <c r="C20" s="32" t="str">
        <f>_xlfn.XLOOKUP(Table6101112[[#This Row],[Category No]],Table8[Category No],Table8[Chapter List],FALSE)</f>
        <v>Early Medieval India's Major Dynasties Part 1 - (550 - 750)CE</v>
      </c>
      <c r="D20" s="32"/>
      <c r="E20" s="34" t="s">
        <v>2038</v>
      </c>
    </row>
    <row r="21" spans="1:6" x14ac:dyDescent="0.3">
      <c r="A21" s="32">
        <v>20</v>
      </c>
      <c r="B21" s="42" t="s">
        <v>74</v>
      </c>
      <c r="C21" s="32" t="str">
        <f>_xlfn.XLOOKUP(Table6101112[[#This Row],[Category No]],Table8[Category No],Table8[Chapter List],FALSE)</f>
        <v>Early Medieval India's Major Dynasties Part 1 - (550 - 750)CE</v>
      </c>
      <c r="D21" s="32"/>
      <c r="E21" s="34" t="s">
        <v>2039</v>
      </c>
    </row>
    <row r="22" spans="1:6" x14ac:dyDescent="0.3">
      <c r="A22" s="32">
        <v>21</v>
      </c>
      <c r="B22" s="42" t="s">
        <v>75</v>
      </c>
      <c r="C22" s="32" t="str">
        <f>_xlfn.XLOOKUP(Table6101112[[#This Row],[Category No]],Table8[Category No],Table8[Chapter List],FALSE)</f>
        <v>Early Medieval India's Major Dynasties Part 2 - (750 - 1000)CE</v>
      </c>
      <c r="D22" s="32"/>
      <c r="E22" s="34" t="s">
        <v>2130</v>
      </c>
      <c r="F22" s="57" t="s">
        <v>2122</v>
      </c>
    </row>
    <row r="23" spans="1:6" x14ac:dyDescent="0.3">
      <c r="A23" s="32">
        <v>22</v>
      </c>
      <c r="B23" s="42" t="s">
        <v>75</v>
      </c>
      <c r="C23" s="32" t="str">
        <f>_xlfn.XLOOKUP(Table6101112[[#This Row],[Category No]],Table8[Category No],Table8[Chapter List],FALSE)</f>
        <v>Early Medieval India's Major Dynasties Part 2 - (750 - 1000)CE</v>
      </c>
      <c r="D23" s="32"/>
      <c r="E23" s="34" t="s">
        <v>2138</v>
      </c>
      <c r="F23" s="57"/>
    </row>
    <row r="24" spans="1:6" x14ac:dyDescent="0.3">
      <c r="A24" s="32">
        <v>23</v>
      </c>
      <c r="B24" s="42" t="s">
        <v>75</v>
      </c>
      <c r="C24" s="32" t="str">
        <f>_xlfn.XLOOKUP(Table6101112[[#This Row],[Category No]],Table8[Category No],Table8[Chapter List],FALSE)</f>
        <v>Early Medieval India's Major Dynasties Part 2 - (750 - 1000)CE</v>
      </c>
      <c r="D24" s="32"/>
      <c r="E24" s="34" t="s">
        <v>2121</v>
      </c>
      <c r="F24" s="57"/>
    </row>
    <row r="25" spans="1:6" x14ac:dyDescent="0.3">
      <c r="A25" s="32">
        <v>24</v>
      </c>
      <c r="B25" s="42" t="s">
        <v>75</v>
      </c>
      <c r="C25" s="32" t="str">
        <f>_xlfn.XLOOKUP(Table6101112[[#This Row],[Category No]],Table8[Category No],Table8[Chapter List],FALSE)</f>
        <v>Early Medieval India's Major Dynasties Part 2 - (750 - 1000)CE</v>
      </c>
      <c r="D25" s="32"/>
      <c r="E25" s="34" t="s">
        <v>2205</v>
      </c>
      <c r="F25" s="57" t="s">
        <v>2206</v>
      </c>
    </row>
    <row r="26" spans="1:6" x14ac:dyDescent="0.3">
      <c r="A26" s="32">
        <v>25</v>
      </c>
      <c r="B26" s="42" t="s">
        <v>75</v>
      </c>
      <c r="C26" s="32" t="str">
        <f>_xlfn.XLOOKUP(Table6101112[[#This Row],[Category No]],Table8[Category No],Table8[Chapter List],FALSE)</f>
        <v>Early Medieval India's Major Dynasties Part 2 - (750 - 1000)CE</v>
      </c>
      <c r="D26" s="32"/>
      <c r="E26" s="34" t="s">
        <v>2207</v>
      </c>
      <c r="F26" s="57"/>
    </row>
    <row r="27" spans="1:6" x14ac:dyDescent="0.3">
      <c r="A27" s="32">
        <v>26</v>
      </c>
      <c r="B27" s="42" t="s">
        <v>76</v>
      </c>
      <c r="C27" s="32" t="str">
        <f>_xlfn.XLOOKUP(Table6101112[[#This Row],[Category No]],Table8[Category No],Table8[Chapter List],FALSE)</f>
        <v>Early Medieval India's Major Dynasties Part 3 - (1000 - 1200) CE</v>
      </c>
      <c r="D27" s="32"/>
      <c r="E27" s="34" t="s">
        <v>2347</v>
      </c>
      <c r="F27" s="57" t="s">
        <v>2343</v>
      </c>
    </row>
    <row r="28" spans="1:6" x14ac:dyDescent="0.3">
      <c r="A28" s="32">
        <v>27</v>
      </c>
      <c r="B28" s="42" t="s">
        <v>76</v>
      </c>
      <c r="C28" s="32" t="str">
        <f>_xlfn.XLOOKUP(Table6101112[[#This Row],[Category No]],Table8[Category No],Table8[Chapter List],FALSE)</f>
        <v>Early Medieval India's Major Dynasties Part 3 - (1000 - 1200) CE</v>
      </c>
      <c r="D28" s="32" t="s">
        <v>2339</v>
      </c>
      <c r="E28" s="34" t="s">
        <v>2340</v>
      </c>
      <c r="F28" s="57"/>
    </row>
    <row r="29" spans="1:6" x14ac:dyDescent="0.3">
      <c r="A29" s="32">
        <v>28</v>
      </c>
      <c r="B29" s="42" t="s">
        <v>76</v>
      </c>
      <c r="C29" s="32" t="str">
        <f>_xlfn.XLOOKUP(Table6101112[[#This Row],[Category No]],Table8[Category No],Table8[Chapter List],FALSE)</f>
        <v>Early Medieval India's Major Dynasties Part 3 - (1000 - 1200) CE</v>
      </c>
      <c r="D29" s="32" t="s">
        <v>2341</v>
      </c>
      <c r="E29" s="34" t="s">
        <v>2342</v>
      </c>
      <c r="F29" s="57"/>
    </row>
    <row r="30" spans="1:6" x14ac:dyDescent="0.3">
      <c r="A30" s="32">
        <v>29</v>
      </c>
      <c r="B30" s="42" t="s">
        <v>76</v>
      </c>
      <c r="C30" s="32" t="str">
        <f>_xlfn.XLOOKUP(Table6101112[[#This Row],[Category No]],Table8[Category No],Table8[Chapter List],FALSE)</f>
        <v>Early Medieval India's Major Dynasties Part 3 - (1000 - 1200) CE</v>
      </c>
      <c r="D30" s="32"/>
      <c r="E30" s="34" t="s">
        <v>2494</v>
      </c>
      <c r="F30" s="63" t="s">
        <v>2510</v>
      </c>
    </row>
    <row r="31" spans="1:6" x14ac:dyDescent="0.3">
      <c r="A31" s="32">
        <v>30</v>
      </c>
      <c r="B31" s="42" t="s">
        <v>76</v>
      </c>
      <c r="C31" s="32" t="str">
        <f>_xlfn.XLOOKUP(Table6101112[[#This Row],[Category No]],Table8[Category No],Table8[Chapter List],FALSE)</f>
        <v>Early Medieval India's Major Dynasties Part 3 - (1000 - 1200) CE</v>
      </c>
      <c r="D31" s="32"/>
      <c r="E31" s="34" t="s">
        <v>2493</v>
      </c>
      <c r="F31" s="57"/>
    </row>
    <row r="32" spans="1:6" x14ac:dyDescent="0.3">
      <c r="A32" s="32">
        <v>31</v>
      </c>
      <c r="B32" s="32"/>
      <c r="C32" s="32" t="b">
        <f>_xlfn.XLOOKUP(Table6101112[[#This Row],[Category No]],Table8[Category No],Table8[Chapter List],FALSE)</f>
        <v>0</v>
      </c>
      <c r="D32" s="32"/>
      <c r="E32" s="34"/>
    </row>
    <row r="33" spans="1:5" x14ac:dyDescent="0.3">
      <c r="A33" s="32">
        <v>32</v>
      </c>
      <c r="B33" s="32"/>
      <c r="C33" s="32" t="b">
        <f>_xlfn.XLOOKUP(Table6101112[[#This Row],[Category No]],Table8[Category No],Table8[Chapter List],FALSE)</f>
        <v>0</v>
      </c>
      <c r="D33" s="32"/>
      <c r="E33" s="34"/>
    </row>
    <row r="34" spans="1:5" x14ac:dyDescent="0.3">
      <c r="A34" s="32">
        <v>33</v>
      </c>
      <c r="B34" s="32"/>
      <c r="C34" s="32" t="b">
        <f>_xlfn.XLOOKUP(Table6101112[[#This Row],[Category No]],Table8[Category No],Table8[Chapter List],FALSE)</f>
        <v>0</v>
      </c>
      <c r="D34" s="32"/>
      <c r="E34" s="34"/>
    </row>
    <row r="35" spans="1:5" x14ac:dyDescent="0.3">
      <c r="A35" s="32">
        <v>34</v>
      </c>
      <c r="B35" s="32"/>
      <c r="C35" s="32" t="b">
        <f>_xlfn.XLOOKUP(Table6101112[[#This Row],[Category No]],Table8[Category No],Table8[Chapter List],FALSE)</f>
        <v>0</v>
      </c>
      <c r="D35" s="32"/>
      <c r="E35" s="34"/>
    </row>
    <row r="36" spans="1:5" x14ac:dyDescent="0.3">
      <c r="A36" s="32">
        <v>35</v>
      </c>
      <c r="B36" s="32"/>
      <c r="C36" s="32" t="b">
        <f>_xlfn.XLOOKUP(Table6101112[[#This Row],[Category No]],Table8[Category No],Table8[Chapter List],FALSE)</f>
        <v>0</v>
      </c>
      <c r="D36" s="32"/>
      <c r="E36" s="34"/>
    </row>
    <row r="37" spans="1:5" x14ac:dyDescent="0.3">
      <c r="A37" s="32">
        <v>36</v>
      </c>
      <c r="B37" s="32"/>
      <c r="C37" s="32" t="b">
        <f>_xlfn.XLOOKUP(Table6101112[[#This Row],[Category No]],Table8[Category No],Table8[Chapter List],FALSE)</f>
        <v>0</v>
      </c>
      <c r="D37" s="32"/>
      <c r="E37" s="34"/>
    </row>
    <row r="38" spans="1:5" x14ac:dyDescent="0.3">
      <c r="A38" s="32">
        <v>37</v>
      </c>
      <c r="B38" s="32"/>
      <c r="C38" s="32" t="b">
        <f>_xlfn.XLOOKUP(Table6101112[[#This Row],[Category No]],Table8[Category No],Table8[Chapter List],FALSE)</f>
        <v>0</v>
      </c>
      <c r="D38" s="32"/>
      <c r="E38" s="34"/>
    </row>
    <row r="39" spans="1:5" x14ac:dyDescent="0.3">
      <c r="A39" s="32">
        <v>38</v>
      </c>
      <c r="B39" s="32"/>
      <c r="C39" s="32" t="b">
        <f>_xlfn.XLOOKUP(Table6101112[[#This Row],[Category No]],Table8[Category No],Table8[Chapter List],FALSE)</f>
        <v>0</v>
      </c>
      <c r="D39" s="32"/>
      <c r="E39" s="34"/>
    </row>
    <row r="40" spans="1:5" x14ac:dyDescent="0.3">
      <c r="A40" s="32">
        <v>39</v>
      </c>
      <c r="B40" s="32"/>
      <c r="C40" s="32" t="b">
        <f>_xlfn.XLOOKUP(Table6101112[[#This Row],[Category No]],Table8[Category No],Table8[Chapter List],FALSE)</f>
        <v>0</v>
      </c>
      <c r="D40" s="32"/>
      <c r="E40" s="34"/>
    </row>
    <row r="41" spans="1:5" x14ac:dyDescent="0.3">
      <c r="A41" s="32">
        <v>40</v>
      </c>
      <c r="B41" s="32"/>
      <c r="C41" s="32" t="b">
        <f>_xlfn.XLOOKUP(Table6101112[[#This Row],[Category No]],Table8[Category No],Table8[Chapter List],FALSE)</f>
        <v>0</v>
      </c>
      <c r="D41" s="32"/>
      <c r="E41" s="34"/>
    </row>
    <row r="42" spans="1:5" x14ac:dyDescent="0.3">
      <c r="A42" s="32">
        <v>41</v>
      </c>
      <c r="B42" s="32"/>
      <c r="C42" s="32" t="b">
        <f>_xlfn.XLOOKUP(Table6101112[[#This Row],[Category No]],Table8[Category No],Table8[Chapter List],FALSE)</f>
        <v>0</v>
      </c>
      <c r="D42" s="32"/>
      <c r="E42" s="34"/>
    </row>
    <row r="43" spans="1:5" x14ac:dyDescent="0.3">
      <c r="A43" s="32">
        <v>42</v>
      </c>
      <c r="B43" s="32"/>
      <c r="C43" s="32" t="b">
        <f>_xlfn.XLOOKUP(Table6101112[[#This Row],[Category No]],Table8[Category No],Table8[Chapter List],FALSE)</f>
        <v>0</v>
      </c>
      <c r="D43" s="32"/>
      <c r="E43" s="34"/>
    </row>
    <row r="44" spans="1:5" x14ac:dyDescent="0.3">
      <c r="A44" s="32">
        <v>43</v>
      </c>
      <c r="B44" s="32"/>
      <c r="C44" s="32" t="b">
        <f>_xlfn.XLOOKUP(Table6101112[[#This Row],[Category No]],Table8[Category No],Table8[Chapter List],FALSE)</f>
        <v>0</v>
      </c>
      <c r="D44" s="32"/>
      <c r="E44" s="34"/>
    </row>
    <row r="45" spans="1:5" x14ac:dyDescent="0.3">
      <c r="A45" s="32">
        <v>44</v>
      </c>
      <c r="B45" s="32"/>
      <c r="C45" s="32" t="b">
        <f>_xlfn.XLOOKUP(Table6101112[[#This Row],[Category No]],Table8[Category No],Table8[Chapter List],FALSE)</f>
        <v>0</v>
      </c>
      <c r="D45" s="32"/>
      <c r="E45" s="34"/>
    </row>
    <row r="46" spans="1:5" x14ac:dyDescent="0.3">
      <c r="A46" s="32">
        <v>45</v>
      </c>
      <c r="B46" s="32"/>
      <c r="C46" s="32" t="b">
        <f>_xlfn.XLOOKUP(Table6101112[[#This Row],[Category No]],Table8[Category No],Table8[Chapter List],FALSE)</f>
        <v>0</v>
      </c>
      <c r="D46" s="32"/>
      <c r="E46" s="34"/>
    </row>
    <row r="47" spans="1:5" x14ac:dyDescent="0.3">
      <c r="A47" s="32">
        <v>46</v>
      </c>
      <c r="B47" s="32"/>
      <c r="C47" s="32" t="b">
        <f>_xlfn.XLOOKUP(Table6101112[[#This Row],[Category No]],Table8[Category No],Table8[Chapter List],FALSE)</f>
        <v>0</v>
      </c>
      <c r="D47" s="32"/>
      <c r="E47" s="34"/>
    </row>
    <row r="48" spans="1:5" x14ac:dyDescent="0.3">
      <c r="A48" s="32">
        <v>47</v>
      </c>
      <c r="B48" s="32"/>
      <c r="C48" s="32" t="b">
        <f>_xlfn.XLOOKUP(Table6101112[[#This Row],[Category No]],Table8[Category No],Table8[Chapter List],FALSE)</f>
        <v>0</v>
      </c>
      <c r="D48" s="32"/>
      <c r="E48" s="34"/>
    </row>
    <row r="49" spans="1:5" x14ac:dyDescent="0.3">
      <c r="A49" s="32">
        <v>48</v>
      </c>
      <c r="B49" s="32"/>
      <c r="C49" s="32" t="b">
        <f>_xlfn.XLOOKUP(Table6101112[[#This Row],[Category No]],Table8[Category No],Table8[Chapter List],FALSE)</f>
        <v>0</v>
      </c>
      <c r="D49" s="32"/>
      <c r="E49" s="34"/>
    </row>
    <row r="50" spans="1:5" x14ac:dyDescent="0.3">
      <c r="A50" s="32">
        <v>49</v>
      </c>
      <c r="B50" s="32"/>
      <c r="C50" s="32" t="b">
        <f>_xlfn.XLOOKUP(Table6101112[[#This Row],[Category No]],Table8[Category No],Table8[Chapter List],FALSE)</f>
        <v>0</v>
      </c>
      <c r="D50" s="32"/>
      <c r="E50" s="34"/>
    </row>
    <row r="51" spans="1:5" x14ac:dyDescent="0.3">
      <c r="A51" s="32">
        <v>50</v>
      </c>
      <c r="B51" s="32"/>
      <c r="C51" s="32" t="b">
        <f>_xlfn.XLOOKUP(Table6101112[[#This Row],[Category No]],Table8[Category No],Table8[Chapter List],FALSE)</f>
        <v>0</v>
      </c>
      <c r="D51" s="32"/>
      <c r="E51" s="34"/>
    </row>
    <row r="52" spans="1:5" x14ac:dyDescent="0.3">
      <c r="A52" s="32">
        <v>51</v>
      </c>
      <c r="B52" s="32"/>
      <c r="C52" s="32" t="b">
        <f>_xlfn.XLOOKUP(Table6101112[[#This Row],[Category No]],Table8[Category No],Table8[Chapter List],FALSE)</f>
        <v>0</v>
      </c>
      <c r="D52" s="32"/>
      <c r="E52" s="34"/>
    </row>
    <row r="53" spans="1:5" x14ac:dyDescent="0.3">
      <c r="A53" s="32">
        <v>52</v>
      </c>
      <c r="B53" s="32"/>
      <c r="C53" s="32" t="b">
        <f>_xlfn.XLOOKUP(Table6101112[[#This Row],[Category No]],Table8[Category No],Table8[Chapter List],FALSE)</f>
        <v>0</v>
      </c>
      <c r="D53" s="32"/>
      <c r="E53" s="34"/>
    </row>
    <row r="54" spans="1:5" x14ac:dyDescent="0.3">
      <c r="A54" s="32">
        <v>53</v>
      </c>
      <c r="B54" s="32"/>
      <c r="C54" s="32" t="b">
        <f>_xlfn.XLOOKUP(Table6101112[[#This Row],[Category No]],Table8[Category No],Table8[Chapter List],FALSE)</f>
        <v>0</v>
      </c>
      <c r="D54" s="32"/>
      <c r="E54" s="34"/>
    </row>
    <row r="55" spans="1:5" x14ac:dyDescent="0.3">
      <c r="A55" s="32">
        <v>54</v>
      </c>
      <c r="B55" s="32"/>
      <c r="C55" s="32" t="b">
        <f>_xlfn.XLOOKUP(Table6101112[[#This Row],[Category No]],Table8[Category No],Table8[Chapter List],FALSE)</f>
        <v>0</v>
      </c>
      <c r="D55" s="32"/>
      <c r="E55" s="34"/>
    </row>
    <row r="56" spans="1:5" x14ac:dyDescent="0.3">
      <c r="A56" s="32">
        <v>55</v>
      </c>
      <c r="B56" s="32"/>
      <c r="C56" s="32" t="b">
        <f>_xlfn.XLOOKUP(Table6101112[[#This Row],[Category No]],Table8[Category No],Table8[Chapter List],FALSE)</f>
        <v>0</v>
      </c>
      <c r="D56" s="32"/>
      <c r="E56" s="34"/>
    </row>
    <row r="57" spans="1:5" x14ac:dyDescent="0.3">
      <c r="A57" s="32">
        <v>56</v>
      </c>
      <c r="B57" s="32"/>
      <c r="C57" s="32" t="b">
        <f>_xlfn.XLOOKUP(Table6101112[[#This Row],[Category No]],Table8[Category No],Table8[Chapter List],FALSE)</f>
        <v>0</v>
      </c>
      <c r="D57" s="32"/>
      <c r="E57" s="34"/>
    </row>
    <row r="58" spans="1:5" x14ac:dyDescent="0.3">
      <c r="A58" s="32">
        <v>57</v>
      </c>
      <c r="B58" s="32"/>
      <c r="C58" s="32" t="b">
        <f>_xlfn.XLOOKUP(Table6101112[[#This Row],[Category No]],Table8[Category No],Table8[Chapter List],FALSE)</f>
        <v>0</v>
      </c>
      <c r="D58" s="32"/>
      <c r="E58" s="34"/>
    </row>
    <row r="59" spans="1:5" x14ac:dyDescent="0.3">
      <c r="A59" s="32">
        <v>58</v>
      </c>
      <c r="B59" s="32"/>
      <c r="C59" s="32" t="b">
        <f>_xlfn.XLOOKUP(Table6101112[[#This Row],[Category No]],Table8[Category No],Table8[Chapter List],FALSE)</f>
        <v>0</v>
      </c>
      <c r="D59" s="32"/>
      <c r="E59" s="34"/>
    </row>
    <row r="60" spans="1:5" x14ac:dyDescent="0.3">
      <c r="A60" s="32">
        <v>59</v>
      </c>
      <c r="B60" s="32"/>
      <c r="C60" s="32" t="b">
        <f>_xlfn.XLOOKUP(Table6101112[[#This Row],[Category No]],Table8[Category No],Table8[Chapter List],FALSE)</f>
        <v>0</v>
      </c>
      <c r="D60" s="32"/>
      <c r="E60" s="34"/>
    </row>
    <row r="61" spans="1:5" x14ac:dyDescent="0.3">
      <c r="A61" s="32">
        <v>60</v>
      </c>
      <c r="B61" s="32"/>
      <c r="C61" s="32" t="b">
        <f>_xlfn.XLOOKUP(Table6101112[[#This Row],[Category No]],Table8[Category No],Table8[Chapter List],FALSE)</f>
        <v>0</v>
      </c>
      <c r="D61" s="32"/>
      <c r="E61" s="34"/>
    </row>
    <row r="62" spans="1:5" x14ac:dyDescent="0.3">
      <c r="A62" s="32">
        <v>61</v>
      </c>
      <c r="B62" s="32"/>
      <c r="C62" s="32" t="b">
        <f>_xlfn.XLOOKUP(Table6101112[[#This Row],[Category No]],Table8[Category No],Table8[Chapter List],FALSE)</f>
        <v>0</v>
      </c>
      <c r="D62" s="32"/>
      <c r="E62" s="34"/>
    </row>
    <row r="63" spans="1:5" x14ac:dyDescent="0.3">
      <c r="A63" s="32">
        <v>62</v>
      </c>
      <c r="B63" s="32"/>
      <c r="C63" s="32" t="b">
        <f>_xlfn.XLOOKUP(Table6101112[[#This Row],[Category No]],Table8[Category No],Table8[Chapter List],FALSE)</f>
        <v>0</v>
      </c>
      <c r="D63" s="32"/>
      <c r="E63" s="34"/>
    </row>
    <row r="64" spans="1:5" x14ac:dyDescent="0.3">
      <c r="A64" s="32">
        <v>63</v>
      </c>
      <c r="B64" s="32"/>
      <c r="C64" s="32" t="b">
        <f>_xlfn.XLOOKUP(Table6101112[[#This Row],[Category No]],Table8[Category No],Table8[Chapter List],FALSE)</f>
        <v>0</v>
      </c>
      <c r="D64" s="32"/>
      <c r="E64" s="34"/>
    </row>
    <row r="65" spans="1:5" x14ac:dyDescent="0.3">
      <c r="A65" s="32">
        <v>64</v>
      </c>
      <c r="B65" s="32"/>
      <c r="C65" s="32" t="b">
        <f>_xlfn.XLOOKUP(Table6101112[[#This Row],[Category No]],Table8[Category No],Table8[Chapter List],FALSE)</f>
        <v>0</v>
      </c>
      <c r="D65" s="32"/>
      <c r="E65" s="34"/>
    </row>
    <row r="66" spans="1:5" x14ac:dyDescent="0.3">
      <c r="A66" s="32">
        <v>65</v>
      </c>
      <c r="B66" s="32"/>
      <c r="C66" s="32" t="b">
        <f>_xlfn.XLOOKUP(Table6101112[[#This Row],[Category No]],Table8[Category No],Table8[Chapter List],FALSE)</f>
        <v>0</v>
      </c>
      <c r="D66" s="32"/>
      <c r="E66" s="34"/>
    </row>
    <row r="67" spans="1:5" x14ac:dyDescent="0.3">
      <c r="A67" s="32">
        <v>66</v>
      </c>
      <c r="B67" s="32"/>
      <c r="C67" s="32" t="b">
        <f>_xlfn.XLOOKUP(Table6101112[[#This Row],[Category No]],Table8[Category No],Table8[Chapter List],FALSE)</f>
        <v>0</v>
      </c>
      <c r="D67" s="32"/>
      <c r="E67" s="34"/>
    </row>
    <row r="68" spans="1:5" x14ac:dyDescent="0.3">
      <c r="A68" s="32">
        <v>67</v>
      </c>
      <c r="B68" s="32"/>
      <c r="C68" s="32" t="b">
        <f>_xlfn.XLOOKUP(Table6101112[[#This Row],[Category No]],Table8[Category No],Table8[Chapter List],FALSE)</f>
        <v>0</v>
      </c>
      <c r="D68" s="32"/>
      <c r="E68" s="34"/>
    </row>
    <row r="69" spans="1:5" x14ac:dyDescent="0.3">
      <c r="A69" s="32">
        <v>68</v>
      </c>
      <c r="B69" s="32"/>
      <c r="C69" s="32" t="b">
        <f>_xlfn.XLOOKUP(Table6101112[[#This Row],[Category No]],Table8[Category No],Table8[Chapter List],FALSE)</f>
        <v>0</v>
      </c>
      <c r="D69" s="32"/>
      <c r="E69" s="34"/>
    </row>
    <row r="70" spans="1:5" x14ac:dyDescent="0.3">
      <c r="A70" s="32">
        <v>69</v>
      </c>
      <c r="B70" s="32"/>
      <c r="C70" s="32" t="b">
        <f>_xlfn.XLOOKUP(Table6101112[[#This Row],[Category No]],Table8[Category No],Table8[Chapter List],FALSE)</f>
        <v>0</v>
      </c>
      <c r="D70" s="32"/>
      <c r="E70" s="34"/>
    </row>
    <row r="71" spans="1:5" x14ac:dyDescent="0.3">
      <c r="A71" s="32">
        <v>70</v>
      </c>
      <c r="B71" s="32"/>
      <c r="C71" s="32" t="b">
        <f>_xlfn.XLOOKUP(Table6101112[[#This Row],[Category No]],Table8[Category No],Table8[Chapter List],FALSE)</f>
        <v>0</v>
      </c>
      <c r="D71" s="32"/>
      <c r="E71" s="34"/>
    </row>
    <row r="72" spans="1:5" x14ac:dyDescent="0.3">
      <c r="A72" s="32">
        <v>71</v>
      </c>
      <c r="B72" s="32"/>
      <c r="C72" s="32" t="b">
        <f>_xlfn.XLOOKUP(Table6101112[[#This Row],[Category No]],Table8[Category No],Table8[Chapter List],FALSE)</f>
        <v>0</v>
      </c>
      <c r="D72" s="32"/>
      <c r="E72" s="34"/>
    </row>
    <row r="73" spans="1:5" x14ac:dyDescent="0.3">
      <c r="A73" s="32">
        <v>72</v>
      </c>
      <c r="B73" s="32"/>
      <c r="C73" s="32" t="b">
        <f>_xlfn.XLOOKUP(Table6101112[[#This Row],[Category No]],Table8[Category No],Table8[Chapter List],FALSE)</f>
        <v>0</v>
      </c>
      <c r="D73" s="32"/>
      <c r="E73" s="34"/>
    </row>
    <row r="74" spans="1:5" x14ac:dyDescent="0.3">
      <c r="A74" s="32">
        <v>73</v>
      </c>
      <c r="B74" s="32"/>
      <c r="C74" s="32" t="b">
        <f>_xlfn.XLOOKUP(Table6101112[[#This Row],[Category No]],Table8[Category No],Table8[Chapter List],FALSE)</f>
        <v>0</v>
      </c>
      <c r="D74" s="32"/>
      <c r="E74" s="34"/>
    </row>
    <row r="75" spans="1:5" x14ac:dyDescent="0.3">
      <c r="A75" s="32">
        <v>74</v>
      </c>
      <c r="B75" s="32"/>
      <c r="C75" s="32" t="b">
        <f>_xlfn.XLOOKUP(Table6101112[[#This Row],[Category No]],Table8[Category No],Table8[Chapter List],FALSE)</f>
        <v>0</v>
      </c>
      <c r="D75" s="32"/>
      <c r="E75" s="34"/>
    </row>
    <row r="76" spans="1:5" x14ac:dyDescent="0.3">
      <c r="A76" s="32">
        <v>75</v>
      </c>
      <c r="B76" s="32"/>
      <c r="C76" s="32" t="b">
        <f>_xlfn.XLOOKUP(Table6101112[[#This Row],[Category No]],Table8[Category No],Table8[Chapter List],FALSE)</f>
        <v>0</v>
      </c>
      <c r="D76" s="32"/>
      <c r="E76" s="34"/>
    </row>
    <row r="77" spans="1:5" x14ac:dyDescent="0.3">
      <c r="A77" s="32">
        <v>76</v>
      </c>
      <c r="B77" s="32"/>
      <c r="C77" s="32" t="b">
        <f>_xlfn.XLOOKUP(Table6101112[[#This Row],[Category No]],Table8[Category No],Table8[Chapter List],FALSE)</f>
        <v>0</v>
      </c>
      <c r="D77" s="32"/>
      <c r="E77" s="34"/>
    </row>
    <row r="78" spans="1:5" x14ac:dyDescent="0.3">
      <c r="A78" s="32">
        <v>77</v>
      </c>
      <c r="B78" s="32"/>
      <c r="C78" s="32" t="b">
        <f>_xlfn.XLOOKUP(Table6101112[[#This Row],[Category No]],Table8[Category No],Table8[Chapter List],FALSE)</f>
        <v>0</v>
      </c>
      <c r="D78" s="32"/>
      <c r="E78" s="34"/>
    </row>
    <row r="79" spans="1:5" x14ac:dyDescent="0.3">
      <c r="A79" s="32">
        <v>78</v>
      </c>
      <c r="B79" s="32"/>
      <c r="C79" s="32" t="b">
        <f>_xlfn.XLOOKUP(Table6101112[[#This Row],[Category No]],Table8[Category No],Table8[Chapter List],FALSE)</f>
        <v>0</v>
      </c>
      <c r="D79" s="32"/>
      <c r="E79" s="34"/>
    </row>
    <row r="80" spans="1:5" x14ac:dyDescent="0.3">
      <c r="A80" s="32">
        <v>79</v>
      </c>
      <c r="B80" s="32"/>
      <c r="C80" s="32" t="b">
        <f>_xlfn.XLOOKUP(Table6101112[[#This Row],[Category No]],Table8[Category No],Table8[Chapter List],FALSE)</f>
        <v>0</v>
      </c>
      <c r="D80" s="32"/>
      <c r="E80" s="34"/>
    </row>
    <row r="81" spans="1:5" x14ac:dyDescent="0.3">
      <c r="A81" s="32">
        <v>80</v>
      </c>
      <c r="B81" s="32"/>
      <c r="C81" s="32" t="b">
        <f>_xlfn.XLOOKUP(Table6101112[[#This Row],[Category No]],Table8[Category No],Table8[Chapter List],FALSE)</f>
        <v>0</v>
      </c>
      <c r="D81" s="32"/>
      <c r="E81" s="34"/>
    </row>
    <row r="82" spans="1:5" x14ac:dyDescent="0.3">
      <c r="A82" s="32">
        <v>81</v>
      </c>
      <c r="B82" s="32"/>
      <c r="C82" s="32" t="b">
        <f>_xlfn.XLOOKUP(Table6101112[[#This Row],[Category No]],Table8[Category No],Table8[Chapter List],FALSE)</f>
        <v>0</v>
      </c>
      <c r="D82" s="32"/>
      <c r="E82" s="34"/>
    </row>
    <row r="83" spans="1:5" x14ac:dyDescent="0.3">
      <c r="A83" s="32">
        <v>82</v>
      </c>
      <c r="B83" s="32"/>
      <c r="C83" s="32" t="b">
        <f>_xlfn.XLOOKUP(Table6101112[[#This Row],[Category No]],Table8[Category No],Table8[Chapter List],FALSE)</f>
        <v>0</v>
      </c>
      <c r="D83" s="32"/>
      <c r="E83" s="34"/>
    </row>
    <row r="84" spans="1:5" x14ac:dyDescent="0.3">
      <c r="A84" s="32">
        <v>83</v>
      </c>
      <c r="B84" s="32"/>
      <c r="C84" s="32" t="b">
        <f>_xlfn.XLOOKUP(Table6101112[[#This Row],[Category No]],Table8[Category No],Table8[Chapter List],FALSE)</f>
        <v>0</v>
      </c>
      <c r="D84" s="32"/>
      <c r="E84" s="34"/>
    </row>
    <row r="85" spans="1:5" x14ac:dyDescent="0.3">
      <c r="A85" s="32">
        <v>84</v>
      </c>
      <c r="B85" s="32"/>
      <c r="C85" s="32" t="b">
        <f>_xlfn.XLOOKUP(Table6101112[[#This Row],[Category No]],Table8[Category No],Table8[Chapter List],FALSE)</f>
        <v>0</v>
      </c>
      <c r="D85" s="32"/>
      <c r="E85" s="34"/>
    </row>
    <row r="86" spans="1:5" x14ac:dyDescent="0.3">
      <c r="A86" s="32">
        <v>85</v>
      </c>
      <c r="B86" s="32"/>
      <c r="C86" s="32" t="b">
        <f>_xlfn.XLOOKUP(Table6101112[[#This Row],[Category No]],Table8[Category No],Table8[Chapter List],FALSE)</f>
        <v>0</v>
      </c>
      <c r="D86" s="32"/>
      <c r="E86" s="34"/>
    </row>
    <row r="87" spans="1:5" x14ac:dyDescent="0.3">
      <c r="A87" s="32">
        <v>86</v>
      </c>
      <c r="B87" s="32"/>
      <c r="C87" s="32" t="b">
        <f>_xlfn.XLOOKUP(Table6101112[[#This Row],[Category No]],Table8[Category No],Table8[Chapter List],FALSE)</f>
        <v>0</v>
      </c>
      <c r="D87" s="32"/>
      <c r="E87" s="34"/>
    </row>
    <row r="88" spans="1:5" x14ac:dyDescent="0.3">
      <c r="A88" s="32">
        <v>87</v>
      </c>
      <c r="B88" s="32"/>
      <c r="C88" s="32" t="b">
        <f>_xlfn.XLOOKUP(Table6101112[[#This Row],[Category No]],Table8[Category No],Table8[Chapter List],FALSE)</f>
        <v>0</v>
      </c>
      <c r="D88" s="32"/>
      <c r="E88" s="34"/>
    </row>
    <row r="89" spans="1:5" x14ac:dyDescent="0.3">
      <c r="A89" s="32">
        <v>88</v>
      </c>
      <c r="B89" s="32"/>
      <c r="C89" s="32" t="b">
        <f>_xlfn.XLOOKUP(Table6101112[[#This Row],[Category No]],Table8[Category No],Table8[Chapter List],FALSE)</f>
        <v>0</v>
      </c>
      <c r="D89" s="32"/>
      <c r="E89" s="34"/>
    </row>
    <row r="90" spans="1:5" x14ac:dyDescent="0.3">
      <c r="A90" s="32">
        <v>89</v>
      </c>
      <c r="B90" s="32"/>
      <c r="C90" s="32" t="b">
        <f>_xlfn.XLOOKUP(Table6101112[[#This Row],[Category No]],Table8[Category No],Table8[Chapter List],FALSE)</f>
        <v>0</v>
      </c>
      <c r="D90" s="32"/>
      <c r="E90" s="34"/>
    </row>
    <row r="91" spans="1:5" x14ac:dyDescent="0.3">
      <c r="A91" s="32">
        <v>90</v>
      </c>
      <c r="B91" s="32"/>
      <c r="C91" s="32" t="b">
        <f>_xlfn.XLOOKUP(Table6101112[[#This Row],[Category No]],Table8[Category No],Table8[Chapter List],FALSE)</f>
        <v>0</v>
      </c>
      <c r="D91" s="32"/>
      <c r="E91" s="34"/>
    </row>
    <row r="92" spans="1:5" x14ac:dyDescent="0.3">
      <c r="A92" s="32">
        <v>91</v>
      </c>
      <c r="B92" s="32"/>
      <c r="C92" s="32" t="b">
        <f>_xlfn.XLOOKUP(Table6101112[[#This Row],[Category No]],Table8[Category No],Table8[Chapter List],FALSE)</f>
        <v>0</v>
      </c>
      <c r="D92" s="32"/>
      <c r="E92" s="34"/>
    </row>
    <row r="93" spans="1:5" x14ac:dyDescent="0.3">
      <c r="A93" s="32">
        <v>92</v>
      </c>
      <c r="B93" s="32"/>
      <c r="C93" s="32" t="b">
        <f>_xlfn.XLOOKUP(Table6101112[[#This Row],[Category No]],Table8[Category No],Table8[Chapter List],FALSE)</f>
        <v>0</v>
      </c>
      <c r="D93" s="32"/>
      <c r="E93" s="34"/>
    </row>
    <row r="94" spans="1:5" x14ac:dyDescent="0.3">
      <c r="A94" s="32">
        <v>93</v>
      </c>
      <c r="B94" s="32"/>
      <c r="C94" s="32" t="b">
        <f>_xlfn.XLOOKUP(Table6101112[[#This Row],[Category No]],Table8[Category No],Table8[Chapter List],FALSE)</f>
        <v>0</v>
      </c>
      <c r="D94" s="32"/>
      <c r="E94" s="34"/>
    </row>
    <row r="95" spans="1:5" x14ac:dyDescent="0.3">
      <c r="A95" s="32">
        <v>94</v>
      </c>
      <c r="B95" s="32"/>
      <c r="C95" s="32" t="b">
        <f>_xlfn.XLOOKUP(Table6101112[[#This Row],[Category No]],Table8[Category No],Table8[Chapter List],FALSE)</f>
        <v>0</v>
      </c>
      <c r="D95" s="32"/>
      <c r="E95" s="34"/>
    </row>
    <row r="96" spans="1:5" x14ac:dyDescent="0.3">
      <c r="A96" s="32">
        <v>95</v>
      </c>
      <c r="B96" s="32"/>
      <c r="C96" s="32" t="b">
        <f>_xlfn.XLOOKUP(Table6101112[[#This Row],[Category No]],Table8[Category No],Table8[Chapter List],FALSE)</f>
        <v>0</v>
      </c>
      <c r="D96" s="32"/>
      <c r="E96" s="34"/>
    </row>
    <row r="97" spans="1:5" x14ac:dyDescent="0.3">
      <c r="A97" s="32">
        <v>96</v>
      </c>
      <c r="B97" s="32"/>
      <c r="C97" s="32" t="b">
        <f>_xlfn.XLOOKUP(Table6101112[[#This Row],[Category No]],Table8[Category No],Table8[Chapter List],FALSE)</f>
        <v>0</v>
      </c>
      <c r="D97" s="32"/>
      <c r="E97" s="34"/>
    </row>
    <row r="98" spans="1:5" x14ac:dyDescent="0.3">
      <c r="A98" s="32">
        <v>97</v>
      </c>
      <c r="B98" s="32"/>
      <c r="C98" s="32" t="b">
        <f>_xlfn.XLOOKUP(Table6101112[[#This Row],[Category No]],Table8[Category No],Table8[Chapter List],FALSE)</f>
        <v>0</v>
      </c>
      <c r="D98" s="32"/>
      <c r="E98" s="34"/>
    </row>
    <row r="99" spans="1:5" x14ac:dyDescent="0.3">
      <c r="A99" s="32">
        <v>98</v>
      </c>
      <c r="B99" s="32"/>
      <c r="C99" s="32" t="b">
        <f>_xlfn.XLOOKUP(Table6101112[[#This Row],[Category No]],Table8[Category No],Table8[Chapter List],FALSE)</f>
        <v>0</v>
      </c>
      <c r="D99" s="32"/>
      <c r="E99" s="34"/>
    </row>
    <row r="100" spans="1:5" x14ac:dyDescent="0.3">
      <c r="A100" s="32">
        <v>99</v>
      </c>
      <c r="B100" s="32"/>
      <c r="C100" s="32" t="b">
        <f>_xlfn.XLOOKUP(Table6101112[[#This Row],[Category No]],Table8[Category No],Table8[Chapter List],FALSE)</f>
        <v>0</v>
      </c>
      <c r="D100" s="32"/>
      <c r="E100" s="34"/>
    </row>
    <row r="101" spans="1:5" x14ac:dyDescent="0.3">
      <c r="A101" s="32">
        <v>100</v>
      </c>
      <c r="B101" s="32"/>
      <c r="C101" s="32" t="b">
        <f>_xlfn.XLOOKUP(Table6101112[[#This Row],[Category No]],Table8[Category No],Table8[Chapter List],FALSE)</f>
        <v>0</v>
      </c>
      <c r="D101" s="32"/>
      <c r="E101" s="34"/>
    </row>
    <row r="102" spans="1:5" x14ac:dyDescent="0.3">
      <c r="A102" s="32">
        <v>101</v>
      </c>
      <c r="B102" s="32"/>
      <c r="C102" s="32" t="b">
        <f>_xlfn.XLOOKUP(Table6101112[[#This Row],[Category No]],Table8[Category No],Table8[Chapter List],FALSE)</f>
        <v>0</v>
      </c>
      <c r="D102" s="32"/>
      <c r="E102" s="34"/>
    </row>
    <row r="103" spans="1:5" x14ac:dyDescent="0.3">
      <c r="A103" s="32">
        <v>102</v>
      </c>
      <c r="B103" s="32"/>
      <c r="C103" s="32" t="b">
        <f>_xlfn.XLOOKUP(Table6101112[[#This Row],[Category No]],Table8[Category No],Table8[Chapter List],FALSE)</f>
        <v>0</v>
      </c>
      <c r="D103" s="32"/>
      <c r="E103" s="34"/>
    </row>
    <row r="104" spans="1:5" x14ac:dyDescent="0.3">
      <c r="A104" s="32">
        <v>103</v>
      </c>
      <c r="B104" s="32"/>
      <c r="C104" s="32" t="b">
        <f>_xlfn.XLOOKUP(Table6101112[[#This Row],[Category No]],Table8[Category No],Table8[Chapter List],FALSE)</f>
        <v>0</v>
      </c>
      <c r="D104" s="32"/>
      <c r="E104" s="34"/>
    </row>
    <row r="105" spans="1:5" x14ac:dyDescent="0.3">
      <c r="A105" s="32">
        <v>104</v>
      </c>
      <c r="B105" s="32"/>
      <c r="C105" s="32" t="b">
        <f>_xlfn.XLOOKUP(Table6101112[[#This Row],[Category No]],Table8[Category No],Table8[Chapter List],FALSE)</f>
        <v>0</v>
      </c>
      <c r="D105" s="32"/>
      <c r="E105" s="34"/>
    </row>
    <row r="106" spans="1:5" x14ac:dyDescent="0.3">
      <c r="A106" s="32">
        <v>105</v>
      </c>
      <c r="B106" s="32"/>
      <c r="C106" s="32" t="b">
        <f>_xlfn.XLOOKUP(Table6101112[[#This Row],[Category No]],Table8[Category No],Table8[Chapter List],FALSE)</f>
        <v>0</v>
      </c>
      <c r="D106" s="32"/>
      <c r="E106" s="34"/>
    </row>
    <row r="107" spans="1:5" x14ac:dyDescent="0.3">
      <c r="A107" s="32">
        <v>106</v>
      </c>
      <c r="B107" s="32"/>
      <c r="C107" s="32" t="b">
        <f>_xlfn.XLOOKUP(Table6101112[[#This Row],[Category No]],Table8[Category No],Table8[Chapter List],FALSE)</f>
        <v>0</v>
      </c>
      <c r="D107" s="32"/>
      <c r="E107" s="34"/>
    </row>
    <row r="108" spans="1:5" x14ac:dyDescent="0.3">
      <c r="A108" s="32">
        <v>107</v>
      </c>
      <c r="B108" s="32"/>
      <c r="C108" s="32" t="b">
        <f>_xlfn.XLOOKUP(Table6101112[[#This Row],[Category No]],Table8[Category No],Table8[Chapter List],FALSE)</f>
        <v>0</v>
      </c>
      <c r="D108" s="32"/>
      <c r="E108" s="34"/>
    </row>
    <row r="109" spans="1:5" x14ac:dyDescent="0.3">
      <c r="A109" s="32">
        <v>108</v>
      </c>
      <c r="B109" s="32"/>
      <c r="C109" s="32" t="b">
        <f>_xlfn.XLOOKUP(Table6101112[[#This Row],[Category No]],Table8[Category No],Table8[Chapter List],FALSE)</f>
        <v>0</v>
      </c>
      <c r="D109" s="32"/>
      <c r="E109" s="34"/>
    </row>
    <row r="110" spans="1:5" x14ac:dyDescent="0.3">
      <c r="A110" s="32">
        <v>109</v>
      </c>
      <c r="B110" s="32"/>
      <c r="C110" s="32" t="b">
        <f>_xlfn.XLOOKUP(Table6101112[[#This Row],[Category No]],Table8[Category No],Table8[Chapter List],FALSE)</f>
        <v>0</v>
      </c>
      <c r="D110" s="32"/>
      <c r="E110" s="34"/>
    </row>
    <row r="111" spans="1:5" x14ac:dyDescent="0.3">
      <c r="A111" s="32">
        <v>110</v>
      </c>
      <c r="B111" s="32"/>
      <c r="C111" s="32" t="b">
        <f>_xlfn.XLOOKUP(Table6101112[[#This Row],[Category No]],Table8[Category No],Table8[Chapter List],FALSE)</f>
        <v>0</v>
      </c>
      <c r="D111" s="32"/>
      <c r="E111" s="34"/>
    </row>
    <row r="112" spans="1:5" x14ac:dyDescent="0.3">
      <c r="A112" s="32">
        <v>111</v>
      </c>
      <c r="B112" s="32"/>
      <c r="C112" s="32" t="b">
        <f>_xlfn.XLOOKUP(Table6101112[[#This Row],[Category No]],Table8[Category No],Table8[Chapter List],FALSE)</f>
        <v>0</v>
      </c>
      <c r="D112" s="32"/>
      <c r="E112" s="34"/>
    </row>
    <row r="113" spans="1:5" x14ac:dyDescent="0.3">
      <c r="A113" s="32">
        <v>112</v>
      </c>
      <c r="B113" s="32"/>
      <c r="C113" s="32" t="b">
        <f>_xlfn.XLOOKUP(Table6101112[[#This Row],[Category No]],Table8[Category No],Table8[Chapter List],FALSE)</f>
        <v>0</v>
      </c>
      <c r="D113" s="32"/>
      <c r="E113" s="34"/>
    </row>
    <row r="114" spans="1:5" x14ac:dyDescent="0.3">
      <c r="A114" s="32">
        <v>113</v>
      </c>
      <c r="B114" s="32"/>
      <c r="C114" s="32" t="b">
        <f>_xlfn.XLOOKUP(Table6101112[[#This Row],[Category No]],Table8[Category No],Table8[Chapter List],FALSE)</f>
        <v>0</v>
      </c>
      <c r="D114" s="32"/>
      <c r="E114" s="34"/>
    </row>
    <row r="115" spans="1:5" x14ac:dyDescent="0.3">
      <c r="A115" s="32">
        <v>114</v>
      </c>
      <c r="B115" s="32"/>
      <c r="C115" s="32" t="b">
        <f>_xlfn.XLOOKUP(Table6101112[[#This Row],[Category No]],Table8[Category No],Table8[Chapter List],FALSE)</f>
        <v>0</v>
      </c>
      <c r="D115" s="32"/>
      <c r="E115" s="34"/>
    </row>
    <row r="116" spans="1:5" x14ac:dyDescent="0.3">
      <c r="A116" s="32">
        <v>115</v>
      </c>
      <c r="B116" s="32"/>
      <c r="C116" s="32" t="b">
        <f>_xlfn.XLOOKUP(Table6101112[[#This Row],[Category No]],Table8[Category No],Table8[Chapter List],FALSE)</f>
        <v>0</v>
      </c>
      <c r="D116" s="32"/>
      <c r="E116" s="34"/>
    </row>
    <row r="117" spans="1:5" x14ac:dyDescent="0.3">
      <c r="A117" s="32">
        <v>116</v>
      </c>
      <c r="B117" s="32"/>
      <c r="C117" s="32" t="b">
        <f>_xlfn.XLOOKUP(Table6101112[[#This Row],[Category No]],Table8[Category No],Table8[Chapter List],FALSE)</f>
        <v>0</v>
      </c>
      <c r="D117" s="32"/>
      <c r="E117" s="34"/>
    </row>
    <row r="118" spans="1:5" x14ac:dyDescent="0.3">
      <c r="A118" s="32">
        <v>117</v>
      </c>
      <c r="B118" s="32"/>
      <c r="C118" s="32" t="b">
        <f>_xlfn.XLOOKUP(Table6101112[[#This Row],[Category No]],Table8[Category No],Table8[Chapter List],FALSE)</f>
        <v>0</v>
      </c>
      <c r="D118" s="32"/>
      <c r="E118" s="34"/>
    </row>
    <row r="119" spans="1:5" x14ac:dyDescent="0.3">
      <c r="A119" s="32">
        <v>118</v>
      </c>
      <c r="B119" s="32"/>
      <c r="C119" s="32" t="b">
        <f>_xlfn.XLOOKUP(Table6101112[[#This Row],[Category No]],Table8[Category No],Table8[Chapter List],FALSE)</f>
        <v>0</v>
      </c>
      <c r="D119" s="32"/>
      <c r="E119" s="34"/>
    </row>
    <row r="120" spans="1:5" x14ac:dyDescent="0.3">
      <c r="A120" s="32">
        <v>119</v>
      </c>
      <c r="B120" s="32"/>
      <c r="C120" s="32" t="b">
        <f>_xlfn.XLOOKUP(Table6101112[[#This Row],[Category No]],Table8[Category No],Table8[Chapter List],FALSE)</f>
        <v>0</v>
      </c>
      <c r="D120" s="32"/>
      <c r="E120" s="34"/>
    </row>
    <row r="121" spans="1:5" x14ac:dyDescent="0.3">
      <c r="A121" s="32">
        <v>120</v>
      </c>
      <c r="B121" s="32"/>
      <c r="C121" s="32" t="b">
        <f>_xlfn.XLOOKUP(Table6101112[[#This Row],[Category No]],Table8[Category No],Table8[Chapter List],FALSE)</f>
        <v>0</v>
      </c>
      <c r="D121" s="32"/>
      <c r="E121" s="34"/>
    </row>
    <row r="122" spans="1:5" x14ac:dyDescent="0.3">
      <c r="A122" s="32">
        <v>121</v>
      </c>
      <c r="B122" s="32"/>
      <c r="C122" s="32" t="b">
        <f>_xlfn.XLOOKUP(Table6101112[[#This Row],[Category No]],Table8[Category No],Table8[Chapter List],FALSE)</f>
        <v>0</v>
      </c>
      <c r="D122" s="32"/>
      <c r="E122" s="34"/>
    </row>
    <row r="123" spans="1:5" x14ac:dyDescent="0.3">
      <c r="A123" s="32">
        <v>122</v>
      </c>
      <c r="B123" s="32"/>
      <c r="C123" s="32" t="b">
        <f>_xlfn.XLOOKUP(Table6101112[[#This Row],[Category No]],Table8[Category No],Table8[Chapter List],FALSE)</f>
        <v>0</v>
      </c>
      <c r="D123" s="32"/>
      <c r="E123" s="34"/>
    </row>
    <row r="124" spans="1:5" x14ac:dyDescent="0.3">
      <c r="A124" s="32">
        <v>123</v>
      </c>
      <c r="B124" s="32"/>
      <c r="C124" s="32" t="b">
        <f>_xlfn.XLOOKUP(Table6101112[[#This Row],[Category No]],Table8[Category No],Table8[Chapter List],FALSE)</f>
        <v>0</v>
      </c>
      <c r="D124" s="32"/>
      <c r="E124" s="34"/>
    </row>
    <row r="125" spans="1:5" x14ac:dyDescent="0.3">
      <c r="A125" s="32">
        <v>124</v>
      </c>
      <c r="B125" s="32"/>
      <c r="C125" s="32" t="b">
        <f>_xlfn.XLOOKUP(Table6101112[[#This Row],[Category No]],Table8[Category No],Table8[Chapter List],FALSE)</f>
        <v>0</v>
      </c>
      <c r="D125" s="32"/>
      <c r="E125" s="34"/>
    </row>
    <row r="126" spans="1:5" x14ac:dyDescent="0.3">
      <c r="A126" s="32">
        <v>125</v>
      </c>
      <c r="B126" s="32"/>
      <c r="C126" s="32" t="b">
        <f>_xlfn.XLOOKUP(Table6101112[[#This Row],[Category No]],Table8[Category No],Table8[Chapter List],FALSE)</f>
        <v>0</v>
      </c>
      <c r="D126" s="32"/>
      <c r="E126" s="34"/>
    </row>
    <row r="127" spans="1:5" x14ac:dyDescent="0.3">
      <c r="A127" s="32">
        <v>126</v>
      </c>
      <c r="B127" s="32"/>
      <c r="C127" s="32" t="b">
        <f>_xlfn.XLOOKUP(Table6101112[[#This Row],[Category No]],Table8[Category No],Table8[Chapter List],FALSE)</f>
        <v>0</v>
      </c>
      <c r="D127" s="32"/>
      <c r="E127" s="34"/>
    </row>
    <row r="128" spans="1:5" x14ac:dyDescent="0.3">
      <c r="A128" s="32">
        <v>127</v>
      </c>
      <c r="B128" s="32"/>
      <c r="C128" s="32" t="b">
        <f>_xlfn.XLOOKUP(Table6101112[[#This Row],[Category No]],Table8[Category No],Table8[Chapter List],FALSE)</f>
        <v>0</v>
      </c>
      <c r="D128" s="32"/>
      <c r="E128" s="34"/>
    </row>
    <row r="129" spans="1:5" x14ac:dyDescent="0.3">
      <c r="A129" s="32">
        <v>128</v>
      </c>
      <c r="B129" s="32"/>
      <c r="C129" s="32" t="b">
        <f>_xlfn.XLOOKUP(Table6101112[[#This Row],[Category No]],Table8[Category No],Table8[Chapter List],FALSE)</f>
        <v>0</v>
      </c>
      <c r="D129" s="32"/>
      <c r="E129" s="34"/>
    </row>
    <row r="130" spans="1:5" x14ac:dyDescent="0.3">
      <c r="A130" s="32">
        <v>129</v>
      </c>
      <c r="B130" s="32"/>
      <c r="C130" s="32" t="b">
        <f>_xlfn.XLOOKUP(Table6101112[[#This Row],[Category No]],Table8[Category No],Table8[Chapter List],FALSE)</f>
        <v>0</v>
      </c>
      <c r="D130" s="32"/>
      <c r="E130" s="34"/>
    </row>
    <row r="131" spans="1:5" x14ac:dyDescent="0.3">
      <c r="A131" s="32">
        <v>130</v>
      </c>
      <c r="B131" s="32"/>
      <c r="C131" s="32" t="b">
        <f>_xlfn.XLOOKUP(Table6101112[[#This Row],[Category No]],Table8[Category No],Table8[Chapter List],FALSE)</f>
        <v>0</v>
      </c>
      <c r="D131" s="32"/>
      <c r="E131" s="34"/>
    </row>
    <row r="132" spans="1:5" x14ac:dyDescent="0.3">
      <c r="A132" s="32">
        <v>131</v>
      </c>
      <c r="B132" s="32"/>
      <c r="C132" s="32" t="b">
        <f>_xlfn.XLOOKUP(Table6101112[[#This Row],[Category No]],Table8[Category No],Table8[Chapter List],FALSE)</f>
        <v>0</v>
      </c>
      <c r="D132" s="32"/>
      <c r="E132" s="34"/>
    </row>
    <row r="133" spans="1:5" x14ac:dyDescent="0.3">
      <c r="A133" s="32">
        <v>132</v>
      </c>
      <c r="B133" s="32"/>
      <c r="C133" s="32" t="b">
        <f>_xlfn.XLOOKUP(Table6101112[[#This Row],[Category No]],Table8[Category No],Table8[Chapter List],FALSE)</f>
        <v>0</v>
      </c>
      <c r="D133" s="32"/>
      <c r="E133" s="34"/>
    </row>
    <row r="134" spans="1:5" x14ac:dyDescent="0.3">
      <c r="A134" s="32">
        <v>133</v>
      </c>
      <c r="B134" s="32"/>
      <c r="C134" s="32" t="b">
        <f>_xlfn.XLOOKUP(Table6101112[[#This Row],[Category No]],Table8[Category No],Table8[Chapter List],FALSE)</f>
        <v>0</v>
      </c>
      <c r="D134" s="32"/>
      <c r="E134" s="34"/>
    </row>
    <row r="135" spans="1:5" x14ac:dyDescent="0.3">
      <c r="A135" s="32">
        <v>134</v>
      </c>
      <c r="B135" s="32"/>
      <c r="C135" s="32" t="b">
        <f>_xlfn.XLOOKUP(Table6101112[[#This Row],[Category No]],Table8[Category No],Table8[Chapter List],FALSE)</f>
        <v>0</v>
      </c>
      <c r="D135" s="32"/>
      <c r="E135" s="34"/>
    </row>
    <row r="136" spans="1:5" x14ac:dyDescent="0.3">
      <c r="A136" s="32">
        <v>135</v>
      </c>
      <c r="B136" s="32"/>
      <c r="C136" s="32" t="b">
        <f>_xlfn.XLOOKUP(Table6101112[[#This Row],[Category No]],Table8[Category No],Table8[Chapter List],FALSE)</f>
        <v>0</v>
      </c>
      <c r="D136" s="32"/>
      <c r="E136" s="34"/>
    </row>
    <row r="137" spans="1:5" x14ac:dyDescent="0.3">
      <c r="A137" s="32">
        <v>136</v>
      </c>
      <c r="B137" s="32"/>
      <c r="C137" s="32" t="b">
        <f>_xlfn.XLOOKUP(Table6101112[[#This Row],[Category No]],Table8[Category No],Table8[Chapter List],FALSE)</f>
        <v>0</v>
      </c>
      <c r="D137" s="32"/>
      <c r="E137" s="34"/>
    </row>
    <row r="138" spans="1:5" x14ac:dyDescent="0.3">
      <c r="A138" s="32">
        <v>137</v>
      </c>
      <c r="B138" s="32"/>
      <c r="C138" s="32" t="b">
        <f>_xlfn.XLOOKUP(Table6101112[[#This Row],[Category No]],Table8[Category No],Table8[Chapter List],FALSE)</f>
        <v>0</v>
      </c>
      <c r="D138" s="32"/>
      <c r="E138" s="34"/>
    </row>
    <row r="139" spans="1:5" x14ac:dyDescent="0.3">
      <c r="A139" s="32">
        <v>138</v>
      </c>
      <c r="B139" s="32"/>
      <c r="C139" s="32" t="b">
        <f>_xlfn.XLOOKUP(Table6101112[[#This Row],[Category No]],Table8[Category No],Table8[Chapter List],FALSE)</f>
        <v>0</v>
      </c>
      <c r="D139" s="32"/>
      <c r="E139" s="34"/>
    </row>
    <row r="140" spans="1:5" x14ac:dyDescent="0.3">
      <c r="A140" s="32">
        <v>139</v>
      </c>
      <c r="B140" s="32"/>
      <c r="C140" s="32" t="b">
        <f>_xlfn.XLOOKUP(Table6101112[[#This Row],[Category No]],Table8[Category No],Table8[Chapter List],FALSE)</f>
        <v>0</v>
      </c>
      <c r="D140" s="32"/>
      <c r="E140" s="34"/>
    </row>
    <row r="141" spans="1:5" x14ac:dyDescent="0.3">
      <c r="A141" s="32">
        <v>140</v>
      </c>
      <c r="B141" s="32"/>
      <c r="C141" s="32" t="b">
        <f>_xlfn.XLOOKUP(Table6101112[[#This Row],[Category No]],Table8[Category No],Table8[Chapter List],FALSE)</f>
        <v>0</v>
      </c>
      <c r="D141" s="32"/>
      <c r="E141" s="34"/>
    </row>
    <row r="142" spans="1:5" x14ac:dyDescent="0.3">
      <c r="A142" s="32">
        <v>141</v>
      </c>
      <c r="B142" s="32"/>
      <c r="C142" s="32" t="b">
        <f>_xlfn.XLOOKUP(Table6101112[[#This Row],[Category No]],Table8[Category No],Table8[Chapter List],FALSE)</f>
        <v>0</v>
      </c>
      <c r="D142" s="32"/>
      <c r="E142" s="34"/>
    </row>
    <row r="143" spans="1:5" x14ac:dyDescent="0.3">
      <c r="A143" s="32">
        <v>142</v>
      </c>
      <c r="B143" s="32"/>
      <c r="C143" s="32" t="b">
        <f>_xlfn.XLOOKUP(Table6101112[[#This Row],[Category No]],Table8[Category No],Table8[Chapter List],FALSE)</f>
        <v>0</v>
      </c>
      <c r="D143" s="32"/>
      <c r="E143" s="34"/>
    </row>
    <row r="144" spans="1:5" x14ac:dyDescent="0.3">
      <c r="A144" s="32">
        <v>143</v>
      </c>
      <c r="B144" s="32"/>
      <c r="C144" s="32" t="b">
        <f>_xlfn.XLOOKUP(Table6101112[[#This Row],[Category No]],Table8[Category No],Table8[Chapter List],FALSE)</f>
        <v>0</v>
      </c>
      <c r="D144" s="32"/>
      <c r="E144" s="34"/>
    </row>
    <row r="145" spans="1:5" x14ac:dyDescent="0.3">
      <c r="A145" s="32">
        <v>144</v>
      </c>
      <c r="B145" s="32"/>
      <c r="C145" s="32" t="b">
        <f>_xlfn.XLOOKUP(Table6101112[[#This Row],[Category No]],Table8[Category No],Table8[Chapter List],FALSE)</f>
        <v>0</v>
      </c>
      <c r="D145" s="32"/>
      <c r="E145" s="34"/>
    </row>
    <row r="146" spans="1:5" x14ac:dyDescent="0.3">
      <c r="A146" s="32">
        <v>145</v>
      </c>
      <c r="B146" s="32"/>
      <c r="C146" s="32" t="b">
        <f>_xlfn.XLOOKUP(Table6101112[[#This Row],[Category No]],Table8[Category No],Table8[Chapter List],FALSE)</f>
        <v>0</v>
      </c>
      <c r="D146" s="32"/>
      <c r="E146" s="34"/>
    </row>
    <row r="147" spans="1:5" x14ac:dyDescent="0.3">
      <c r="A147" s="32">
        <v>146</v>
      </c>
      <c r="B147" s="32"/>
      <c r="C147" s="32" t="b">
        <f>_xlfn.XLOOKUP(Table6101112[[#This Row],[Category No]],Table8[Category No],Table8[Chapter List],FALSE)</f>
        <v>0</v>
      </c>
      <c r="D147" s="32"/>
      <c r="E147" s="34"/>
    </row>
    <row r="148" spans="1:5" x14ac:dyDescent="0.3">
      <c r="A148" s="32">
        <v>147</v>
      </c>
      <c r="B148" s="32"/>
      <c r="C148" s="32" t="b">
        <f>_xlfn.XLOOKUP(Table6101112[[#This Row],[Category No]],Table8[Category No],Table8[Chapter List],FALSE)</f>
        <v>0</v>
      </c>
      <c r="D148" s="32"/>
      <c r="E148" s="34"/>
    </row>
    <row r="149" spans="1:5" x14ac:dyDescent="0.3">
      <c r="A149" s="32">
        <v>148</v>
      </c>
      <c r="B149" s="32"/>
      <c r="C149" s="32" t="b">
        <f>_xlfn.XLOOKUP(Table6101112[[#This Row],[Category No]],Table8[Category No],Table8[Chapter List],FALSE)</f>
        <v>0</v>
      </c>
      <c r="D149" s="32"/>
      <c r="E149" s="34"/>
    </row>
    <row r="150" spans="1:5" x14ac:dyDescent="0.3">
      <c r="A150" s="32">
        <v>149</v>
      </c>
      <c r="B150" s="32"/>
      <c r="C150" s="32" t="b">
        <f>_xlfn.XLOOKUP(Table6101112[[#This Row],[Category No]],Table8[Category No],Table8[Chapter List],FALSE)</f>
        <v>0</v>
      </c>
      <c r="D150" s="32"/>
      <c r="E150" s="34"/>
    </row>
    <row r="151" spans="1:5" x14ac:dyDescent="0.3">
      <c r="A151" s="32">
        <v>150</v>
      </c>
      <c r="B151" s="32"/>
      <c r="C151" s="32" t="b">
        <f>_xlfn.XLOOKUP(Table6101112[[#This Row],[Category No]],Table8[Category No],Table8[Chapter List],FALSE)</f>
        <v>0</v>
      </c>
      <c r="D151" s="32"/>
      <c r="E151" s="34"/>
    </row>
    <row r="152" spans="1:5" x14ac:dyDescent="0.3">
      <c r="A152" s="32">
        <v>151</v>
      </c>
      <c r="B152" s="32"/>
      <c r="C152" s="32" t="b">
        <f>_xlfn.XLOOKUP(Table6101112[[#This Row],[Category No]],Table8[Category No],Table8[Chapter List],FALSE)</f>
        <v>0</v>
      </c>
      <c r="D152" s="32"/>
      <c r="E152" s="34"/>
    </row>
    <row r="153" spans="1:5" x14ac:dyDescent="0.3">
      <c r="A153" s="32">
        <v>152</v>
      </c>
      <c r="B153" s="32"/>
      <c r="C153" s="32" t="b">
        <f>_xlfn.XLOOKUP(Table6101112[[#This Row],[Category No]],Table8[Category No],Table8[Chapter List],FALSE)</f>
        <v>0</v>
      </c>
      <c r="D153" s="32"/>
      <c r="E153" s="34"/>
    </row>
    <row r="154" spans="1:5" x14ac:dyDescent="0.3">
      <c r="A154" s="32">
        <v>153</v>
      </c>
      <c r="B154" s="32"/>
      <c r="C154" s="32" t="b">
        <f>_xlfn.XLOOKUP(Table6101112[[#This Row],[Category No]],Table8[Category No],Table8[Chapter List],FALSE)</f>
        <v>0</v>
      </c>
      <c r="D154" s="32"/>
      <c r="E154" s="34"/>
    </row>
    <row r="155" spans="1:5" x14ac:dyDescent="0.3">
      <c r="A155" s="32">
        <v>154</v>
      </c>
      <c r="B155" s="32"/>
      <c r="C155" s="32" t="b">
        <f>_xlfn.XLOOKUP(Table6101112[[#This Row],[Category No]],Table8[Category No],Table8[Chapter List],FALSE)</f>
        <v>0</v>
      </c>
      <c r="D155" s="32"/>
      <c r="E155" s="34"/>
    </row>
    <row r="156" spans="1:5" x14ac:dyDescent="0.3">
      <c r="A156" s="32">
        <v>155</v>
      </c>
      <c r="B156" s="32"/>
      <c r="C156" s="32" t="b">
        <f>_xlfn.XLOOKUP(Table6101112[[#This Row],[Category No]],Table8[Category No],Table8[Chapter List],FALSE)</f>
        <v>0</v>
      </c>
      <c r="D156" s="32"/>
      <c r="E156" s="34"/>
    </row>
    <row r="157" spans="1:5" x14ac:dyDescent="0.3">
      <c r="A157" s="32">
        <v>156</v>
      </c>
      <c r="B157" s="32"/>
      <c r="C157" s="32" t="b">
        <f>_xlfn.XLOOKUP(Table6101112[[#This Row],[Category No]],Table8[Category No],Table8[Chapter List],FALSE)</f>
        <v>0</v>
      </c>
      <c r="D157" s="32"/>
      <c r="E157" s="34"/>
    </row>
    <row r="158" spans="1:5" x14ac:dyDescent="0.3">
      <c r="A158" s="32">
        <v>157</v>
      </c>
      <c r="B158" s="32"/>
      <c r="C158" s="32" t="b">
        <f>_xlfn.XLOOKUP(Table6101112[[#This Row],[Category No]],Table8[Category No],Table8[Chapter List],FALSE)</f>
        <v>0</v>
      </c>
      <c r="D158" s="32"/>
      <c r="E158" s="34"/>
    </row>
    <row r="159" spans="1:5" x14ac:dyDescent="0.3">
      <c r="A159" s="32">
        <v>158</v>
      </c>
      <c r="B159" s="32"/>
      <c r="C159" s="32" t="b">
        <f>_xlfn.XLOOKUP(Table6101112[[#This Row],[Category No]],Table8[Category No],Table8[Chapter List],FALSE)</f>
        <v>0</v>
      </c>
      <c r="D159" s="32"/>
      <c r="E159" s="34"/>
    </row>
    <row r="160" spans="1:5" x14ac:dyDescent="0.3">
      <c r="A160" s="32">
        <v>159</v>
      </c>
      <c r="B160" s="32"/>
      <c r="C160" s="32" t="b">
        <f>_xlfn.XLOOKUP(Table6101112[[#This Row],[Category No]],Table8[Category No],Table8[Chapter List],FALSE)</f>
        <v>0</v>
      </c>
      <c r="D160" s="32"/>
      <c r="E160" s="34"/>
    </row>
    <row r="161" spans="1:5" x14ac:dyDescent="0.3">
      <c r="A161" s="32">
        <v>160</v>
      </c>
      <c r="B161" s="32"/>
      <c r="C161" s="32" t="b">
        <f>_xlfn.XLOOKUP(Table6101112[[#This Row],[Category No]],Table8[Category No],Table8[Chapter List],FALSE)</f>
        <v>0</v>
      </c>
      <c r="D161" s="32"/>
      <c r="E161" s="34"/>
    </row>
    <row r="162" spans="1:5" x14ac:dyDescent="0.3">
      <c r="A162" s="32">
        <v>161</v>
      </c>
      <c r="B162" s="32"/>
      <c r="C162" s="32" t="b">
        <f>_xlfn.XLOOKUP(Table6101112[[#This Row],[Category No]],Table8[Category No],Table8[Chapter List],FALSE)</f>
        <v>0</v>
      </c>
      <c r="D162" s="32"/>
      <c r="E162" s="34"/>
    </row>
    <row r="163" spans="1:5" x14ac:dyDescent="0.3">
      <c r="A163" s="32">
        <v>162</v>
      </c>
      <c r="B163" s="32"/>
      <c r="C163" s="32" t="b">
        <f>_xlfn.XLOOKUP(Table6101112[[#This Row],[Category No]],Table8[Category No],Table8[Chapter List],FALSE)</f>
        <v>0</v>
      </c>
      <c r="D163" s="32"/>
      <c r="E163" s="34"/>
    </row>
    <row r="164" spans="1:5" x14ac:dyDescent="0.3">
      <c r="A164" s="32">
        <v>163</v>
      </c>
      <c r="B164" s="32"/>
      <c r="C164" s="32" t="b">
        <f>_xlfn.XLOOKUP(Table6101112[[#This Row],[Category No]],Table8[Category No],Table8[Chapter List],FALSE)</f>
        <v>0</v>
      </c>
      <c r="D164" s="32"/>
      <c r="E164" s="34"/>
    </row>
    <row r="165" spans="1:5" x14ac:dyDescent="0.3">
      <c r="A165" s="32">
        <v>164</v>
      </c>
      <c r="B165" s="32"/>
      <c r="C165" s="32" t="b">
        <f>_xlfn.XLOOKUP(Table6101112[[#This Row],[Category No]],Table8[Category No],Table8[Chapter List],FALSE)</f>
        <v>0</v>
      </c>
      <c r="D165" s="32"/>
      <c r="E165" s="34"/>
    </row>
    <row r="166" spans="1:5" x14ac:dyDescent="0.3">
      <c r="A166" s="32">
        <v>165</v>
      </c>
      <c r="B166" s="32"/>
      <c r="C166" s="32" t="b">
        <f>_xlfn.XLOOKUP(Table6101112[[#This Row],[Category No]],Table8[Category No],Table8[Chapter List],FALSE)</f>
        <v>0</v>
      </c>
      <c r="D166" s="32"/>
      <c r="E166" s="34"/>
    </row>
    <row r="167" spans="1:5" x14ac:dyDescent="0.3">
      <c r="A167" s="32">
        <v>166</v>
      </c>
      <c r="B167" s="32"/>
      <c r="C167" s="32" t="b">
        <f>_xlfn.XLOOKUP(Table6101112[[#This Row],[Category No]],Table8[Category No],Table8[Chapter List],FALSE)</f>
        <v>0</v>
      </c>
      <c r="D167" s="32"/>
      <c r="E167" s="34"/>
    </row>
    <row r="168" spans="1:5" x14ac:dyDescent="0.3">
      <c r="A168" s="32">
        <v>167</v>
      </c>
      <c r="B168" s="32"/>
      <c r="C168" s="32" t="b">
        <f>_xlfn.XLOOKUP(Table6101112[[#This Row],[Category No]],Table8[Category No],Table8[Chapter List],FALSE)</f>
        <v>0</v>
      </c>
      <c r="D168" s="32"/>
      <c r="E168" s="34"/>
    </row>
    <row r="169" spans="1:5" x14ac:dyDescent="0.3">
      <c r="A169" s="32">
        <v>168</v>
      </c>
      <c r="B169" s="32"/>
      <c r="C169" s="32" t="b">
        <f>_xlfn.XLOOKUP(Table6101112[[#This Row],[Category No]],Table8[Category No],Table8[Chapter List],FALSE)</f>
        <v>0</v>
      </c>
      <c r="D169" s="32"/>
      <c r="E169" s="34"/>
    </row>
    <row r="170" spans="1:5" x14ac:dyDescent="0.3">
      <c r="A170" s="32">
        <v>169</v>
      </c>
      <c r="B170" s="32"/>
      <c r="C170" s="32" t="b">
        <f>_xlfn.XLOOKUP(Table6101112[[#This Row],[Category No]],Table8[Category No],Table8[Chapter List],FALSE)</f>
        <v>0</v>
      </c>
      <c r="D170" s="32"/>
      <c r="E170" s="34"/>
    </row>
    <row r="171" spans="1:5" x14ac:dyDescent="0.3">
      <c r="A171" s="32">
        <v>170</v>
      </c>
      <c r="B171" s="32"/>
      <c r="C171" s="32" t="b">
        <f>_xlfn.XLOOKUP(Table6101112[[#This Row],[Category No]],Table8[Category No],Table8[Chapter List],FALSE)</f>
        <v>0</v>
      </c>
      <c r="D171" s="32"/>
      <c r="E171" s="34"/>
    </row>
    <row r="172" spans="1:5" x14ac:dyDescent="0.3">
      <c r="A172" s="32">
        <v>171</v>
      </c>
      <c r="B172" s="32"/>
      <c r="C172" s="32" t="b">
        <f>_xlfn.XLOOKUP(Table6101112[[#This Row],[Category No]],Table8[Category No],Table8[Chapter List],FALSE)</f>
        <v>0</v>
      </c>
      <c r="D172" s="32"/>
      <c r="E172" s="34"/>
    </row>
    <row r="173" spans="1:5" x14ac:dyDescent="0.3">
      <c r="A173" s="32">
        <v>172</v>
      </c>
      <c r="B173" s="32"/>
      <c r="C173" s="32" t="b">
        <f>_xlfn.XLOOKUP(Table6101112[[#This Row],[Category No]],Table8[Category No],Table8[Chapter List],FALSE)</f>
        <v>0</v>
      </c>
      <c r="D173" s="32"/>
      <c r="E173" s="34"/>
    </row>
    <row r="174" spans="1:5" x14ac:dyDescent="0.3">
      <c r="A174" s="32">
        <v>173</v>
      </c>
      <c r="B174" s="32"/>
      <c r="C174" s="32" t="b">
        <f>_xlfn.XLOOKUP(Table6101112[[#This Row],[Category No]],Table8[Category No],Table8[Chapter List],FALSE)</f>
        <v>0</v>
      </c>
      <c r="D174" s="32"/>
      <c r="E174" s="34"/>
    </row>
    <row r="175" spans="1:5" x14ac:dyDescent="0.3">
      <c r="A175" s="32">
        <v>174</v>
      </c>
      <c r="B175" s="32"/>
      <c r="C175" s="32" t="b">
        <f>_xlfn.XLOOKUP(Table6101112[[#This Row],[Category No]],Table8[Category No],Table8[Chapter List],FALSE)</f>
        <v>0</v>
      </c>
      <c r="D175" s="32"/>
      <c r="E175" s="34"/>
    </row>
    <row r="176" spans="1:5" x14ac:dyDescent="0.3">
      <c r="A176" s="32">
        <v>175</v>
      </c>
      <c r="B176" s="32"/>
      <c r="C176" s="32" t="b">
        <f>_xlfn.XLOOKUP(Table6101112[[#This Row],[Category No]],Table8[Category No],Table8[Chapter List],FALSE)</f>
        <v>0</v>
      </c>
      <c r="D176" s="32"/>
      <c r="E176" s="34"/>
    </row>
    <row r="177" spans="1:5" x14ac:dyDescent="0.3">
      <c r="A177" s="32">
        <v>176</v>
      </c>
      <c r="B177" s="32"/>
      <c r="C177" s="32" t="b">
        <f>_xlfn.XLOOKUP(Table6101112[[#This Row],[Category No]],Table8[Category No],Table8[Chapter List],FALSE)</f>
        <v>0</v>
      </c>
      <c r="D177" s="32"/>
      <c r="E177" s="34"/>
    </row>
    <row r="178" spans="1:5" x14ac:dyDescent="0.3">
      <c r="A178" s="32">
        <v>177</v>
      </c>
      <c r="B178" s="32"/>
      <c r="C178" s="32" t="b">
        <f>_xlfn.XLOOKUP(Table6101112[[#This Row],[Category No]],Table8[Category No],Table8[Chapter List],FALSE)</f>
        <v>0</v>
      </c>
      <c r="D178" s="32"/>
      <c r="E178" s="34"/>
    </row>
    <row r="179" spans="1:5" x14ac:dyDescent="0.3">
      <c r="A179" s="32">
        <v>178</v>
      </c>
      <c r="B179" s="32"/>
      <c r="C179" s="32" t="b">
        <f>_xlfn.XLOOKUP(Table6101112[[#This Row],[Category No]],Table8[Category No],Table8[Chapter List],FALSE)</f>
        <v>0</v>
      </c>
      <c r="D179" s="32"/>
      <c r="E179" s="34"/>
    </row>
    <row r="180" spans="1:5" x14ac:dyDescent="0.3">
      <c r="A180" s="32">
        <v>179</v>
      </c>
      <c r="B180" s="32"/>
      <c r="C180" s="32" t="b">
        <f>_xlfn.XLOOKUP(Table6101112[[#This Row],[Category No]],Table8[Category No],Table8[Chapter List],FALSE)</f>
        <v>0</v>
      </c>
      <c r="D180" s="32"/>
      <c r="E180" s="34"/>
    </row>
    <row r="181" spans="1:5" x14ac:dyDescent="0.3">
      <c r="A181" s="32">
        <v>180</v>
      </c>
      <c r="B181" s="32"/>
      <c r="C181" s="32" t="b">
        <f>_xlfn.XLOOKUP(Table6101112[[#This Row],[Category No]],Table8[Category No],Table8[Chapter List],FALSE)</f>
        <v>0</v>
      </c>
      <c r="D181" s="32"/>
      <c r="E181" s="34"/>
    </row>
    <row r="182" spans="1:5" x14ac:dyDescent="0.3">
      <c r="A182" s="32">
        <v>181</v>
      </c>
      <c r="B182" s="32"/>
      <c r="C182" s="32" t="b">
        <f>_xlfn.XLOOKUP(Table6101112[[#This Row],[Category No]],Table8[Category No],Table8[Chapter List],FALSE)</f>
        <v>0</v>
      </c>
      <c r="D182" s="32"/>
      <c r="E182" s="34"/>
    </row>
    <row r="183" spans="1:5" x14ac:dyDescent="0.3">
      <c r="A183" s="32">
        <v>182</v>
      </c>
      <c r="B183" s="32"/>
      <c r="C183" s="32" t="b">
        <f>_xlfn.XLOOKUP(Table6101112[[#This Row],[Category No]],Table8[Category No],Table8[Chapter List],FALSE)</f>
        <v>0</v>
      </c>
      <c r="D183" s="32"/>
      <c r="E183" s="34"/>
    </row>
    <row r="184" spans="1:5" x14ac:dyDescent="0.3">
      <c r="A184" s="32">
        <v>183</v>
      </c>
      <c r="B184" s="32"/>
      <c r="C184" s="32" t="b">
        <f>_xlfn.XLOOKUP(Table6101112[[#This Row],[Category No]],Table8[Category No],Table8[Chapter List],FALSE)</f>
        <v>0</v>
      </c>
      <c r="D184" s="32"/>
      <c r="E184" s="34"/>
    </row>
    <row r="185" spans="1:5" x14ac:dyDescent="0.3">
      <c r="A185" s="32">
        <v>184</v>
      </c>
      <c r="B185" s="32"/>
      <c r="C185" s="32" t="b">
        <f>_xlfn.XLOOKUP(Table6101112[[#This Row],[Category No]],Table8[Category No],Table8[Chapter List],FALSE)</f>
        <v>0</v>
      </c>
      <c r="D185" s="32"/>
      <c r="E185" s="34"/>
    </row>
    <row r="186" spans="1:5" x14ac:dyDescent="0.3">
      <c r="A186" s="32">
        <v>185</v>
      </c>
      <c r="B186" s="32"/>
      <c r="C186" s="32" t="b">
        <f>_xlfn.XLOOKUP(Table6101112[[#This Row],[Category No]],Table8[Category No],Table8[Chapter List],FALSE)</f>
        <v>0</v>
      </c>
      <c r="D186" s="32"/>
      <c r="E186" s="34"/>
    </row>
    <row r="187" spans="1:5" x14ac:dyDescent="0.3">
      <c r="A187" s="32">
        <v>186</v>
      </c>
      <c r="B187" s="32"/>
      <c r="C187" s="32" t="b">
        <f>_xlfn.XLOOKUP(Table6101112[[#This Row],[Category No]],Table8[Category No],Table8[Chapter List],FALSE)</f>
        <v>0</v>
      </c>
      <c r="D187" s="32"/>
      <c r="E187" s="34"/>
    </row>
    <row r="188" spans="1:5" x14ac:dyDescent="0.3">
      <c r="A188" s="32">
        <v>187</v>
      </c>
      <c r="B188" s="32"/>
      <c r="C188" s="32" t="b">
        <f>_xlfn.XLOOKUP(Table6101112[[#This Row],[Category No]],Table8[Category No],Table8[Chapter List],FALSE)</f>
        <v>0</v>
      </c>
      <c r="D188" s="32"/>
      <c r="E188" s="34"/>
    </row>
    <row r="189" spans="1:5" x14ac:dyDescent="0.3">
      <c r="A189" s="32">
        <v>188</v>
      </c>
      <c r="B189" s="32"/>
      <c r="C189" s="32" t="b">
        <f>_xlfn.XLOOKUP(Table6101112[[#This Row],[Category No]],Table8[Category No],Table8[Chapter List],FALSE)</f>
        <v>0</v>
      </c>
      <c r="D189" s="32"/>
      <c r="E189" s="34"/>
    </row>
    <row r="190" spans="1:5" x14ac:dyDescent="0.3">
      <c r="A190" s="32">
        <v>189</v>
      </c>
      <c r="B190" s="32"/>
      <c r="C190" s="32" t="b">
        <f>_xlfn.XLOOKUP(Table6101112[[#This Row],[Category No]],Table8[Category No],Table8[Chapter List],FALSE)</f>
        <v>0</v>
      </c>
      <c r="D190" s="32"/>
      <c r="E190" s="34"/>
    </row>
    <row r="191" spans="1:5" x14ac:dyDescent="0.3">
      <c r="A191" s="32">
        <v>190</v>
      </c>
      <c r="B191" s="32"/>
      <c r="C191" s="32" t="b">
        <f>_xlfn.XLOOKUP(Table6101112[[#This Row],[Category No]],Table8[Category No],Table8[Chapter List],FALSE)</f>
        <v>0</v>
      </c>
      <c r="D191" s="32"/>
      <c r="E191" s="34"/>
    </row>
    <row r="192" spans="1:5" x14ac:dyDescent="0.3">
      <c r="A192" s="32">
        <v>191</v>
      </c>
      <c r="B192" s="32"/>
      <c r="C192" s="32" t="b">
        <f>_xlfn.XLOOKUP(Table6101112[[#This Row],[Category No]],Table8[Category No],Table8[Chapter List],FALSE)</f>
        <v>0</v>
      </c>
      <c r="D192" s="32"/>
      <c r="E192" s="34"/>
    </row>
    <row r="193" spans="1:5" x14ac:dyDescent="0.3">
      <c r="A193" s="32">
        <v>192</v>
      </c>
      <c r="B193" s="32"/>
      <c r="C193" s="32" t="b">
        <f>_xlfn.XLOOKUP(Table6101112[[#This Row],[Category No]],Table8[Category No],Table8[Chapter List],FALSE)</f>
        <v>0</v>
      </c>
      <c r="D193" s="32"/>
      <c r="E193" s="34"/>
    </row>
    <row r="194" spans="1:5" x14ac:dyDescent="0.3">
      <c r="A194" s="32">
        <v>193</v>
      </c>
      <c r="B194" s="32"/>
      <c r="C194" s="32" t="b">
        <f>_xlfn.XLOOKUP(Table6101112[[#This Row],[Category No]],Table8[Category No],Table8[Chapter List],FALSE)</f>
        <v>0</v>
      </c>
      <c r="D194" s="32"/>
      <c r="E194" s="34"/>
    </row>
    <row r="195" spans="1:5" x14ac:dyDescent="0.3">
      <c r="A195" s="32">
        <v>194</v>
      </c>
      <c r="B195" s="32"/>
      <c r="C195" s="32" t="b">
        <f>_xlfn.XLOOKUP(Table6101112[[#This Row],[Category No]],Table8[Category No],Table8[Chapter List],FALSE)</f>
        <v>0</v>
      </c>
      <c r="D195" s="32"/>
      <c r="E195" s="34"/>
    </row>
    <row r="196" spans="1:5" x14ac:dyDescent="0.3">
      <c r="A196" s="32">
        <v>195</v>
      </c>
      <c r="B196" s="32"/>
      <c r="C196" s="32" t="b">
        <f>_xlfn.XLOOKUP(Table6101112[[#This Row],[Category No]],Table8[Category No],Table8[Chapter List],FALSE)</f>
        <v>0</v>
      </c>
      <c r="D196" s="32"/>
      <c r="E196" s="34"/>
    </row>
    <row r="197" spans="1:5" x14ac:dyDescent="0.3">
      <c r="A197" s="32">
        <v>196</v>
      </c>
      <c r="B197" s="32"/>
      <c r="C197" s="32" t="b">
        <f>_xlfn.XLOOKUP(Table6101112[[#This Row],[Category No]],Table8[Category No],Table8[Chapter List],FALSE)</f>
        <v>0</v>
      </c>
      <c r="D197" s="32"/>
      <c r="E197" s="34"/>
    </row>
    <row r="198" spans="1:5" x14ac:dyDescent="0.3">
      <c r="A198" s="32">
        <v>197</v>
      </c>
      <c r="B198" s="32"/>
      <c r="C198" s="32" t="b">
        <f>_xlfn.XLOOKUP(Table6101112[[#This Row],[Category No]],Table8[Category No],Table8[Chapter List],FALSE)</f>
        <v>0</v>
      </c>
      <c r="D198" s="32"/>
      <c r="E198" s="34"/>
    </row>
    <row r="199" spans="1:5" x14ac:dyDescent="0.3">
      <c r="A199" s="32">
        <v>198</v>
      </c>
      <c r="B199" s="32"/>
      <c r="C199" s="32" t="b">
        <f>_xlfn.XLOOKUP(Table6101112[[#This Row],[Category No]],Table8[Category No],Table8[Chapter List],FALSE)</f>
        <v>0</v>
      </c>
      <c r="D199" s="32"/>
      <c r="E199" s="34"/>
    </row>
    <row r="200" spans="1:5" x14ac:dyDescent="0.3">
      <c r="A200" s="32">
        <v>199</v>
      </c>
      <c r="B200" s="32"/>
      <c r="C200" s="32" t="b">
        <f>_xlfn.XLOOKUP(Table6101112[[#This Row],[Category No]],Table8[Category No],Table8[Chapter List],FALSE)</f>
        <v>0</v>
      </c>
      <c r="D200" s="32"/>
      <c r="E200" s="34"/>
    </row>
    <row r="201" spans="1:5" x14ac:dyDescent="0.3">
      <c r="A201" s="32">
        <v>200</v>
      </c>
      <c r="B201" s="32"/>
      <c r="C201" s="32" t="b">
        <f>_xlfn.XLOOKUP(Table6101112[[#This Row],[Category No]],Table8[Category No],Table8[Chapter List],FALSE)</f>
        <v>0</v>
      </c>
      <c r="D201" s="32"/>
      <c r="E201" s="34"/>
    </row>
    <row r="202" spans="1:5" x14ac:dyDescent="0.3">
      <c r="A202" s="32">
        <v>201</v>
      </c>
      <c r="B202" s="32"/>
      <c r="C202" s="32" t="b">
        <f>_xlfn.XLOOKUP(Table6101112[[#This Row],[Category No]],Table8[Category No],Table8[Chapter List],FALSE)</f>
        <v>0</v>
      </c>
      <c r="D202" s="32"/>
      <c r="E202" s="34"/>
    </row>
    <row r="203" spans="1:5" x14ac:dyDescent="0.3">
      <c r="A203" s="32">
        <v>202</v>
      </c>
      <c r="B203" s="32"/>
      <c r="C203" s="32" t="b">
        <f>_xlfn.XLOOKUP(Table6101112[[#This Row],[Category No]],Table8[Category No],Table8[Chapter List],FALSE)</f>
        <v>0</v>
      </c>
      <c r="D203" s="32"/>
      <c r="E203" s="34"/>
    </row>
    <row r="204" spans="1:5" x14ac:dyDescent="0.3">
      <c r="A204" s="32">
        <v>203</v>
      </c>
      <c r="B204" s="32"/>
      <c r="C204" s="32" t="b">
        <f>_xlfn.XLOOKUP(Table6101112[[#This Row],[Category No]],Table8[Category No],Table8[Chapter List],FALSE)</f>
        <v>0</v>
      </c>
      <c r="D204" s="32"/>
      <c r="E204" s="34"/>
    </row>
    <row r="205" spans="1:5" x14ac:dyDescent="0.3">
      <c r="A205" s="32">
        <v>204</v>
      </c>
      <c r="B205" s="32"/>
      <c r="C205" s="32" t="b">
        <f>_xlfn.XLOOKUP(Table6101112[[#This Row],[Category No]],Table8[Category No],Table8[Chapter List],FALSE)</f>
        <v>0</v>
      </c>
      <c r="D205" s="32"/>
      <c r="E205" s="34"/>
    </row>
    <row r="206" spans="1:5" x14ac:dyDescent="0.3">
      <c r="A206" s="32">
        <v>205</v>
      </c>
      <c r="B206" s="32"/>
      <c r="C206" s="32" t="b">
        <f>_xlfn.XLOOKUP(Table6101112[[#This Row],[Category No]],Table8[Category No],Table8[Chapter List],FALSE)</f>
        <v>0</v>
      </c>
      <c r="D206" s="32"/>
      <c r="E206" s="34"/>
    </row>
    <row r="207" spans="1:5" x14ac:dyDescent="0.3">
      <c r="A207" s="32">
        <v>206</v>
      </c>
      <c r="B207" s="32"/>
      <c r="C207" s="32" t="b">
        <f>_xlfn.XLOOKUP(Table6101112[[#This Row],[Category No]],Table8[Category No],Table8[Chapter List],FALSE)</f>
        <v>0</v>
      </c>
      <c r="D207" s="32"/>
      <c r="E207" s="34"/>
    </row>
    <row r="208" spans="1:5" x14ac:dyDescent="0.3">
      <c r="A208" s="32">
        <v>207</v>
      </c>
      <c r="B208" s="32"/>
      <c r="C208" s="32" t="b">
        <f>_xlfn.XLOOKUP(Table6101112[[#This Row],[Category No]],Table8[Category No],Table8[Chapter List],FALSE)</f>
        <v>0</v>
      </c>
      <c r="D208" s="32"/>
      <c r="E208" s="34"/>
    </row>
    <row r="209" spans="1:5" x14ac:dyDescent="0.3">
      <c r="A209" s="32">
        <v>208</v>
      </c>
      <c r="B209" s="32"/>
      <c r="C209" s="32" t="b">
        <f>_xlfn.XLOOKUP(Table6101112[[#This Row],[Category No]],Table8[Category No],Table8[Chapter List],FALSE)</f>
        <v>0</v>
      </c>
      <c r="D209" s="32"/>
      <c r="E209" s="34"/>
    </row>
    <row r="210" spans="1:5" x14ac:dyDescent="0.3">
      <c r="A210" s="32">
        <v>209</v>
      </c>
      <c r="B210" s="32"/>
      <c r="C210" s="32" t="b">
        <f>_xlfn.XLOOKUP(Table6101112[[#This Row],[Category No]],Table8[Category No],Table8[Chapter List],FALSE)</f>
        <v>0</v>
      </c>
      <c r="D210" s="32"/>
      <c r="E210" s="34"/>
    </row>
    <row r="211" spans="1:5" x14ac:dyDescent="0.3">
      <c r="A211" s="32">
        <v>210</v>
      </c>
      <c r="B211" s="32"/>
      <c r="C211" s="32" t="b">
        <f>_xlfn.XLOOKUP(Table6101112[[#This Row],[Category No]],Table8[Category No],Table8[Chapter List],FALSE)</f>
        <v>0</v>
      </c>
      <c r="D211" s="32"/>
      <c r="E211" s="34"/>
    </row>
    <row r="212" spans="1:5" x14ac:dyDescent="0.3">
      <c r="A212" s="32">
        <v>211</v>
      </c>
      <c r="B212" s="32"/>
      <c r="C212" s="32" t="b">
        <f>_xlfn.XLOOKUP(Table6101112[[#This Row],[Category No]],Table8[Category No],Table8[Chapter List],FALSE)</f>
        <v>0</v>
      </c>
      <c r="D212" s="32"/>
      <c r="E212" s="34"/>
    </row>
    <row r="213" spans="1:5" x14ac:dyDescent="0.3">
      <c r="A213" s="32">
        <v>212</v>
      </c>
      <c r="B213" s="32"/>
      <c r="C213" s="32" t="b">
        <f>_xlfn.XLOOKUP(Table6101112[[#This Row],[Category No]],Table8[Category No],Table8[Chapter List],FALSE)</f>
        <v>0</v>
      </c>
      <c r="D213" s="32"/>
      <c r="E213" s="34"/>
    </row>
    <row r="214" spans="1:5" x14ac:dyDescent="0.3">
      <c r="A214" s="32">
        <v>213</v>
      </c>
      <c r="B214" s="32"/>
      <c r="C214" s="32" t="b">
        <f>_xlfn.XLOOKUP(Table6101112[[#This Row],[Category No]],Table8[Category No],Table8[Chapter List],FALSE)</f>
        <v>0</v>
      </c>
      <c r="D214" s="32"/>
      <c r="E214" s="34"/>
    </row>
    <row r="215" spans="1:5" x14ac:dyDescent="0.3">
      <c r="A215" s="32">
        <v>214</v>
      </c>
      <c r="B215" s="32"/>
      <c r="C215" s="32" t="b">
        <f>_xlfn.XLOOKUP(Table6101112[[#This Row],[Category No]],Table8[Category No],Table8[Chapter List],FALSE)</f>
        <v>0</v>
      </c>
      <c r="D215" s="32"/>
      <c r="E215" s="34"/>
    </row>
    <row r="216" spans="1:5" x14ac:dyDescent="0.3">
      <c r="A216" s="32">
        <v>215</v>
      </c>
      <c r="B216" s="32"/>
      <c r="C216" s="32" t="b">
        <f>_xlfn.XLOOKUP(Table6101112[[#This Row],[Category No]],Table8[Category No],Table8[Chapter List],FALSE)</f>
        <v>0</v>
      </c>
      <c r="D216" s="32"/>
      <c r="E216" s="34"/>
    </row>
    <row r="217" spans="1:5" x14ac:dyDescent="0.3">
      <c r="A217" s="32">
        <v>216</v>
      </c>
      <c r="B217" s="32"/>
      <c r="C217" s="32" t="b">
        <f>_xlfn.XLOOKUP(Table6101112[[#This Row],[Category No]],Table8[Category No],Table8[Chapter List],FALSE)</f>
        <v>0</v>
      </c>
      <c r="D217" s="32"/>
      <c r="E217" s="34"/>
    </row>
    <row r="218" spans="1:5" x14ac:dyDescent="0.3">
      <c r="A218" s="32">
        <v>217</v>
      </c>
      <c r="B218" s="32"/>
      <c r="C218" s="32" t="b">
        <f>_xlfn.XLOOKUP(Table6101112[[#This Row],[Category No]],Table8[Category No],Table8[Chapter List],FALSE)</f>
        <v>0</v>
      </c>
      <c r="D218" s="32"/>
      <c r="E218" s="34"/>
    </row>
    <row r="219" spans="1:5" x14ac:dyDescent="0.3">
      <c r="A219" s="32">
        <v>218</v>
      </c>
      <c r="B219" s="32"/>
      <c r="C219" s="32" t="b">
        <f>_xlfn.XLOOKUP(Table6101112[[#This Row],[Category No]],Table8[Category No],Table8[Chapter List],FALSE)</f>
        <v>0</v>
      </c>
      <c r="D219" s="32"/>
      <c r="E219" s="34"/>
    </row>
    <row r="220" spans="1:5" x14ac:dyDescent="0.3">
      <c r="A220" s="32">
        <v>219</v>
      </c>
      <c r="B220" s="32"/>
      <c r="C220" s="32" t="b">
        <f>_xlfn.XLOOKUP(Table6101112[[#This Row],[Category No]],Table8[Category No],Table8[Chapter List],FALSE)</f>
        <v>0</v>
      </c>
      <c r="D220" s="32"/>
      <c r="E220" s="34"/>
    </row>
    <row r="221" spans="1:5" x14ac:dyDescent="0.3">
      <c r="A221" s="32">
        <v>220</v>
      </c>
      <c r="B221" s="32"/>
      <c r="C221" s="32" t="b">
        <f>_xlfn.XLOOKUP(Table6101112[[#This Row],[Category No]],Table8[Category No],Table8[Chapter List],FALSE)</f>
        <v>0</v>
      </c>
      <c r="D221" s="32"/>
      <c r="E221" s="34"/>
    </row>
    <row r="222" spans="1:5" x14ac:dyDescent="0.3">
      <c r="A222" s="32">
        <v>221</v>
      </c>
      <c r="B222" s="32"/>
      <c r="C222" s="32" t="b">
        <f>_xlfn.XLOOKUP(Table6101112[[#This Row],[Category No]],Table8[Category No],Table8[Chapter List],FALSE)</f>
        <v>0</v>
      </c>
      <c r="D222" s="32"/>
      <c r="E222" s="34"/>
    </row>
    <row r="223" spans="1:5" x14ac:dyDescent="0.3">
      <c r="A223" s="32">
        <v>222</v>
      </c>
      <c r="B223" s="32"/>
      <c r="C223" s="32" t="b">
        <f>_xlfn.XLOOKUP(Table6101112[[#This Row],[Category No]],Table8[Category No],Table8[Chapter List],FALSE)</f>
        <v>0</v>
      </c>
      <c r="D223" s="32"/>
      <c r="E223" s="34"/>
    </row>
    <row r="224" spans="1:5" x14ac:dyDescent="0.3">
      <c r="A224" s="32">
        <v>223</v>
      </c>
      <c r="B224" s="32"/>
      <c r="C224" s="32" t="b">
        <f>_xlfn.XLOOKUP(Table6101112[[#This Row],[Category No]],Table8[Category No],Table8[Chapter List],FALSE)</f>
        <v>0</v>
      </c>
      <c r="D224" s="32"/>
      <c r="E224" s="34"/>
    </row>
    <row r="225" spans="1:5" x14ac:dyDescent="0.3">
      <c r="A225" s="32">
        <v>224</v>
      </c>
      <c r="B225" s="32"/>
      <c r="C225" s="32" t="b">
        <f>_xlfn.XLOOKUP(Table6101112[[#This Row],[Category No]],Table8[Category No],Table8[Chapter List],FALSE)</f>
        <v>0</v>
      </c>
      <c r="D225" s="32"/>
      <c r="E225" s="34"/>
    </row>
    <row r="226" spans="1:5" x14ac:dyDescent="0.3">
      <c r="A226" s="32">
        <v>225</v>
      </c>
      <c r="B226" s="32"/>
      <c r="C226" s="32" t="b">
        <f>_xlfn.XLOOKUP(Table6101112[[#This Row],[Category No]],Table8[Category No],Table8[Chapter List],FALSE)</f>
        <v>0</v>
      </c>
      <c r="D226" s="32"/>
      <c r="E226" s="34"/>
    </row>
    <row r="227" spans="1:5" x14ac:dyDescent="0.3">
      <c r="A227" s="32">
        <v>226</v>
      </c>
      <c r="B227" s="32"/>
      <c r="C227" s="32" t="b">
        <f>_xlfn.XLOOKUP(Table6101112[[#This Row],[Category No]],Table8[Category No],Table8[Chapter List],FALSE)</f>
        <v>0</v>
      </c>
      <c r="D227" s="32"/>
      <c r="E227" s="34"/>
    </row>
    <row r="228" spans="1:5" x14ac:dyDescent="0.3">
      <c r="A228" s="32">
        <v>227</v>
      </c>
      <c r="B228" s="32"/>
      <c r="C228" s="32" t="b">
        <f>_xlfn.XLOOKUP(Table6101112[[#This Row],[Category No]],Table8[Category No],Table8[Chapter List],FALSE)</f>
        <v>0</v>
      </c>
      <c r="D228" s="32"/>
      <c r="E228" s="34"/>
    </row>
    <row r="229" spans="1:5" x14ac:dyDescent="0.3">
      <c r="A229" s="32">
        <v>228</v>
      </c>
      <c r="B229" s="32"/>
      <c r="C229" s="32" t="b">
        <f>_xlfn.XLOOKUP(Table6101112[[#This Row],[Category No]],Table8[Category No],Table8[Chapter List],FALSE)</f>
        <v>0</v>
      </c>
      <c r="D229" s="32"/>
      <c r="E229" s="34"/>
    </row>
    <row r="230" spans="1:5" x14ac:dyDescent="0.3">
      <c r="A230" s="32">
        <v>229</v>
      </c>
      <c r="B230" s="32"/>
      <c r="C230" s="32" t="b">
        <f>_xlfn.XLOOKUP(Table6101112[[#This Row],[Category No]],Table8[Category No],Table8[Chapter List],FALSE)</f>
        <v>0</v>
      </c>
      <c r="D230" s="32"/>
      <c r="E230" s="34"/>
    </row>
    <row r="231" spans="1:5" x14ac:dyDescent="0.3">
      <c r="A231" s="32">
        <v>230</v>
      </c>
      <c r="B231" s="32"/>
      <c r="C231" s="32" t="b">
        <f>_xlfn.XLOOKUP(Table6101112[[#This Row],[Category No]],Table8[Category No],Table8[Chapter List],FALSE)</f>
        <v>0</v>
      </c>
      <c r="D231" s="32"/>
      <c r="E231" s="34"/>
    </row>
    <row r="232" spans="1:5" x14ac:dyDescent="0.3">
      <c r="A232" s="32">
        <v>231</v>
      </c>
      <c r="B232" s="32"/>
      <c r="C232" s="32" t="b">
        <f>_xlfn.XLOOKUP(Table6101112[[#This Row],[Category No]],Table8[Category No],Table8[Chapter List],FALSE)</f>
        <v>0</v>
      </c>
      <c r="D232" s="32"/>
      <c r="E232" s="34"/>
    </row>
    <row r="233" spans="1:5" x14ac:dyDescent="0.3">
      <c r="A233" s="32">
        <v>232</v>
      </c>
      <c r="B233" s="32"/>
      <c r="C233" s="32" t="b">
        <f>_xlfn.XLOOKUP(Table6101112[[#This Row],[Category No]],Table8[Category No],Table8[Chapter List],FALSE)</f>
        <v>0</v>
      </c>
      <c r="D233" s="32"/>
      <c r="E233" s="34"/>
    </row>
    <row r="234" spans="1:5" x14ac:dyDescent="0.3">
      <c r="A234" s="32">
        <v>233</v>
      </c>
      <c r="B234" s="32"/>
      <c r="C234" s="32" t="b">
        <f>_xlfn.XLOOKUP(Table6101112[[#This Row],[Category No]],Table8[Category No],Table8[Chapter List],FALSE)</f>
        <v>0</v>
      </c>
      <c r="D234" s="32"/>
      <c r="E234" s="34"/>
    </row>
    <row r="235" spans="1:5" x14ac:dyDescent="0.3">
      <c r="A235" s="32">
        <v>234</v>
      </c>
      <c r="B235" s="32"/>
      <c r="C235" s="32" t="b">
        <f>_xlfn.XLOOKUP(Table6101112[[#This Row],[Category No]],Table8[Category No],Table8[Chapter List],FALSE)</f>
        <v>0</v>
      </c>
      <c r="D235" s="32"/>
      <c r="E235" s="34"/>
    </row>
    <row r="236" spans="1:5" x14ac:dyDescent="0.3">
      <c r="A236" s="32">
        <v>235</v>
      </c>
      <c r="B236" s="32"/>
      <c r="C236" s="32" t="b">
        <f>_xlfn.XLOOKUP(Table6101112[[#This Row],[Category No]],Table8[Category No],Table8[Chapter List],FALSE)</f>
        <v>0</v>
      </c>
      <c r="D236" s="32"/>
      <c r="E236" s="34"/>
    </row>
    <row r="237" spans="1:5" x14ac:dyDescent="0.3">
      <c r="A237" s="32">
        <v>236</v>
      </c>
      <c r="B237" s="32"/>
      <c r="C237" s="32" t="b">
        <f>_xlfn.XLOOKUP(Table6101112[[#This Row],[Category No]],Table8[Category No],Table8[Chapter List],FALSE)</f>
        <v>0</v>
      </c>
      <c r="D237" s="32"/>
      <c r="E237" s="34"/>
    </row>
    <row r="238" spans="1:5" x14ac:dyDescent="0.3">
      <c r="A238" s="32">
        <v>237</v>
      </c>
      <c r="B238" s="32"/>
      <c r="C238" s="32" t="b">
        <f>_xlfn.XLOOKUP(Table6101112[[#This Row],[Category No]],Table8[Category No],Table8[Chapter List],FALSE)</f>
        <v>0</v>
      </c>
      <c r="D238" s="32"/>
      <c r="E238" s="34"/>
    </row>
    <row r="239" spans="1:5" x14ac:dyDescent="0.3">
      <c r="A239" s="32">
        <v>238</v>
      </c>
      <c r="B239" s="32"/>
      <c r="C239" s="32" t="b">
        <f>_xlfn.XLOOKUP(Table6101112[[#This Row],[Category No]],Table8[Category No],Table8[Chapter List],FALSE)</f>
        <v>0</v>
      </c>
      <c r="D239" s="32"/>
      <c r="E239" s="34"/>
    </row>
    <row r="240" spans="1:5" x14ac:dyDescent="0.3">
      <c r="A240" s="32">
        <v>239</v>
      </c>
      <c r="B240" s="32"/>
      <c r="C240" s="32" t="b">
        <f>_xlfn.XLOOKUP(Table6101112[[#This Row],[Category No]],Table8[Category No],Table8[Chapter List],FALSE)</f>
        <v>0</v>
      </c>
      <c r="D240" s="32"/>
      <c r="E240" s="34"/>
    </row>
    <row r="241" spans="1:5" x14ac:dyDescent="0.3">
      <c r="A241" s="32">
        <v>240</v>
      </c>
      <c r="B241" s="32"/>
      <c r="C241" s="32" t="b">
        <f>_xlfn.XLOOKUP(Table6101112[[#This Row],[Category No]],Table8[Category No],Table8[Chapter List],FALSE)</f>
        <v>0</v>
      </c>
      <c r="D241" s="32"/>
      <c r="E241" s="34"/>
    </row>
    <row r="242" spans="1:5" x14ac:dyDescent="0.3">
      <c r="A242" s="32">
        <v>241</v>
      </c>
      <c r="B242" s="32"/>
      <c r="C242" s="32" t="b">
        <f>_xlfn.XLOOKUP(Table6101112[[#This Row],[Category No]],Table8[Category No],Table8[Chapter List],FALSE)</f>
        <v>0</v>
      </c>
      <c r="D242" s="32"/>
      <c r="E242" s="34"/>
    </row>
    <row r="243" spans="1:5" x14ac:dyDescent="0.3">
      <c r="A243" s="32">
        <v>242</v>
      </c>
      <c r="B243" s="32"/>
      <c r="C243" s="32" t="b">
        <f>_xlfn.XLOOKUP(Table6101112[[#This Row],[Category No]],Table8[Category No],Table8[Chapter List],FALSE)</f>
        <v>0</v>
      </c>
      <c r="D243" s="32"/>
      <c r="E243" s="34"/>
    </row>
    <row r="244" spans="1:5" x14ac:dyDescent="0.3">
      <c r="A244" s="32">
        <v>243</v>
      </c>
      <c r="B244" s="32"/>
      <c r="C244" s="32" t="b">
        <f>_xlfn.XLOOKUP(Table6101112[[#This Row],[Category No]],Table8[Category No],Table8[Chapter List],FALSE)</f>
        <v>0</v>
      </c>
      <c r="D244" s="32"/>
      <c r="E244" s="34"/>
    </row>
    <row r="245" spans="1:5" x14ac:dyDescent="0.3">
      <c r="A245" s="32">
        <v>244</v>
      </c>
      <c r="B245" s="32"/>
      <c r="C245" s="32" t="b">
        <f>_xlfn.XLOOKUP(Table6101112[[#This Row],[Category No]],Table8[Category No],Table8[Chapter List],FALSE)</f>
        <v>0</v>
      </c>
      <c r="D245" s="32"/>
      <c r="E245" s="34"/>
    </row>
    <row r="246" spans="1:5" x14ac:dyDescent="0.3">
      <c r="A246" s="32">
        <v>245</v>
      </c>
      <c r="B246" s="32"/>
      <c r="C246" s="32" t="b">
        <f>_xlfn.XLOOKUP(Table6101112[[#This Row],[Category No]],Table8[Category No],Table8[Chapter List],FALSE)</f>
        <v>0</v>
      </c>
      <c r="D246" s="32"/>
      <c r="E246" s="34"/>
    </row>
    <row r="247" spans="1:5" x14ac:dyDescent="0.3">
      <c r="A247" s="32">
        <v>246</v>
      </c>
      <c r="B247" s="32"/>
      <c r="C247" s="32" t="b">
        <f>_xlfn.XLOOKUP(Table6101112[[#This Row],[Category No]],Table8[Category No],Table8[Chapter List],FALSE)</f>
        <v>0</v>
      </c>
      <c r="D247" s="32"/>
      <c r="E247" s="34"/>
    </row>
    <row r="248" spans="1:5" x14ac:dyDescent="0.3">
      <c r="A248" s="32">
        <v>247</v>
      </c>
      <c r="B248" s="32"/>
      <c r="C248" s="32" t="b">
        <f>_xlfn.XLOOKUP(Table6101112[[#This Row],[Category No]],Table8[Category No],Table8[Chapter List],FALSE)</f>
        <v>0</v>
      </c>
      <c r="D248" s="32"/>
      <c r="E248" s="34"/>
    </row>
    <row r="249" spans="1:5" x14ac:dyDescent="0.3">
      <c r="A249" s="32">
        <v>248</v>
      </c>
      <c r="B249" s="32"/>
      <c r="C249" s="32" t="b">
        <f>_xlfn.XLOOKUP(Table6101112[[#This Row],[Category No]],Table8[Category No],Table8[Chapter List],FALSE)</f>
        <v>0</v>
      </c>
      <c r="D249" s="32"/>
      <c r="E249" s="34"/>
    </row>
    <row r="250" spans="1:5" x14ac:dyDescent="0.3">
      <c r="A250" s="32">
        <v>249</v>
      </c>
      <c r="B250" s="32"/>
      <c r="C250" s="32" t="b">
        <f>_xlfn.XLOOKUP(Table6101112[[#This Row],[Category No]],Table8[Category No],Table8[Chapter List],FALSE)</f>
        <v>0</v>
      </c>
      <c r="D250" s="32"/>
      <c r="E250" s="34"/>
    </row>
    <row r="251" spans="1:5" x14ac:dyDescent="0.3">
      <c r="A251" s="32">
        <v>250</v>
      </c>
      <c r="B251" s="32"/>
      <c r="C251" s="32" t="b">
        <f>_xlfn.XLOOKUP(Table6101112[[#This Row],[Category No]],Table8[Category No],Table8[Chapter List],FALSE)</f>
        <v>0</v>
      </c>
      <c r="D251" s="32"/>
      <c r="E251" s="34"/>
    </row>
    <row r="252" spans="1:5" x14ac:dyDescent="0.3">
      <c r="A252" s="32">
        <v>251</v>
      </c>
      <c r="B252" s="32"/>
      <c r="C252" s="32" t="b">
        <f>_xlfn.XLOOKUP(Table6101112[[#This Row],[Category No]],Table8[Category No],Table8[Chapter List],FALSE)</f>
        <v>0</v>
      </c>
      <c r="D252" s="32"/>
      <c r="E252" s="34"/>
    </row>
    <row r="253" spans="1:5" x14ac:dyDescent="0.3">
      <c r="A253" s="32">
        <v>252</v>
      </c>
      <c r="B253" s="32"/>
      <c r="C253" s="32" t="b">
        <f>_xlfn.XLOOKUP(Table6101112[[#This Row],[Category No]],Table8[Category No],Table8[Chapter List],FALSE)</f>
        <v>0</v>
      </c>
      <c r="D253" s="32"/>
      <c r="E253" s="34"/>
    </row>
    <row r="254" spans="1:5" x14ac:dyDescent="0.3">
      <c r="A254" s="32">
        <v>253</v>
      </c>
      <c r="B254" s="32"/>
      <c r="C254" s="32" t="b">
        <f>_xlfn.XLOOKUP(Table6101112[[#This Row],[Category No]],Table8[Category No],Table8[Chapter List],FALSE)</f>
        <v>0</v>
      </c>
      <c r="D254" s="32"/>
      <c r="E254" s="34"/>
    </row>
    <row r="255" spans="1:5" x14ac:dyDescent="0.3">
      <c r="A255" s="32">
        <v>254</v>
      </c>
      <c r="B255" s="32"/>
      <c r="C255" s="32" t="b">
        <f>_xlfn.XLOOKUP(Table6101112[[#This Row],[Category No]],Table8[Category No],Table8[Chapter List],FALSE)</f>
        <v>0</v>
      </c>
      <c r="D255" s="32"/>
      <c r="E255" s="34"/>
    </row>
    <row r="256" spans="1:5" x14ac:dyDescent="0.3">
      <c r="A256" s="32">
        <v>255</v>
      </c>
      <c r="B256" s="32"/>
      <c r="C256" s="32" t="b">
        <f>_xlfn.XLOOKUP(Table6101112[[#This Row],[Category No]],Table8[Category No],Table8[Chapter List],FALSE)</f>
        <v>0</v>
      </c>
      <c r="D256" s="32"/>
      <c r="E256" s="34"/>
    </row>
    <row r="257" spans="1:5" x14ac:dyDescent="0.3">
      <c r="A257" s="32">
        <v>256</v>
      </c>
      <c r="B257" s="32"/>
      <c r="C257" s="32" t="b">
        <f>_xlfn.XLOOKUP(Table6101112[[#This Row],[Category No]],Table8[Category No],Table8[Chapter List],FALSE)</f>
        <v>0</v>
      </c>
      <c r="D257" s="32"/>
      <c r="E257" s="34"/>
    </row>
    <row r="258" spans="1:5" x14ac:dyDescent="0.3">
      <c r="A258" s="32">
        <v>257</v>
      </c>
      <c r="B258" s="32"/>
      <c r="C258" s="32" t="b">
        <f>_xlfn.XLOOKUP(Table6101112[[#This Row],[Category No]],Table8[Category No],Table8[Chapter List],FALSE)</f>
        <v>0</v>
      </c>
      <c r="D258" s="32"/>
      <c r="E258" s="34"/>
    </row>
    <row r="259" spans="1:5" x14ac:dyDescent="0.3">
      <c r="A259" s="32">
        <v>258</v>
      </c>
      <c r="B259" s="32"/>
      <c r="C259" s="32" t="b">
        <f>_xlfn.XLOOKUP(Table6101112[[#This Row],[Category No]],Table8[Category No],Table8[Chapter List],FALSE)</f>
        <v>0</v>
      </c>
      <c r="D259" s="32"/>
      <c r="E259" s="34"/>
    </row>
    <row r="260" spans="1:5" x14ac:dyDescent="0.3">
      <c r="A260" s="32">
        <v>259</v>
      </c>
      <c r="B260" s="32"/>
      <c r="C260" s="32" t="b">
        <f>_xlfn.XLOOKUP(Table6101112[[#This Row],[Category No]],Table8[Category No],Table8[Chapter List],FALSE)</f>
        <v>0</v>
      </c>
      <c r="D260" s="32"/>
      <c r="E260" s="34"/>
    </row>
    <row r="261" spans="1:5" x14ac:dyDescent="0.3">
      <c r="A261" s="32">
        <v>260</v>
      </c>
      <c r="B261" s="32"/>
      <c r="C261" s="32" t="b">
        <f>_xlfn.XLOOKUP(Table6101112[[#This Row],[Category No]],Table8[Category No],Table8[Chapter List],FALSE)</f>
        <v>0</v>
      </c>
      <c r="D261" s="32"/>
      <c r="E261" s="34"/>
    </row>
    <row r="262" spans="1:5" x14ac:dyDescent="0.3">
      <c r="A262" s="32">
        <v>261</v>
      </c>
      <c r="B262" s="32"/>
      <c r="C262" s="32" t="b">
        <f>_xlfn.XLOOKUP(Table6101112[[#This Row],[Category No]],Table8[Category No],Table8[Chapter List],FALSE)</f>
        <v>0</v>
      </c>
      <c r="D262" s="32"/>
      <c r="E262" s="34"/>
    </row>
    <row r="263" spans="1:5" x14ac:dyDescent="0.3">
      <c r="A263" s="32">
        <v>262</v>
      </c>
      <c r="B263" s="32"/>
      <c r="C263" s="32" t="b">
        <f>_xlfn.XLOOKUP(Table6101112[[#This Row],[Category No]],Table8[Category No],Table8[Chapter List],FALSE)</f>
        <v>0</v>
      </c>
      <c r="D263" s="32"/>
      <c r="E263" s="34"/>
    </row>
    <row r="264" spans="1:5" x14ac:dyDescent="0.3">
      <c r="A264" s="32">
        <v>263</v>
      </c>
      <c r="B264" s="32"/>
      <c r="C264" s="32" t="b">
        <f>_xlfn.XLOOKUP(Table6101112[[#This Row],[Category No]],Table8[Category No],Table8[Chapter List],FALSE)</f>
        <v>0</v>
      </c>
      <c r="D264" s="32"/>
      <c r="E264" s="34"/>
    </row>
    <row r="265" spans="1:5" x14ac:dyDescent="0.3">
      <c r="A265" s="32">
        <v>264</v>
      </c>
      <c r="B265" s="32"/>
      <c r="C265" s="32" t="b">
        <f>_xlfn.XLOOKUP(Table6101112[[#This Row],[Category No]],Table8[Category No],Table8[Chapter List],FALSE)</f>
        <v>0</v>
      </c>
      <c r="D265" s="32"/>
      <c r="E265" s="34"/>
    </row>
    <row r="266" spans="1:5" x14ac:dyDescent="0.3">
      <c r="A266" s="32">
        <v>265</v>
      </c>
      <c r="B266" s="32"/>
      <c r="C266" s="32" t="b">
        <f>_xlfn.XLOOKUP(Table6101112[[#This Row],[Category No]],Table8[Category No],Table8[Chapter List],FALSE)</f>
        <v>0</v>
      </c>
      <c r="D266" s="32"/>
      <c r="E266" s="34"/>
    </row>
    <row r="267" spans="1:5" x14ac:dyDescent="0.3">
      <c r="A267" s="32">
        <v>266</v>
      </c>
      <c r="B267" s="32"/>
      <c r="C267" s="32" t="b">
        <f>_xlfn.XLOOKUP(Table6101112[[#This Row],[Category No]],Table8[Category No],Table8[Chapter List],FALSE)</f>
        <v>0</v>
      </c>
      <c r="D267" s="32"/>
      <c r="E267" s="34"/>
    </row>
    <row r="268" spans="1:5" x14ac:dyDescent="0.3">
      <c r="A268" s="32">
        <v>267</v>
      </c>
      <c r="B268" s="32"/>
      <c r="C268" s="32" t="b">
        <f>_xlfn.XLOOKUP(Table6101112[[#This Row],[Category No]],Table8[Category No],Table8[Chapter List],FALSE)</f>
        <v>0</v>
      </c>
      <c r="D268" s="32"/>
      <c r="E268" s="34"/>
    </row>
    <row r="269" spans="1:5" x14ac:dyDescent="0.3">
      <c r="A269" s="32">
        <v>268</v>
      </c>
      <c r="B269" s="32"/>
      <c r="C269" s="32" t="b">
        <f>_xlfn.XLOOKUP(Table6101112[[#This Row],[Category No]],Table8[Category No],Table8[Chapter List],FALSE)</f>
        <v>0</v>
      </c>
      <c r="D269" s="32"/>
      <c r="E269" s="34"/>
    </row>
    <row r="270" spans="1:5" x14ac:dyDescent="0.3">
      <c r="A270" s="32">
        <v>269</v>
      </c>
      <c r="B270" s="32"/>
      <c r="C270" s="32" t="b">
        <f>_xlfn.XLOOKUP(Table6101112[[#This Row],[Category No]],Table8[Category No],Table8[Chapter List],FALSE)</f>
        <v>0</v>
      </c>
      <c r="D270" s="32"/>
      <c r="E270" s="34"/>
    </row>
    <row r="271" spans="1:5" x14ac:dyDescent="0.3">
      <c r="A271" s="32">
        <v>270</v>
      </c>
      <c r="B271" s="32"/>
      <c r="C271" s="32" t="b">
        <f>_xlfn.XLOOKUP(Table6101112[[#This Row],[Category No]],Table8[Category No],Table8[Chapter List],FALSE)</f>
        <v>0</v>
      </c>
      <c r="D271" s="32"/>
      <c r="E271" s="34"/>
    </row>
    <row r="272" spans="1:5" x14ac:dyDescent="0.3">
      <c r="A272" s="32">
        <v>271</v>
      </c>
      <c r="B272" s="32"/>
      <c r="C272" s="32" t="b">
        <f>_xlfn.XLOOKUP(Table6101112[[#This Row],[Category No]],Table8[Category No],Table8[Chapter List],FALSE)</f>
        <v>0</v>
      </c>
      <c r="D272" s="32"/>
      <c r="E272" s="34"/>
    </row>
    <row r="273" spans="1:5" x14ac:dyDescent="0.3">
      <c r="A273" s="32">
        <v>272</v>
      </c>
      <c r="B273" s="32"/>
      <c r="C273" s="32" t="b">
        <f>_xlfn.XLOOKUP(Table6101112[[#This Row],[Category No]],Table8[Category No],Table8[Chapter List],FALSE)</f>
        <v>0</v>
      </c>
      <c r="D273" s="32"/>
      <c r="E273" s="34"/>
    </row>
    <row r="274" spans="1:5" x14ac:dyDescent="0.3">
      <c r="A274" s="32">
        <v>273</v>
      </c>
      <c r="B274" s="32"/>
      <c r="C274" s="32" t="b">
        <f>_xlfn.XLOOKUP(Table6101112[[#This Row],[Category No]],Table8[Category No],Table8[Chapter List],FALSE)</f>
        <v>0</v>
      </c>
      <c r="D274" s="32"/>
      <c r="E274" s="34"/>
    </row>
    <row r="275" spans="1:5" x14ac:dyDescent="0.3">
      <c r="A275" s="32">
        <v>274</v>
      </c>
      <c r="B275" s="32"/>
      <c r="C275" s="32" t="b">
        <f>_xlfn.XLOOKUP(Table6101112[[#This Row],[Category No]],Table8[Category No],Table8[Chapter List],FALSE)</f>
        <v>0</v>
      </c>
      <c r="D275" s="32"/>
      <c r="E275" s="34"/>
    </row>
    <row r="276" spans="1:5" x14ac:dyDescent="0.3">
      <c r="A276" s="32">
        <v>275</v>
      </c>
      <c r="B276" s="32"/>
      <c r="C276" s="32" t="b">
        <f>_xlfn.XLOOKUP(Table6101112[[#This Row],[Category No]],Table8[Category No],Table8[Chapter List],FALSE)</f>
        <v>0</v>
      </c>
      <c r="D276" s="32"/>
      <c r="E276" s="34"/>
    </row>
    <row r="277" spans="1:5" x14ac:dyDescent="0.3">
      <c r="A277" s="32">
        <v>276</v>
      </c>
      <c r="B277" s="32"/>
      <c r="C277" s="32" t="b">
        <f>_xlfn.XLOOKUP(Table6101112[[#This Row],[Category No]],Table8[Category No],Table8[Chapter List],FALSE)</f>
        <v>0</v>
      </c>
      <c r="D277" s="32"/>
      <c r="E277" s="34"/>
    </row>
    <row r="278" spans="1:5" x14ac:dyDescent="0.3">
      <c r="A278" s="32">
        <v>277</v>
      </c>
      <c r="B278" s="32"/>
      <c r="C278" s="32" t="b">
        <f>_xlfn.XLOOKUP(Table6101112[[#This Row],[Category No]],Table8[Category No],Table8[Chapter List],FALSE)</f>
        <v>0</v>
      </c>
      <c r="D278" s="32"/>
      <c r="E278" s="34"/>
    </row>
    <row r="279" spans="1:5" x14ac:dyDescent="0.3">
      <c r="A279" s="32">
        <v>278</v>
      </c>
      <c r="B279" s="32"/>
      <c r="C279" s="32" t="b">
        <f>_xlfn.XLOOKUP(Table6101112[[#This Row],[Category No]],Table8[Category No],Table8[Chapter List],FALSE)</f>
        <v>0</v>
      </c>
      <c r="D279" s="32"/>
      <c r="E279" s="34"/>
    </row>
    <row r="280" spans="1:5" x14ac:dyDescent="0.3">
      <c r="A280" s="32">
        <v>279</v>
      </c>
      <c r="B280" s="32"/>
      <c r="C280" s="32" t="b">
        <f>_xlfn.XLOOKUP(Table6101112[[#This Row],[Category No]],Table8[Category No],Table8[Chapter List],FALSE)</f>
        <v>0</v>
      </c>
      <c r="D280" s="32"/>
      <c r="E280" s="34"/>
    </row>
    <row r="281" spans="1:5" x14ac:dyDescent="0.3">
      <c r="A281" s="32">
        <v>280</v>
      </c>
      <c r="B281" s="32"/>
      <c r="C281" s="32" t="b">
        <f>_xlfn.XLOOKUP(Table6101112[[#This Row],[Category No]],Table8[Category No],Table8[Chapter List],FALSE)</f>
        <v>0</v>
      </c>
      <c r="D281" s="32"/>
      <c r="E281" s="34"/>
    </row>
    <row r="282" spans="1:5" x14ac:dyDescent="0.3">
      <c r="A282" s="32">
        <v>281</v>
      </c>
      <c r="B282" s="32"/>
      <c r="C282" s="32" t="b">
        <f>_xlfn.XLOOKUP(Table6101112[[#This Row],[Category No]],Table8[Category No],Table8[Chapter List],FALSE)</f>
        <v>0</v>
      </c>
      <c r="D282" s="32"/>
      <c r="E282" s="34"/>
    </row>
    <row r="283" spans="1:5" x14ac:dyDescent="0.3">
      <c r="A283" s="32">
        <v>282</v>
      </c>
      <c r="B283" s="32"/>
      <c r="C283" s="32" t="b">
        <f>_xlfn.XLOOKUP(Table6101112[[#This Row],[Category No]],Table8[Category No],Table8[Chapter List],FALSE)</f>
        <v>0</v>
      </c>
      <c r="D283" s="32"/>
      <c r="E283" s="34"/>
    </row>
    <row r="284" spans="1:5" x14ac:dyDescent="0.3">
      <c r="A284" s="32">
        <v>283</v>
      </c>
      <c r="B284" s="32"/>
      <c r="C284" s="32" t="b">
        <f>_xlfn.XLOOKUP(Table6101112[[#This Row],[Category No]],Table8[Category No],Table8[Chapter List],FALSE)</f>
        <v>0</v>
      </c>
      <c r="D284" s="32"/>
      <c r="E284" s="34"/>
    </row>
    <row r="285" spans="1:5" x14ac:dyDescent="0.3">
      <c r="A285" s="32">
        <v>284</v>
      </c>
      <c r="B285" s="32"/>
      <c r="C285" s="32" t="b">
        <f>_xlfn.XLOOKUP(Table6101112[[#This Row],[Category No]],Table8[Category No],Table8[Chapter List],FALSE)</f>
        <v>0</v>
      </c>
      <c r="D285" s="32"/>
      <c r="E285" s="34"/>
    </row>
    <row r="286" spans="1:5" x14ac:dyDescent="0.3">
      <c r="A286" s="32">
        <v>285</v>
      </c>
      <c r="B286" s="32"/>
      <c r="C286" s="32" t="b">
        <f>_xlfn.XLOOKUP(Table6101112[[#This Row],[Category No]],Table8[Category No],Table8[Chapter List],FALSE)</f>
        <v>0</v>
      </c>
      <c r="D286" s="32"/>
      <c r="E286" s="34"/>
    </row>
    <row r="287" spans="1:5" x14ac:dyDescent="0.3">
      <c r="A287" s="32">
        <v>286</v>
      </c>
      <c r="B287" s="32"/>
      <c r="C287" s="32" t="b">
        <f>_xlfn.XLOOKUP(Table6101112[[#This Row],[Category No]],Table8[Category No],Table8[Chapter List],FALSE)</f>
        <v>0</v>
      </c>
      <c r="D287" s="32"/>
      <c r="E287" s="34"/>
    </row>
    <row r="288" spans="1:5" x14ac:dyDescent="0.3">
      <c r="A288" s="32">
        <v>287</v>
      </c>
      <c r="B288" s="32"/>
      <c r="C288" s="32" t="b">
        <f>_xlfn.XLOOKUP(Table6101112[[#This Row],[Category No]],Table8[Category No],Table8[Chapter List],FALSE)</f>
        <v>0</v>
      </c>
      <c r="D288" s="32"/>
      <c r="E288" s="34"/>
    </row>
    <row r="289" spans="1:5" x14ac:dyDescent="0.3">
      <c r="A289" s="32">
        <v>288</v>
      </c>
      <c r="B289" s="32"/>
      <c r="C289" s="32" t="b">
        <f>_xlfn.XLOOKUP(Table6101112[[#This Row],[Category No]],Table8[Category No],Table8[Chapter List],FALSE)</f>
        <v>0</v>
      </c>
      <c r="D289" s="32"/>
      <c r="E289" s="34"/>
    </row>
    <row r="290" spans="1:5" x14ac:dyDescent="0.3">
      <c r="A290" s="32">
        <v>289</v>
      </c>
      <c r="B290" s="32"/>
      <c r="C290" s="32" t="b">
        <f>_xlfn.XLOOKUP(Table6101112[[#This Row],[Category No]],Table8[Category No],Table8[Chapter List],FALSE)</f>
        <v>0</v>
      </c>
      <c r="D290" s="32"/>
      <c r="E290" s="34"/>
    </row>
    <row r="291" spans="1:5" x14ac:dyDescent="0.3">
      <c r="A291" s="32">
        <v>290</v>
      </c>
      <c r="B291" s="32"/>
      <c r="C291" s="32" t="b">
        <f>_xlfn.XLOOKUP(Table6101112[[#This Row],[Category No]],Table8[Category No],Table8[Chapter List],FALSE)</f>
        <v>0</v>
      </c>
      <c r="D291" s="32"/>
      <c r="E291" s="34"/>
    </row>
    <row r="292" spans="1:5" x14ac:dyDescent="0.3">
      <c r="A292" s="32">
        <v>291</v>
      </c>
      <c r="B292" s="32"/>
      <c r="C292" s="32" t="b">
        <f>_xlfn.XLOOKUP(Table6101112[[#This Row],[Category No]],Table8[Category No],Table8[Chapter List],FALSE)</f>
        <v>0</v>
      </c>
      <c r="D292" s="32"/>
      <c r="E292" s="34"/>
    </row>
    <row r="293" spans="1:5" x14ac:dyDescent="0.3">
      <c r="A293" s="32">
        <v>292</v>
      </c>
      <c r="B293" s="32"/>
      <c r="C293" s="32" t="b">
        <f>_xlfn.XLOOKUP(Table6101112[[#This Row],[Category No]],Table8[Category No],Table8[Chapter List],FALSE)</f>
        <v>0</v>
      </c>
      <c r="D293" s="32"/>
      <c r="E293" s="34"/>
    </row>
    <row r="294" spans="1:5" x14ac:dyDescent="0.3">
      <c r="A294" s="32">
        <v>293</v>
      </c>
      <c r="B294" s="32"/>
      <c r="C294" s="32" t="b">
        <f>_xlfn.XLOOKUP(Table6101112[[#This Row],[Category No]],Table8[Category No],Table8[Chapter List],FALSE)</f>
        <v>0</v>
      </c>
      <c r="D294" s="32"/>
      <c r="E294" s="34"/>
    </row>
    <row r="295" spans="1:5" x14ac:dyDescent="0.3">
      <c r="A295" s="32">
        <v>294</v>
      </c>
      <c r="B295" s="32"/>
      <c r="C295" s="32" t="b">
        <f>_xlfn.XLOOKUP(Table6101112[[#This Row],[Category No]],Table8[Category No],Table8[Chapter List],FALSE)</f>
        <v>0</v>
      </c>
      <c r="D295" s="32"/>
      <c r="E295" s="34"/>
    </row>
    <row r="296" spans="1:5" x14ac:dyDescent="0.3">
      <c r="A296" s="32">
        <v>295</v>
      </c>
      <c r="B296" s="32"/>
      <c r="C296" s="32" t="b">
        <f>_xlfn.XLOOKUP(Table6101112[[#This Row],[Category No]],Table8[Category No],Table8[Chapter List],FALSE)</f>
        <v>0</v>
      </c>
      <c r="D296" s="32"/>
      <c r="E296" s="34"/>
    </row>
    <row r="297" spans="1:5" x14ac:dyDescent="0.3">
      <c r="A297" s="32">
        <v>296</v>
      </c>
      <c r="B297" s="32"/>
      <c r="C297" s="32" t="b">
        <f>_xlfn.XLOOKUP(Table6101112[[#This Row],[Category No]],Table8[Category No],Table8[Chapter List],FALSE)</f>
        <v>0</v>
      </c>
      <c r="D297" s="32"/>
      <c r="E297" s="34"/>
    </row>
    <row r="298" spans="1:5" x14ac:dyDescent="0.3">
      <c r="A298" s="32">
        <v>297</v>
      </c>
      <c r="B298" s="32"/>
      <c r="C298" s="32" t="b">
        <f>_xlfn.XLOOKUP(Table6101112[[#This Row],[Category No]],Table8[Category No],Table8[Chapter List],FALSE)</f>
        <v>0</v>
      </c>
      <c r="D298" s="32"/>
      <c r="E298" s="34"/>
    </row>
    <row r="299" spans="1:5" x14ac:dyDescent="0.3">
      <c r="A299" s="32">
        <v>298</v>
      </c>
      <c r="B299" s="32"/>
      <c r="C299" s="32" t="b">
        <f>_xlfn.XLOOKUP(Table6101112[[#This Row],[Category No]],Table8[Category No],Table8[Chapter List],FALSE)</f>
        <v>0</v>
      </c>
      <c r="D299" s="32"/>
      <c r="E299" s="34"/>
    </row>
    <row r="300" spans="1:5" x14ac:dyDescent="0.3">
      <c r="A300" s="32">
        <v>299</v>
      </c>
      <c r="B300" s="32"/>
      <c r="C300" s="32" t="b">
        <f>_xlfn.XLOOKUP(Table6101112[[#This Row],[Category No]],Table8[Category No],Table8[Chapter List],FALSE)</f>
        <v>0</v>
      </c>
      <c r="D300" s="32"/>
      <c r="E300" s="34"/>
    </row>
    <row r="301" spans="1:5" x14ac:dyDescent="0.3">
      <c r="A301" s="32">
        <v>300</v>
      </c>
      <c r="B301" s="32"/>
      <c r="C301" s="32" t="b">
        <f>_xlfn.XLOOKUP(Table6101112[[#This Row],[Category No]],Table8[Category No],Table8[Chapter List],FALSE)</f>
        <v>0</v>
      </c>
      <c r="D301" s="32"/>
      <c r="E301" s="34"/>
    </row>
    <row r="302" spans="1:5" x14ac:dyDescent="0.3">
      <c r="A302" s="32">
        <v>301</v>
      </c>
      <c r="B302" s="32"/>
      <c r="C302" s="32" t="b">
        <f>_xlfn.XLOOKUP(Table6101112[[#This Row],[Category No]],Table8[Category No],Table8[Chapter List],FALSE)</f>
        <v>0</v>
      </c>
      <c r="D302" s="32"/>
      <c r="E302" s="34"/>
    </row>
    <row r="303" spans="1:5" x14ac:dyDescent="0.3">
      <c r="A303" s="32">
        <v>302</v>
      </c>
      <c r="B303" s="32"/>
      <c r="C303" s="32" t="b">
        <f>_xlfn.XLOOKUP(Table6101112[[#This Row],[Category No]],Table8[Category No],Table8[Chapter List],FALSE)</f>
        <v>0</v>
      </c>
      <c r="D303" s="32"/>
      <c r="E303" s="34"/>
    </row>
    <row r="304" spans="1:5" x14ac:dyDescent="0.3">
      <c r="A304" s="32">
        <v>303</v>
      </c>
      <c r="B304" s="32"/>
      <c r="C304" s="32" t="b">
        <f>_xlfn.XLOOKUP(Table6101112[[#This Row],[Category No]],Table8[Category No],Table8[Chapter List],FALSE)</f>
        <v>0</v>
      </c>
      <c r="D304" s="32"/>
      <c r="E304" s="34"/>
    </row>
    <row r="305" spans="1:5" x14ac:dyDescent="0.3">
      <c r="A305" s="32">
        <v>304</v>
      </c>
      <c r="B305" s="32"/>
      <c r="C305" s="32" t="b">
        <f>_xlfn.XLOOKUP(Table6101112[[#This Row],[Category No]],Table8[Category No],Table8[Chapter List],FALSE)</f>
        <v>0</v>
      </c>
      <c r="D305" s="32"/>
      <c r="E305" s="34"/>
    </row>
    <row r="306" spans="1:5" x14ac:dyDescent="0.3">
      <c r="A306" s="32">
        <v>305</v>
      </c>
      <c r="B306" s="32"/>
      <c r="C306" s="32" t="b">
        <f>_xlfn.XLOOKUP(Table6101112[[#This Row],[Category No]],Table8[Category No],Table8[Chapter List],FALSE)</f>
        <v>0</v>
      </c>
      <c r="D306" s="32"/>
      <c r="E306" s="34"/>
    </row>
    <row r="307" spans="1:5" x14ac:dyDescent="0.3">
      <c r="A307" s="32">
        <v>306</v>
      </c>
      <c r="B307" s="32"/>
      <c r="C307" s="32" t="b">
        <f>_xlfn.XLOOKUP(Table6101112[[#This Row],[Category No]],Table8[Category No],Table8[Chapter List],FALSE)</f>
        <v>0</v>
      </c>
      <c r="D307" s="32"/>
      <c r="E307" s="34"/>
    </row>
    <row r="308" spans="1:5" x14ac:dyDescent="0.3">
      <c r="A308" s="32">
        <v>307</v>
      </c>
      <c r="B308" s="32"/>
      <c r="C308" s="32" t="b">
        <f>_xlfn.XLOOKUP(Table6101112[[#This Row],[Category No]],Table8[Category No],Table8[Chapter List],FALSE)</f>
        <v>0</v>
      </c>
      <c r="D308" s="32"/>
      <c r="E308" s="34"/>
    </row>
    <row r="309" spans="1:5" x14ac:dyDescent="0.3">
      <c r="A309" s="32">
        <v>308</v>
      </c>
      <c r="B309" s="32"/>
      <c r="C309" s="32" t="b">
        <f>_xlfn.XLOOKUP(Table6101112[[#This Row],[Category No]],Table8[Category No],Table8[Chapter List],FALSE)</f>
        <v>0</v>
      </c>
      <c r="D309" s="32"/>
      <c r="E309" s="34"/>
    </row>
    <row r="310" spans="1:5" x14ac:dyDescent="0.3">
      <c r="A310" s="32">
        <v>309</v>
      </c>
      <c r="B310" s="32"/>
      <c r="C310" s="32" t="b">
        <f>_xlfn.XLOOKUP(Table6101112[[#This Row],[Category No]],Table8[Category No],Table8[Chapter List],FALSE)</f>
        <v>0</v>
      </c>
      <c r="D310" s="32"/>
      <c r="E310" s="34"/>
    </row>
    <row r="311" spans="1:5" x14ac:dyDescent="0.3">
      <c r="A311" s="32">
        <v>310</v>
      </c>
      <c r="B311" s="32"/>
      <c r="C311" s="32" t="b">
        <f>_xlfn.XLOOKUP(Table6101112[[#This Row],[Category No]],Table8[Category No],Table8[Chapter List],FALSE)</f>
        <v>0</v>
      </c>
      <c r="D311" s="32"/>
      <c r="E311" s="34"/>
    </row>
    <row r="312" spans="1:5" x14ac:dyDescent="0.3">
      <c r="A312" s="32">
        <v>311</v>
      </c>
      <c r="B312" s="32"/>
      <c r="C312" s="32" t="b">
        <f>_xlfn.XLOOKUP(Table6101112[[#This Row],[Category No]],Table8[Category No],Table8[Chapter List],FALSE)</f>
        <v>0</v>
      </c>
      <c r="D312" s="32"/>
      <c r="E312" s="34"/>
    </row>
    <row r="313" spans="1:5" x14ac:dyDescent="0.3">
      <c r="A313" s="32">
        <v>312</v>
      </c>
      <c r="B313" s="32"/>
      <c r="C313" s="32" t="b">
        <f>_xlfn.XLOOKUP(Table6101112[[#This Row],[Category No]],Table8[Category No],Table8[Chapter List],FALSE)</f>
        <v>0</v>
      </c>
      <c r="D313" s="32"/>
      <c r="E313" s="34"/>
    </row>
    <row r="314" spans="1:5" x14ac:dyDescent="0.3">
      <c r="A314" s="32">
        <v>313</v>
      </c>
      <c r="B314" s="32"/>
      <c r="C314" s="32" t="b">
        <f>_xlfn.XLOOKUP(Table6101112[[#This Row],[Category No]],Table8[Category No],Table8[Chapter List],FALSE)</f>
        <v>0</v>
      </c>
      <c r="D314" s="32"/>
      <c r="E314" s="34"/>
    </row>
    <row r="315" spans="1:5" x14ac:dyDescent="0.3">
      <c r="A315" s="32">
        <v>314</v>
      </c>
      <c r="B315" s="32"/>
      <c r="C315" s="32" t="b">
        <f>_xlfn.XLOOKUP(Table6101112[[#This Row],[Category No]],Table8[Category No],Table8[Chapter List],FALSE)</f>
        <v>0</v>
      </c>
      <c r="D315" s="32"/>
      <c r="E315" s="34"/>
    </row>
    <row r="316" spans="1:5" x14ac:dyDescent="0.3">
      <c r="A316" s="32">
        <v>315</v>
      </c>
      <c r="B316" s="32"/>
      <c r="C316" s="32" t="b">
        <f>_xlfn.XLOOKUP(Table6101112[[#This Row],[Category No]],Table8[Category No],Table8[Chapter List],FALSE)</f>
        <v>0</v>
      </c>
      <c r="D316" s="32"/>
      <c r="E316" s="34"/>
    </row>
    <row r="317" spans="1:5" x14ac:dyDescent="0.3">
      <c r="A317" s="32">
        <v>316</v>
      </c>
      <c r="B317" s="32"/>
      <c r="C317" s="32" t="b">
        <f>_xlfn.XLOOKUP(Table6101112[[#This Row],[Category No]],Table8[Category No],Table8[Chapter List],FALSE)</f>
        <v>0</v>
      </c>
      <c r="D317" s="32"/>
      <c r="E317" s="34"/>
    </row>
    <row r="318" spans="1:5" x14ac:dyDescent="0.3">
      <c r="A318" s="32">
        <v>317</v>
      </c>
      <c r="B318" s="32"/>
      <c r="C318" s="32" t="b">
        <f>_xlfn.XLOOKUP(Table6101112[[#This Row],[Category No]],Table8[Category No],Table8[Chapter List],FALSE)</f>
        <v>0</v>
      </c>
      <c r="D318" s="32"/>
      <c r="E318" s="34"/>
    </row>
    <row r="319" spans="1:5" x14ac:dyDescent="0.3">
      <c r="A319" s="32">
        <v>318</v>
      </c>
      <c r="B319" s="32"/>
      <c r="C319" s="32" t="b">
        <f>_xlfn.XLOOKUP(Table6101112[[#This Row],[Category No]],Table8[Category No],Table8[Chapter List],FALSE)</f>
        <v>0</v>
      </c>
      <c r="D319" s="32"/>
      <c r="E319" s="34"/>
    </row>
    <row r="320" spans="1:5" x14ac:dyDescent="0.3">
      <c r="A320" s="32">
        <v>319</v>
      </c>
      <c r="B320" s="32"/>
      <c r="C320" s="32" t="b">
        <f>_xlfn.XLOOKUP(Table6101112[[#This Row],[Category No]],Table8[Category No],Table8[Chapter List],FALSE)</f>
        <v>0</v>
      </c>
      <c r="D320" s="32"/>
      <c r="E320" s="34"/>
    </row>
    <row r="321" spans="1:5" x14ac:dyDescent="0.3">
      <c r="A321" s="32">
        <v>320</v>
      </c>
      <c r="B321" s="32"/>
      <c r="C321" s="32" t="b">
        <f>_xlfn.XLOOKUP(Table6101112[[#This Row],[Category No]],Table8[Category No],Table8[Chapter List],FALSE)</f>
        <v>0</v>
      </c>
      <c r="D321" s="32"/>
      <c r="E321" s="34"/>
    </row>
    <row r="322" spans="1:5" x14ac:dyDescent="0.3">
      <c r="A322" s="32">
        <v>321</v>
      </c>
      <c r="B322" s="32"/>
      <c r="C322" s="32" t="b">
        <f>_xlfn.XLOOKUP(Table6101112[[#This Row],[Category No]],Table8[Category No],Table8[Chapter List],FALSE)</f>
        <v>0</v>
      </c>
      <c r="D322" s="32"/>
      <c r="E322" s="34"/>
    </row>
    <row r="323" spans="1:5" x14ac:dyDescent="0.3">
      <c r="A323" s="32">
        <v>322</v>
      </c>
      <c r="B323" s="32"/>
      <c r="C323" s="32" t="b">
        <f>_xlfn.XLOOKUP(Table6101112[[#This Row],[Category No]],Table8[Category No],Table8[Chapter List],FALSE)</f>
        <v>0</v>
      </c>
      <c r="D323" s="32"/>
      <c r="E323" s="34"/>
    </row>
    <row r="324" spans="1:5" x14ac:dyDescent="0.3">
      <c r="A324" s="32">
        <v>323</v>
      </c>
      <c r="B324" s="32"/>
      <c r="C324" s="32" t="b">
        <f>_xlfn.XLOOKUP(Table6101112[[#This Row],[Category No]],Table8[Category No],Table8[Chapter List],FALSE)</f>
        <v>0</v>
      </c>
      <c r="D324" s="32"/>
      <c r="E324" s="34"/>
    </row>
    <row r="325" spans="1:5" x14ac:dyDescent="0.3">
      <c r="A325" s="32">
        <v>324</v>
      </c>
      <c r="B325" s="32"/>
      <c r="C325" s="32" t="b">
        <f>_xlfn.XLOOKUP(Table6101112[[#This Row],[Category No]],Table8[Category No],Table8[Chapter List],FALSE)</f>
        <v>0</v>
      </c>
      <c r="D325" s="32"/>
      <c r="E325" s="34"/>
    </row>
    <row r="326" spans="1:5" x14ac:dyDescent="0.3">
      <c r="A326" s="32">
        <v>325</v>
      </c>
      <c r="B326" s="32"/>
      <c r="C326" s="32" t="b">
        <f>_xlfn.XLOOKUP(Table6101112[[#This Row],[Category No]],Table8[Category No],Table8[Chapter List],FALSE)</f>
        <v>0</v>
      </c>
      <c r="D326" s="32"/>
      <c r="E326" s="34"/>
    </row>
    <row r="327" spans="1:5" x14ac:dyDescent="0.3">
      <c r="A327" s="32">
        <v>326</v>
      </c>
      <c r="B327" s="32"/>
      <c r="C327" s="32" t="b">
        <f>_xlfn.XLOOKUP(Table6101112[[#This Row],[Category No]],Table8[Category No],Table8[Chapter List],FALSE)</f>
        <v>0</v>
      </c>
      <c r="D327" s="32"/>
      <c r="E327" s="34"/>
    </row>
    <row r="328" spans="1:5" x14ac:dyDescent="0.3">
      <c r="A328" s="32">
        <v>327</v>
      </c>
      <c r="B328" s="32"/>
      <c r="C328" s="32" t="b">
        <f>_xlfn.XLOOKUP(Table6101112[[#This Row],[Category No]],Table8[Category No],Table8[Chapter List],FALSE)</f>
        <v>0</v>
      </c>
      <c r="D328" s="32"/>
      <c r="E328" s="34"/>
    </row>
    <row r="329" spans="1:5" x14ac:dyDescent="0.3">
      <c r="A329" s="32">
        <v>328</v>
      </c>
      <c r="B329" s="32"/>
      <c r="C329" s="32" t="b">
        <f>_xlfn.XLOOKUP(Table6101112[[#This Row],[Category No]],Table8[Category No],Table8[Chapter List],FALSE)</f>
        <v>0</v>
      </c>
      <c r="D329" s="32"/>
      <c r="E329" s="34"/>
    </row>
    <row r="330" spans="1:5" x14ac:dyDescent="0.3">
      <c r="A330" s="32">
        <v>329</v>
      </c>
      <c r="B330" s="32"/>
      <c r="C330" s="32" t="b">
        <f>_xlfn.XLOOKUP(Table6101112[[#This Row],[Category No]],Table8[Category No],Table8[Chapter List],FALSE)</f>
        <v>0</v>
      </c>
      <c r="D330" s="32"/>
      <c r="E330" s="34"/>
    </row>
    <row r="331" spans="1:5" x14ac:dyDescent="0.3">
      <c r="A331" s="32">
        <v>330</v>
      </c>
      <c r="B331" s="32"/>
      <c r="C331" s="32" t="b">
        <f>_xlfn.XLOOKUP(Table6101112[[#This Row],[Category No]],Table8[Category No],Table8[Chapter List],FALSE)</f>
        <v>0</v>
      </c>
      <c r="D331" s="32"/>
      <c r="E331" s="34"/>
    </row>
    <row r="332" spans="1:5" x14ac:dyDescent="0.3">
      <c r="A332" s="32">
        <v>331</v>
      </c>
      <c r="B332" s="32"/>
      <c r="C332" s="32" t="b">
        <f>_xlfn.XLOOKUP(Table6101112[[#This Row],[Category No]],Table8[Category No],Table8[Chapter List],FALSE)</f>
        <v>0</v>
      </c>
      <c r="D332" s="32"/>
      <c r="E332" s="34"/>
    </row>
    <row r="333" spans="1:5" x14ac:dyDescent="0.3">
      <c r="A333" s="32">
        <v>332</v>
      </c>
      <c r="B333" s="32"/>
      <c r="C333" s="32" t="b">
        <f>_xlfn.XLOOKUP(Table6101112[[#This Row],[Category No]],Table8[Category No],Table8[Chapter List],FALSE)</f>
        <v>0</v>
      </c>
      <c r="D333" s="32"/>
      <c r="E333" s="34"/>
    </row>
    <row r="334" spans="1:5" x14ac:dyDescent="0.3">
      <c r="A334" s="32">
        <v>333</v>
      </c>
      <c r="B334" s="32"/>
      <c r="C334" s="32" t="b">
        <f>_xlfn.XLOOKUP(Table6101112[[#This Row],[Category No]],Table8[Category No],Table8[Chapter List],FALSE)</f>
        <v>0</v>
      </c>
      <c r="D334" s="32"/>
      <c r="E334" s="34"/>
    </row>
    <row r="335" spans="1:5" x14ac:dyDescent="0.3">
      <c r="A335" s="32">
        <v>334</v>
      </c>
      <c r="B335" s="32"/>
      <c r="C335" s="32" t="b">
        <f>_xlfn.XLOOKUP(Table6101112[[#This Row],[Category No]],Table8[Category No],Table8[Chapter List],FALSE)</f>
        <v>0</v>
      </c>
      <c r="D335" s="32"/>
      <c r="E335" s="34"/>
    </row>
    <row r="336" spans="1:5" x14ac:dyDescent="0.3">
      <c r="A336" s="32">
        <v>335</v>
      </c>
      <c r="B336" s="32"/>
      <c r="C336" s="32" t="b">
        <f>_xlfn.XLOOKUP(Table6101112[[#This Row],[Category No]],Table8[Category No],Table8[Chapter List],FALSE)</f>
        <v>0</v>
      </c>
      <c r="D336" s="32"/>
      <c r="E336" s="34"/>
    </row>
    <row r="337" spans="1:5" x14ac:dyDescent="0.3">
      <c r="A337" s="32">
        <v>336</v>
      </c>
      <c r="B337" s="32"/>
      <c r="C337" s="32" t="b">
        <f>_xlfn.XLOOKUP(Table6101112[[#This Row],[Category No]],Table8[Category No],Table8[Chapter List],FALSE)</f>
        <v>0</v>
      </c>
      <c r="D337" s="32"/>
      <c r="E337" s="34"/>
    </row>
    <row r="338" spans="1:5" x14ac:dyDescent="0.3">
      <c r="A338" s="32">
        <v>337</v>
      </c>
      <c r="B338" s="32"/>
      <c r="C338" s="32" t="b">
        <f>_xlfn.XLOOKUP(Table6101112[[#This Row],[Category No]],Table8[Category No],Table8[Chapter List],FALSE)</f>
        <v>0</v>
      </c>
      <c r="D338" s="32"/>
      <c r="E338" s="34"/>
    </row>
    <row r="339" spans="1:5" x14ac:dyDescent="0.3">
      <c r="A339" s="32">
        <v>338</v>
      </c>
      <c r="B339" s="32"/>
      <c r="C339" s="32" t="b">
        <f>_xlfn.XLOOKUP(Table6101112[[#This Row],[Category No]],Table8[Category No],Table8[Chapter List],FALSE)</f>
        <v>0</v>
      </c>
      <c r="D339" s="32"/>
      <c r="E339" s="34"/>
    </row>
    <row r="340" spans="1:5" x14ac:dyDescent="0.3">
      <c r="A340" s="32">
        <v>339</v>
      </c>
      <c r="B340" s="32"/>
      <c r="C340" s="32" t="b">
        <f>_xlfn.XLOOKUP(Table6101112[[#This Row],[Category No]],Table8[Category No],Table8[Chapter List],FALSE)</f>
        <v>0</v>
      </c>
      <c r="D340" s="32"/>
      <c r="E340" s="34"/>
    </row>
    <row r="341" spans="1:5" x14ac:dyDescent="0.3">
      <c r="A341" s="32">
        <v>340</v>
      </c>
      <c r="B341" s="32"/>
      <c r="C341" s="32" t="b">
        <f>_xlfn.XLOOKUP(Table6101112[[#This Row],[Category No]],Table8[Category No],Table8[Chapter List],FALSE)</f>
        <v>0</v>
      </c>
      <c r="D341" s="32"/>
      <c r="E341" s="34"/>
    </row>
    <row r="342" spans="1:5" x14ac:dyDescent="0.3">
      <c r="A342" s="32">
        <v>341</v>
      </c>
      <c r="B342" s="32"/>
      <c r="C342" s="32" t="b">
        <f>_xlfn.XLOOKUP(Table6101112[[#This Row],[Category No]],Table8[Category No],Table8[Chapter List],FALSE)</f>
        <v>0</v>
      </c>
      <c r="D342" s="32"/>
      <c r="E342" s="34"/>
    </row>
    <row r="343" spans="1:5" x14ac:dyDescent="0.3">
      <c r="A343" s="32">
        <v>342</v>
      </c>
      <c r="B343" s="32"/>
      <c r="C343" s="32" t="b">
        <f>_xlfn.XLOOKUP(Table6101112[[#This Row],[Category No]],Table8[Category No],Table8[Chapter List],FALSE)</f>
        <v>0</v>
      </c>
      <c r="D343" s="32"/>
      <c r="E343" s="34"/>
    </row>
    <row r="344" spans="1:5" x14ac:dyDescent="0.3">
      <c r="A344" s="32">
        <v>343</v>
      </c>
      <c r="B344" s="32"/>
      <c r="C344" s="32" t="b">
        <f>_xlfn.XLOOKUP(Table6101112[[#This Row],[Category No]],Table8[Category No],Table8[Chapter List],FALSE)</f>
        <v>0</v>
      </c>
      <c r="D344" s="32"/>
      <c r="E344" s="34"/>
    </row>
    <row r="345" spans="1:5" x14ac:dyDescent="0.3">
      <c r="A345" s="32">
        <v>344</v>
      </c>
      <c r="B345" s="32"/>
      <c r="C345" s="32" t="b">
        <f>_xlfn.XLOOKUP(Table6101112[[#This Row],[Category No]],Table8[Category No],Table8[Chapter List],FALSE)</f>
        <v>0</v>
      </c>
      <c r="D345" s="32"/>
      <c r="E345" s="34"/>
    </row>
    <row r="346" spans="1:5" x14ac:dyDescent="0.3">
      <c r="A346" s="32">
        <v>345</v>
      </c>
      <c r="B346" s="32"/>
      <c r="C346" s="32" t="b">
        <f>_xlfn.XLOOKUP(Table6101112[[#This Row],[Category No]],Table8[Category No],Table8[Chapter List],FALSE)</f>
        <v>0</v>
      </c>
      <c r="D346" s="32"/>
      <c r="E346" s="34"/>
    </row>
    <row r="347" spans="1:5" x14ac:dyDescent="0.3">
      <c r="A347" s="32">
        <v>346</v>
      </c>
      <c r="B347" s="32"/>
      <c r="C347" s="32" t="b">
        <f>_xlfn.XLOOKUP(Table6101112[[#This Row],[Category No]],Table8[Category No],Table8[Chapter List],FALSE)</f>
        <v>0</v>
      </c>
      <c r="D347" s="32"/>
      <c r="E347" s="34"/>
    </row>
    <row r="348" spans="1:5" x14ac:dyDescent="0.3">
      <c r="A348" s="32">
        <v>347</v>
      </c>
      <c r="B348" s="32"/>
      <c r="C348" s="32" t="b">
        <f>_xlfn.XLOOKUP(Table6101112[[#This Row],[Category No]],Table8[Category No],Table8[Chapter List],FALSE)</f>
        <v>0</v>
      </c>
      <c r="D348" s="32"/>
      <c r="E348" s="34"/>
    </row>
    <row r="349" spans="1:5" x14ac:dyDescent="0.3">
      <c r="A349" s="32">
        <v>348</v>
      </c>
      <c r="B349" s="32"/>
      <c r="C349" s="32" t="b">
        <f>_xlfn.XLOOKUP(Table6101112[[#This Row],[Category No]],Table8[Category No],Table8[Chapter List],FALSE)</f>
        <v>0</v>
      </c>
      <c r="D349" s="32"/>
      <c r="E349" s="34"/>
    </row>
    <row r="350" spans="1:5" x14ac:dyDescent="0.3">
      <c r="A350" s="32">
        <v>349</v>
      </c>
      <c r="B350" s="32"/>
      <c r="C350" s="32" t="b">
        <f>_xlfn.XLOOKUP(Table6101112[[#This Row],[Category No]],Table8[Category No],Table8[Chapter List],FALSE)</f>
        <v>0</v>
      </c>
      <c r="D350" s="32"/>
      <c r="E350" s="34"/>
    </row>
    <row r="351" spans="1:5" x14ac:dyDescent="0.3">
      <c r="A351" s="32">
        <v>350</v>
      </c>
      <c r="B351" s="32"/>
      <c r="C351" s="32" t="b">
        <f>_xlfn.XLOOKUP(Table6101112[[#This Row],[Category No]],Table8[Category No],Table8[Chapter List],FALSE)</f>
        <v>0</v>
      </c>
      <c r="D351" s="32"/>
      <c r="E351" s="34"/>
    </row>
    <row r="352" spans="1:5" x14ac:dyDescent="0.3">
      <c r="A352" s="32">
        <v>351</v>
      </c>
      <c r="B352" s="32"/>
      <c r="C352" s="32" t="b">
        <f>_xlfn.XLOOKUP(Table6101112[[#This Row],[Category No]],Table8[Category No],Table8[Chapter List],FALSE)</f>
        <v>0</v>
      </c>
      <c r="D352" s="32"/>
      <c r="E352" s="34"/>
    </row>
    <row r="353" spans="1:5" x14ac:dyDescent="0.3">
      <c r="A353" s="32">
        <v>352</v>
      </c>
      <c r="B353" s="32"/>
      <c r="C353" s="32" t="b">
        <f>_xlfn.XLOOKUP(Table6101112[[#This Row],[Category No]],Table8[Category No],Table8[Chapter List],FALSE)</f>
        <v>0</v>
      </c>
      <c r="D353" s="32"/>
      <c r="E353" s="34"/>
    </row>
    <row r="354" spans="1:5" x14ac:dyDescent="0.3">
      <c r="A354" s="32">
        <v>353</v>
      </c>
      <c r="B354" s="32"/>
      <c r="C354" s="32" t="b">
        <f>_xlfn.XLOOKUP(Table6101112[[#This Row],[Category No]],Table8[Category No],Table8[Chapter List],FALSE)</f>
        <v>0</v>
      </c>
      <c r="D354" s="32"/>
      <c r="E354" s="34"/>
    </row>
    <row r="355" spans="1:5" x14ac:dyDescent="0.3">
      <c r="A355" s="32">
        <v>354</v>
      </c>
      <c r="B355" s="32"/>
      <c r="C355" s="32" t="b">
        <f>_xlfn.XLOOKUP(Table6101112[[#This Row],[Category No]],Table8[Category No],Table8[Chapter List],FALSE)</f>
        <v>0</v>
      </c>
      <c r="D355" s="32"/>
      <c r="E355" s="34"/>
    </row>
    <row r="356" spans="1:5" x14ac:dyDescent="0.3">
      <c r="A356" s="32">
        <v>355</v>
      </c>
      <c r="B356" s="32"/>
      <c r="C356" s="32" t="b">
        <f>_xlfn.XLOOKUP(Table6101112[[#This Row],[Category No]],Table8[Category No],Table8[Chapter List],FALSE)</f>
        <v>0</v>
      </c>
      <c r="D356" s="32"/>
      <c r="E356" s="34"/>
    </row>
    <row r="357" spans="1:5" x14ac:dyDescent="0.3">
      <c r="A357" s="32">
        <v>356</v>
      </c>
      <c r="B357" s="32"/>
      <c r="C357" s="32" t="b">
        <f>_xlfn.XLOOKUP(Table6101112[[#This Row],[Category No]],Table8[Category No],Table8[Chapter List],FALSE)</f>
        <v>0</v>
      </c>
      <c r="D357" s="32"/>
      <c r="E357" s="34"/>
    </row>
    <row r="358" spans="1:5" x14ac:dyDescent="0.3">
      <c r="A358" s="32">
        <v>357</v>
      </c>
      <c r="B358" s="32"/>
      <c r="C358" s="32" t="b">
        <f>_xlfn.XLOOKUP(Table6101112[[#This Row],[Category No]],Table8[Category No],Table8[Chapter List],FALSE)</f>
        <v>0</v>
      </c>
      <c r="D358" s="32"/>
      <c r="E358" s="34"/>
    </row>
    <row r="359" spans="1:5" x14ac:dyDescent="0.3">
      <c r="A359" s="32">
        <v>358</v>
      </c>
      <c r="B359" s="32"/>
      <c r="C359" s="32" t="b">
        <f>_xlfn.XLOOKUP(Table6101112[[#This Row],[Category No]],Table8[Category No],Table8[Chapter List],FALSE)</f>
        <v>0</v>
      </c>
      <c r="D359" s="32"/>
      <c r="E359" s="34"/>
    </row>
    <row r="360" spans="1:5" x14ac:dyDescent="0.3">
      <c r="A360" s="32">
        <v>359</v>
      </c>
      <c r="B360" s="32"/>
      <c r="C360" s="32" t="b">
        <f>_xlfn.XLOOKUP(Table6101112[[#This Row],[Category No]],Table8[Category No],Table8[Chapter List],FALSE)</f>
        <v>0</v>
      </c>
      <c r="D360" s="32"/>
      <c r="E360" s="34"/>
    </row>
    <row r="361" spans="1:5" x14ac:dyDescent="0.3">
      <c r="A361" s="32">
        <v>360</v>
      </c>
      <c r="B361" s="32"/>
      <c r="C361" s="32" t="b">
        <f>_xlfn.XLOOKUP(Table6101112[[#This Row],[Category No]],Table8[Category No],Table8[Chapter List],FALSE)</f>
        <v>0</v>
      </c>
      <c r="D361" s="32"/>
      <c r="E361" s="34"/>
    </row>
    <row r="362" spans="1:5" x14ac:dyDescent="0.3">
      <c r="A362" s="32">
        <v>361</v>
      </c>
      <c r="B362" s="32"/>
      <c r="C362" s="32" t="b">
        <f>_xlfn.XLOOKUP(Table6101112[[#This Row],[Category No]],Table8[Category No],Table8[Chapter List],FALSE)</f>
        <v>0</v>
      </c>
      <c r="D362" s="32"/>
      <c r="E362" s="34"/>
    </row>
    <row r="363" spans="1:5" x14ac:dyDescent="0.3">
      <c r="A363" s="32">
        <v>362</v>
      </c>
      <c r="B363" s="32"/>
      <c r="C363" s="32" t="b">
        <f>_xlfn.XLOOKUP(Table6101112[[#This Row],[Category No]],Table8[Category No],Table8[Chapter List],FALSE)</f>
        <v>0</v>
      </c>
      <c r="D363" s="32"/>
      <c r="E363" s="34"/>
    </row>
    <row r="364" spans="1:5" x14ac:dyDescent="0.3">
      <c r="A364" s="32">
        <v>363</v>
      </c>
      <c r="B364" s="32"/>
      <c r="C364" s="32" t="b">
        <f>_xlfn.XLOOKUP(Table6101112[[#This Row],[Category No]],Table8[Category No],Table8[Chapter List],FALSE)</f>
        <v>0</v>
      </c>
      <c r="D364" s="32"/>
      <c r="E364" s="34"/>
    </row>
    <row r="365" spans="1:5" x14ac:dyDescent="0.3">
      <c r="A365" s="32">
        <v>364</v>
      </c>
      <c r="B365" s="32"/>
      <c r="C365" s="32" t="b">
        <f>_xlfn.XLOOKUP(Table6101112[[#This Row],[Category No]],Table8[Category No],Table8[Chapter List],FALSE)</f>
        <v>0</v>
      </c>
      <c r="D365" s="32"/>
      <c r="E365" s="34"/>
    </row>
    <row r="366" spans="1:5" x14ac:dyDescent="0.3">
      <c r="A366" s="32">
        <v>365</v>
      </c>
      <c r="B366" s="32"/>
      <c r="C366" s="32" t="b">
        <f>_xlfn.XLOOKUP(Table6101112[[#This Row],[Category No]],Table8[Category No],Table8[Chapter List],FALSE)</f>
        <v>0</v>
      </c>
      <c r="D366" s="32"/>
      <c r="E366" s="34"/>
    </row>
    <row r="367" spans="1:5" x14ac:dyDescent="0.3">
      <c r="A367" s="32">
        <v>366</v>
      </c>
      <c r="B367" s="32"/>
      <c r="C367" s="32" t="b">
        <f>_xlfn.XLOOKUP(Table6101112[[#This Row],[Category No]],Table8[Category No],Table8[Chapter List],FALSE)</f>
        <v>0</v>
      </c>
      <c r="D367" s="32"/>
      <c r="E367" s="34"/>
    </row>
    <row r="368" spans="1:5" x14ac:dyDescent="0.3">
      <c r="A368" s="32">
        <v>367</v>
      </c>
      <c r="B368" s="32"/>
      <c r="C368" s="32" t="b">
        <f>_xlfn.XLOOKUP(Table6101112[[#This Row],[Category No]],Table8[Category No],Table8[Chapter List],FALSE)</f>
        <v>0</v>
      </c>
      <c r="D368" s="32"/>
      <c r="E368" s="34"/>
    </row>
    <row r="369" spans="1:5" x14ac:dyDescent="0.3">
      <c r="A369" s="32">
        <v>368</v>
      </c>
      <c r="B369" s="32"/>
      <c r="C369" s="32" t="b">
        <f>_xlfn.XLOOKUP(Table6101112[[#This Row],[Category No]],Table8[Category No],Table8[Chapter List],FALSE)</f>
        <v>0</v>
      </c>
      <c r="D369" s="32"/>
      <c r="E369" s="34"/>
    </row>
    <row r="370" spans="1:5" x14ac:dyDescent="0.3">
      <c r="A370" s="32">
        <v>369</v>
      </c>
      <c r="B370" s="32"/>
      <c r="C370" s="32" t="b">
        <f>_xlfn.XLOOKUP(Table6101112[[#This Row],[Category No]],Table8[Category No],Table8[Chapter List],FALSE)</f>
        <v>0</v>
      </c>
      <c r="D370" s="32"/>
      <c r="E370" s="34"/>
    </row>
    <row r="371" spans="1:5" x14ac:dyDescent="0.3">
      <c r="A371" s="32">
        <v>370</v>
      </c>
      <c r="B371" s="32"/>
      <c r="C371" s="32" t="b">
        <f>_xlfn.XLOOKUP(Table6101112[[#This Row],[Category No]],Table8[Category No],Table8[Chapter List],FALSE)</f>
        <v>0</v>
      </c>
      <c r="D371" s="32"/>
      <c r="E371" s="34"/>
    </row>
    <row r="372" spans="1:5" x14ac:dyDescent="0.3">
      <c r="A372" s="32">
        <v>371</v>
      </c>
      <c r="B372" s="32"/>
      <c r="C372" s="32" t="b">
        <f>_xlfn.XLOOKUP(Table6101112[[#This Row],[Category No]],Table8[Category No],Table8[Chapter List],FALSE)</f>
        <v>0</v>
      </c>
      <c r="D372" s="32"/>
      <c r="E372" s="34"/>
    </row>
    <row r="373" spans="1:5" x14ac:dyDescent="0.3">
      <c r="A373" s="32">
        <v>372</v>
      </c>
      <c r="B373" s="32"/>
      <c r="C373" s="32" t="b">
        <f>_xlfn.XLOOKUP(Table6101112[[#This Row],[Category No]],Table8[Category No],Table8[Chapter List],FALSE)</f>
        <v>0</v>
      </c>
      <c r="D373" s="32"/>
      <c r="E373" s="34"/>
    </row>
    <row r="374" spans="1:5" x14ac:dyDescent="0.3">
      <c r="A374" s="32">
        <v>373</v>
      </c>
      <c r="B374" s="32"/>
      <c r="C374" s="32" t="b">
        <f>_xlfn.XLOOKUP(Table6101112[[#This Row],[Category No]],Table8[Category No],Table8[Chapter List],FALSE)</f>
        <v>0</v>
      </c>
      <c r="D374" s="32"/>
      <c r="E374" s="34"/>
    </row>
    <row r="375" spans="1:5" x14ac:dyDescent="0.3">
      <c r="A375" s="32">
        <v>374</v>
      </c>
      <c r="B375" s="32"/>
      <c r="C375" s="32" t="b">
        <f>_xlfn.XLOOKUP(Table6101112[[#This Row],[Category No]],Table8[Category No],Table8[Chapter List],FALSE)</f>
        <v>0</v>
      </c>
      <c r="D375" s="32"/>
      <c r="E375" s="34"/>
    </row>
    <row r="376" spans="1:5" x14ac:dyDescent="0.3">
      <c r="A376" s="32">
        <v>375</v>
      </c>
      <c r="B376" s="32"/>
      <c r="C376" s="32" t="b">
        <f>_xlfn.XLOOKUP(Table6101112[[#This Row],[Category No]],Table8[Category No],Table8[Chapter List],FALSE)</f>
        <v>0</v>
      </c>
      <c r="D376" s="32"/>
      <c r="E376" s="34"/>
    </row>
    <row r="377" spans="1:5" x14ac:dyDescent="0.3">
      <c r="A377" s="32">
        <v>376</v>
      </c>
      <c r="B377" s="32"/>
      <c r="C377" s="32" t="b">
        <f>_xlfn.XLOOKUP(Table6101112[[#This Row],[Category No]],Table8[Category No],Table8[Chapter List],FALSE)</f>
        <v>0</v>
      </c>
      <c r="D377" s="32"/>
      <c r="E377" s="34"/>
    </row>
    <row r="378" spans="1:5" x14ac:dyDescent="0.3">
      <c r="A378" s="32">
        <v>377</v>
      </c>
      <c r="B378" s="32"/>
      <c r="C378" s="32" t="b">
        <f>_xlfn.XLOOKUP(Table6101112[[#This Row],[Category No]],Table8[Category No],Table8[Chapter List],FALSE)</f>
        <v>0</v>
      </c>
      <c r="D378" s="32"/>
      <c r="E378" s="34"/>
    </row>
    <row r="379" spans="1:5" x14ac:dyDescent="0.3">
      <c r="A379" s="32">
        <v>378</v>
      </c>
      <c r="B379" s="32"/>
      <c r="C379" s="32" t="b">
        <f>_xlfn.XLOOKUP(Table6101112[[#This Row],[Category No]],Table8[Category No],Table8[Chapter List],FALSE)</f>
        <v>0</v>
      </c>
      <c r="D379" s="32"/>
      <c r="E379" s="34"/>
    </row>
    <row r="380" spans="1:5" x14ac:dyDescent="0.3">
      <c r="A380" s="32">
        <v>379</v>
      </c>
      <c r="B380" s="32"/>
      <c r="C380" s="32" t="b">
        <f>_xlfn.XLOOKUP(Table6101112[[#This Row],[Category No]],Table8[Category No],Table8[Chapter List],FALSE)</f>
        <v>0</v>
      </c>
      <c r="D380" s="32"/>
      <c r="E380" s="34"/>
    </row>
    <row r="381" spans="1:5" x14ac:dyDescent="0.3">
      <c r="A381" s="32">
        <v>380</v>
      </c>
      <c r="B381" s="32"/>
      <c r="C381" s="32" t="b">
        <f>_xlfn.XLOOKUP(Table6101112[[#This Row],[Category No]],Table8[Category No],Table8[Chapter List],FALSE)</f>
        <v>0</v>
      </c>
      <c r="D381" s="32"/>
      <c r="E381" s="34"/>
    </row>
    <row r="382" spans="1:5" x14ac:dyDescent="0.3">
      <c r="A382" s="32">
        <v>381</v>
      </c>
      <c r="B382" s="32"/>
      <c r="C382" s="32" t="b">
        <f>_xlfn.XLOOKUP(Table6101112[[#This Row],[Category No]],Table8[Category No],Table8[Chapter List],FALSE)</f>
        <v>0</v>
      </c>
      <c r="D382" s="32"/>
      <c r="E382" s="34"/>
    </row>
    <row r="383" spans="1:5" x14ac:dyDescent="0.3">
      <c r="A383" s="32">
        <v>382</v>
      </c>
      <c r="B383" s="32"/>
      <c r="C383" s="32" t="b">
        <f>_xlfn.XLOOKUP(Table6101112[[#This Row],[Category No]],Table8[Category No],Table8[Chapter List],FALSE)</f>
        <v>0</v>
      </c>
      <c r="D383" s="32"/>
      <c r="E383" s="34"/>
    </row>
    <row r="384" spans="1:5" x14ac:dyDescent="0.3">
      <c r="A384" s="32">
        <v>383</v>
      </c>
      <c r="B384" s="32"/>
      <c r="C384" s="32" t="b">
        <f>_xlfn.XLOOKUP(Table6101112[[#This Row],[Category No]],Table8[Category No],Table8[Chapter List],FALSE)</f>
        <v>0</v>
      </c>
      <c r="D384" s="32"/>
      <c r="E384" s="34"/>
    </row>
    <row r="385" spans="1:5" x14ac:dyDescent="0.3">
      <c r="A385" s="32">
        <v>384</v>
      </c>
      <c r="B385" s="32"/>
      <c r="C385" s="32" t="b">
        <f>_xlfn.XLOOKUP(Table6101112[[#This Row],[Category No]],Table8[Category No],Table8[Chapter List],FALSE)</f>
        <v>0</v>
      </c>
      <c r="D385" s="32"/>
      <c r="E385" s="34"/>
    </row>
    <row r="386" spans="1:5" x14ac:dyDescent="0.3">
      <c r="A386" s="32">
        <v>385</v>
      </c>
      <c r="B386" s="32"/>
      <c r="C386" s="32" t="b">
        <f>_xlfn.XLOOKUP(Table6101112[[#This Row],[Category No]],Table8[Category No],Table8[Chapter List],FALSE)</f>
        <v>0</v>
      </c>
      <c r="D386" s="32"/>
      <c r="E386" s="34"/>
    </row>
    <row r="387" spans="1:5" x14ac:dyDescent="0.3">
      <c r="A387" s="32">
        <v>386</v>
      </c>
      <c r="B387" s="32"/>
      <c r="C387" s="32" t="b">
        <f>_xlfn.XLOOKUP(Table6101112[[#This Row],[Category No]],Table8[Category No],Table8[Chapter List],FALSE)</f>
        <v>0</v>
      </c>
      <c r="D387" s="32"/>
      <c r="E387" s="34"/>
    </row>
    <row r="388" spans="1:5" x14ac:dyDescent="0.3">
      <c r="A388" s="32">
        <v>387</v>
      </c>
      <c r="B388" s="32"/>
      <c r="C388" s="32" t="b">
        <f>_xlfn.XLOOKUP(Table6101112[[#This Row],[Category No]],Table8[Category No],Table8[Chapter List],FALSE)</f>
        <v>0</v>
      </c>
      <c r="D388" s="32"/>
      <c r="E388" s="34"/>
    </row>
    <row r="389" spans="1:5" x14ac:dyDescent="0.3">
      <c r="A389" s="32">
        <v>388</v>
      </c>
      <c r="B389" s="32"/>
      <c r="C389" s="32" t="b">
        <f>_xlfn.XLOOKUP(Table6101112[[#This Row],[Category No]],Table8[Category No],Table8[Chapter List],FALSE)</f>
        <v>0</v>
      </c>
      <c r="D389" s="32"/>
      <c r="E389" s="34"/>
    </row>
    <row r="390" spans="1:5" x14ac:dyDescent="0.3">
      <c r="A390" s="32">
        <v>389</v>
      </c>
      <c r="B390" s="32"/>
      <c r="C390" s="32" t="b">
        <f>_xlfn.XLOOKUP(Table6101112[[#This Row],[Category No]],Table8[Category No],Table8[Chapter List],FALSE)</f>
        <v>0</v>
      </c>
      <c r="D390" s="32"/>
      <c r="E390" s="34"/>
    </row>
    <row r="391" spans="1:5" x14ac:dyDescent="0.3">
      <c r="A391" s="32">
        <v>390</v>
      </c>
      <c r="B391" s="32"/>
      <c r="C391" s="32" t="b">
        <f>_xlfn.XLOOKUP(Table6101112[[#This Row],[Category No]],Table8[Category No],Table8[Chapter List],FALSE)</f>
        <v>0</v>
      </c>
      <c r="D391" s="32"/>
      <c r="E391" s="34"/>
    </row>
    <row r="392" spans="1:5" x14ac:dyDescent="0.3">
      <c r="A392" s="32">
        <v>391</v>
      </c>
      <c r="B392" s="32"/>
      <c r="C392" s="32" t="b">
        <f>_xlfn.XLOOKUP(Table6101112[[#This Row],[Category No]],Table8[Category No],Table8[Chapter List],FALSE)</f>
        <v>0</v>
      </c>
      <c r="D392" s="32"/>
      <c r="E392" s="34"/>
    </row>
    <row r="393" spans="1:5" x14ac:dyDescent="0.3">
      <c r="A393" s="32">
        <v>392</v>
      </c>
      <c r="B393" s="32"/>
      <c r="C393" s="32" t="b">
        <f>_xlfn.XLOOKUP(Table6101112[[#This Row],[Category No]],Table8[Category No],Table8[Chapter List],FALSE)</f>
        <v>0</v>
      </c>
      <c r="D393" s="32"/>
      <c r="E393" s="34"/>
    </row>
    <row r="394" spans="1:5" x14ac:dyDescent="0.3">
      <c r="A394" s="32">
        <v>393</v>
      </c>
      <c r="B394" s="32"/>
      <c r="C394" s="32" t="b">
        <f>_xlfn.XLOOKUP(Table6101112[[#This Row],[Category No]],Table8[Category No],Table8[Chapter List],FALSE)</f>
        <v>0</v>
      </c>
      <c r="D394" s="32"/>
      <c r="E394" s="34"/>
    </row>
    <row r="395" spans="1:5" x14ac:dyDescent="0.3">
      <c r="A395" s="32">
        <v>394</v>
      </c>
      <c r="B395" s="32"/>
      <c r="C395" s="32" t="b">
        <f>_xlfn.XLOOKUP(Table6101112[[#This Row],[Category No]],Table8[Category No],Table8[Chapter List],FALSE)</f>
        <v>0</v>
      </c>
      <c r="D395" s="32"/>
      <c r="E395" s="34"/>
    </row>
    <row r="396" spans="1:5" x14ac:dyDescent="0.3">
      <c r="A396" s="32">
        <v>395</v>
      </c>
      <c r="B396" s="32"/>
      <c r="C396" s="32" t="b">
        <f>_xlfn.XLOOKUP(Table6101112[[#This Row],[Category No]],Table8[Category No],Table8[Chapter List],FALSE)</f>
        <v>0</v>
      </c>
      <c r="D396" s="32"/>
      <c r="E396" s="34"/>
    </row>
    <row r="397" spans="1:5" x14ac:dyDescent="0.3">
      <c r="A397" s="32">
        <v>396</v>
      </c>
      <c r="B397" s="32"/>
      <c r="C397" s="32" t="b">
        <f>_xlfn.XLOOKUP(Table6101112[[#This Row],[Category No]],Table8[Category No],Table8[Chapter List],FALSE)</f>
        <v>0</v>
      </c>
      <c r="D397" s="32"/>
      <c r="E397" s="34"/>
    </row>
    <row r="398" spans="1:5" x14ac:dyDescent="0.3">
      <c r="A398" s="32">
        <v>397</v>
      </c>
      <c r="B398" s="32"/>
      <c r="C398" s="32" t="b">
        <f>_xlfn.XLOOKUP(Table6101112[[#This Row],[Category No]],Table8[Category No],Table8[Chapter List],FALSE)</f>
        <v>0</v>
      </c>
      <c r="D398" s="32"/>
      <c r="E398" s="34"/>
    </row>
    <row r="399" spans="1:5" x14ac:dyDescent="0.3">
      <c r="A399" s="32">
        <v>398</v>
      </c>
      <c r="B399" s="32"/>
      <c r="C399" s="32" t="b">
        <f>_xlfn.XLOOKUP(Table6101112[[#This Row],[Category No]],Table8[Category No],Table8[Chapter List],FALSE)</f>
        <v>0</v>
      </c>
      <c r="D399" s="32"/>
      <c r="E399" s="34"/>
    </row>
    <row r="400" spans="1:5" x14ac:dyDescent="0.3">
      <c r="A400" s="32">
        <v>399</v>
      </c>
      <c r="B400" s="32"/>
      <c r="C400" s="32" t="b">
        <f>_xlfn.XLOOKUP(Table6101112[[#This Row],[Category No]],Table8[Category No],Table8[Chapter List],FALSE)</f>
        <v>0</v>
      </c>
      <c r="D400" s="32"/>
      <c r="E400" s="34"/>
    </row>
    <row r="401" spans="1:5" x14ac:dyDescent="0.3">
      <c r="A401" s="32">
        <v>400</v>
      </c>
      <c r="B401" s="32"/>
      <c r="C401" s="32" t="b">
        <f>_xlfn.XLOOKUP(Table6101112[[#This Row],[Category No]],Table8[Category No],Table8[Chapter List],FALSE)</f>
        <v>0</v>
      </c>
      <c r="D401" s="32"/>
      <c r="E401" s="34"/>
    </row>
    <row r="402" spans="1:5" x14ac:dyDescent="0.3">
      <c r="A402" s="32">
        <v>401</v>
      </c>
      <c r="B402" s="32"/>
      <c r="C402" s="32" t="b">
        <f>_xlfn.XLOOKUP(Table6101112[[#This Row],[Category No]],Table8[Category No],Table8[Chapter List],FALSE)</f>
        <v>0</v>
      </c>
      <c r="D402" s="32"/>
      <c r="E402" s="34"/>
    </row>
    <row r="403" spans="1:5" x14ac:dyDescent="0.3">
      <c r="A403" s="32">
        <v>402</v>
      </c>
      <c r="B403" s="32"/>
      <c r="C403" s="32" t="b">
        <f>_xlfn.XLOOKUP(Table6101112[[#This Row],[Category No]],Table8[Category No],Table8[Chapter List],FALSE)</f>
        <v>0</v>
      </c>
      <c r="D403" s="32"/>
      <c r="E403" s="34"/>
    </row>
    <row r="404" spans="1:5" x14ac:dyDescent="0.3">
      <c r="A404" s="32">
        <v>403</v>
      </c>
      <c r="B404" s="32"/>
      <c r="C404" s="32" t="b">
        <f>_xlfn.XLOOKUP(Table6101112[[#This Row],[Category No]],Table8[Category No],Table8[Chapter List],FALSE)</f>
        <v>0</v>
      </c>
      <c r="D404" s="32"/>
      <c r="E404" s="34"/>
    </row>
    <row r="405" spans="1:5" x14ac:dyDescent="0.3">
      <c r="A405" s="32">
        <v>404</v>
      </c>
      <c r="B405" s="32"/>
      <c r="C405" s="32" t="b">
        <f>_xlfn.XLOOKUP(Table6101112[[#This Row],[Category No]],Table8[Category No],Table8[Chapter List],FALSE)</f>
        <v>0</v>
      </c>
      <c r="D405" s="32"/>
      <c r="E405" s="34"/>
    </row>
    <row r="406" spans="1:5" x14ac:dyDescent="0.3">
      <c r="A406" s="32">
        <v>405</v>
      </c>
      <c r="B406" s="32"/>
      <c r="C406" s="32" t="b">
        <f>_xlfn.XLOOKUP(Table6101112[[#This Row],[Category No]],Table8[Category No],Table8[Chapter List],FALSE)</f>
        <v>0</v>
      </c>
      <c r="D406" s="32"/>
      <c r="E406" s="34"/>
    </row>
    <row r="407" spans="1:5" x14ac:dyDescent="0.3">
      <c r="A407" s="32">
        <v>406</v>
      </c>
      <c r="B407" s="32"/>
      <c r="C407" s="32" t="b">
        <f>_xlfn.XLOOKUP(Table6101112[[#This Row],[Category No]],Table8[Category No],Table8[Chapter List],FALSE)</f>
        <v>0</v>
      </c>
      <c r="D407" s="32"/>
      <c r="E407" s="34"/>
    </row>
    <row r="408" spans="1:5" x14ac:dyDescent="0.3">
      <c r="A408" s="32">
        <v>407</v>
      </c>
      <c r="B408" s="32"/>
      <c r="C408" s="32" t="b">
        <f>_xlfn.XLOOKUP(Table6101112[[#This Row],[Category No]],Table8[Category No],Table8[Chapter List],FALSE)</f>
        <v>0</v>
      </c>
      <c r="D408" s="32"/>
      <c r="E408" s="34"/>
    </row>
    <row r="409" spans="1:5" x14ac:dyDescent="0.3">
      <c r="A409" s="32">
        <v>408</v>
      </c>
      <c r="B409" s="32"/>
      <c r="C409" s="32" t="b">
        <f>_xlfn.XLOOKUP(Table6101112[[#This Row],[Category No]],Table8[Category No],Table8[Chapter List],FALSE)</f>
        <v>0</v>
      </c>
      <c r="D409" s="32"/>
      <c r="E409" s="34"/>
    </row>
    <row r="410" spans="1:5" x14ac:dyDescent="0.3">
      <c r="A410" s="32">
        <v>409</v>
      </c>
      <c r="B410" s="32"/>
      <c r="C410" s="32" t="b">
        <f>_xlfn.XLOOKUP(Table6101112[[#This Row],[Category No]],Table8[Category No],Table8[Chapter List],FALSE)</f>
        <v>0</v>
      </c>
      <c r="D410" s="32"/>
      <c r="E410" s="34"/>
    </row>
    <row r="411" spans="1:5" x14ac:dyDescent="0.3">
      <c r="A411" s="32">
        <v>410</v>
      </c>
      <c r="B411" s="32"/>
      <c r="C411" s="32" t="b">
        <f>_xlfn.XLOOKUP(Table6101112[[#This Row],[Category No]],Table8[Category No],Table8[Chapter List],FALSE)</f>
        <v>0</v>
      </c>
      <c r="D411" s="32"/>
      <c r="E411" s="34"/>
    </row>
    <row r="412" spans="1:5" x14ac:dyDescent="0.3">
      <c r="A412" s="32">
        <v>411</v>
      </c>
      <c r="B412" s="32"/>
      <c r="C412" s="32" t="b">
        <f>_xlfn.XLOOKUP(Table6101112[[#This Row],[Category No]],Table8[Category No],Table8[Chapter List],FALSE)</f>
        <v>0</v>
      </c>
      <c r="D412" s="32"/>
      <c r="E412" s="34"/>
    </row>
    <row r="413" spans="1:5" x14ac:dyDescent="0.3">
      <c r="A413" s="32">
        <v>412</v>
      </c>
      <c r="B413" s="32"/>
      <c r="C413" s="32" t="b">
        <f>_xlfn.XLOOKUP(Table6101112[[#This Row],[Category No]],Table8[Category No],Table8[Chapter List],FALSE)</f>
        <v>0</v>
      </c>
      <c r="D413" s="32"/>
      <c r="E413" s="34"/>
    </row>
    <row r="414" spans="1:5" x14ac:dyDescent="0.3">
      <c r="A414" s="32">
        <v>413</v>
      </c>
      <c r="B414" s="32"/>
      <c r="C414" s="32" t="b">
        <f>_xlfn.XLOOKUP(Table6101112[[#This Row],[Category No]],Table8[Category No],Table8[Chapter List],FALSE)</f>
        <v>0</v>
      </c>
      <c r="D414" s="32"/>
      <c r="E414" s="34"/>
    </row>
    <row r="415" spans="1:5" x14ac:dyDescent="0.3">
      <c r="A415" s="32">
        <v>414</v>
      </c>
      <c r="B415" s="32"/>
      <c r="C415" s="32" t="b">
        <f>_xlfn.XLOOKUP(Table6101112[[#This Row],[Category No]],Table8[Category No],Table8[Chapter List],FALSE)</f>
        <v>0</v>
      </c>
      <c r="D415" s="32"/>
      <c r="E415" s="34"/>
    </row>
    <row r="416" spans="1:5" x14ac:dyDescent="0.3">
      <c r="A416" s="32">
        <v>415</v>
      </c>
      <c r="B416" s="32"/>
      <c r="C416" s="32" t="b">
        <f>_xlfn.XLOOKUP(Table6101112[[#This Row],[Category No]],Table8[Category No],Table8[Chapter List],FALSE)</f>
        <v>0</v>
      </c>
      <c r="D416" s="32"/>
      <c r="E416" s="34"/>
    </row>
    <row r="417" spans="1:5" x14ac:dyDescent="0.3">
      <c r="A417" s="32">
        <v>416</v>
      </c>
      <c r="B417" s="32"/>
      <c r="C417" s="32" t="b">
        <f>_xlfn.XLOOKUP(Table6101112[[#This Row],[Category No]],Table8[Category No],Table8[Chapter List],FALSE)</f>
        <v>0</v>
      </c>
      <c r="D417" s="32"/>
      <c r="E417" s="34"/>
    </row>
    <row r="418" spans="1:5" x14ac:dyDescent="0.3">
      <c r="A418" s="32">
        <v>417</v>
      </c>
      <c r="B418" s="32"/>
      <c r="C418" s="32" t="b">
        <f>_xlfn.XLOOKUP(Table6101112[[#This Row],[Category No]],Table8[Category No],Table8[Chapter List],FALSE)</f>
        <v>0</v>
      </c>
      <c r="D418" s="32"/>
      <c r="E418" s="34"/>
    </row>
    <row r="419" spans="1:5" x14ac:dyDescent="0.3">
      <c r="A419" s="32">
        <v>418</v>
      </c>
      <c r="B419" s="32"/>
      <c r="C419" s="32" t="b">
        <f>_xlfn.XLOOKUP(Table6101112[[#This Row],[Category No]],Table8[Category No],Table8[Chapter List],FALSE)</f>
        <v>0</v>
      </c>
      <c r="D419" s="32"/>
      <c r="E419" s="34"/>
    </row>
    <row r="420" spans="1:5" x14ac:dyDescent="0.3">
      <c r="A420" s="32">
        <v>419</v>
      </c>
      <c r="B420" s="32"/>
      <c r="C420" s="32" t="b">
        <f>_xlfn.XLOOKUP(Table6101112[[#This Row],[Category No]],Table8[Category No],Table8[Chapter List],FALSE)</f>
        <v>0</v>
      </c>
      <c r="D420" s="32"/>
      <c r="E420" s="34"/>
    </row>
    <row r="421" spans="1:5" x14ac:dyDescent="0.3">
      <c r="A421" s="32">
        <v>420</v>
      </c>
      <c r="B421" s="32"/>
      <c r="C421" s="32" t="b">
        <f>_xlfn.XLOOKUP(Table6101112[[#This Row],[Category No]],Table8[Category No],Table8[Chapter List],FALSE)</f>
        <v>0</v>
      </c>
      <c r="D421" s="32"/>
      <c r="E421" s="34"/>
    </row>
    <row r="422" spans="1:5" x14ac:dyDescent="0.3">
      <c r="A422" s="32">
        <v>421</v>
      </c>
      <c r="B422" s="32"/>
      <c r="C422" s="32" t="b">
        <f>_xlfn.XLOOKUP(Table6101112[[#This Row],[Category No]],Table8[Category No],Table8[Chapter List],FALSE)</f>
        <v>0</v>
      </c>
      <c r="D422" s="32"/>
      <c r="E422" s="34"/>
    </row>
    <row r="423" spans="1:5" x14ac:dyDescent="0.3">
      <c r="A423" s="32">
        <v>422</v>
      </c>
      <c r="B423" s="32"/>
      <c r="C423" s="32" t="b">
        <f>_xlfn.XLOOKUP(Table6101112[[#This Row],[Category No]],Table8[Category No],Table8[Chapter List],FALSE)</f>
        <v>0</v>
      </c>
      <c r="D423" s="32"/>
      <c r="E423" s="34"/>
    </row>
    <row r="424" spans="1:5" x14ac:dyDescent="0.3">
      <c r="A424" s="32">
        <v>423</v>
      </c>
      <c r="B424" s="32"/>
      <c r="C424" s="32" t="b">
        <f>_xlfn.XLOOKUP(Table6101112[[#This Row],[Category No]],Table8[Category No],Table8[Chapter List],FALSE)</f>
        <v>0</v>
      </c>
      <c r="D424" s="32"/>
      <c r="E424" s="34"/>
    </row>
    <row r="425" spans="1:5" x14ac:dyDescent="0.3">
      <c r="A425" s="32">
        <v>424</v>
      </c>
      <c r="B425" s="32"/>
      <c r="C425" s="32" t="b">
        <f>_xlfn.XLOOKUP(Table6101112[[#This Row],[Category No]],Table8[Category No],Table8[Chapter List],FALSE)</f>
        <v>0</v>
      </c>
      <c r="D425" s="32"/>
      <c r="E425" s="34"/>
    </row>
    <row r="426" spans="1:5" x14ac:dyDescent="0.3">
      <c r="A426" s="32">
        <v>425</v>
      </c>
      <c r="B426" s="32"/>
      <c r="C426" s="32" t="b">
        <f>_xlfn.XLOOKUP(Table6101112[[#This Row],[Category No]],Table8[Category No],Table8[Chapter List],FALSE)</f>
        <v>0</v>
      </c>
      <c r="D426" s="32"/>
      <c r="E426" s="34"/>
    </row>
    <row r="427" spans="1:5" x14ac:dyDescent="0.3">
      <c r="A427" s="32">
        <v>426</v>
      </c>
      <c r="B427" s="32"/>
      <c r="C427" s="32" t="b">
        <f>_xlfn.XLOOKUP(Table6101112[[#This Row],[Category No]],Table8[Category No],Table8[Chapter List],FALSE)</f>
        <v>0</v>
      </c>
      <c r="D427" s="32"/>
      <c r="E427" s="34"/>
    </row>
    <row r="428" spans="1:5" x14ac:dyDescent="0.3">
      <c r="A428" s="32">
        <v>427</v>
      </c>
      <c r="B428" s="32"/>
      <c r="C428" s="32" t="b">
        <f>_xlfn.XLOOKUP(Table6101112[[#This Row],[Category No]],Table8[Category No],Table8[Chapter List],FALSE)</f>
        <v>0</v>
      </c>
      <c r="D428" s="32"/>
      <c r="E428" s="34"/>
    </row>
    <row r="429" spans="1:5" x14ac:dyDescent="0.3">
      <c r="A429" s="32">
        <v>428</v>
      </c>
      <c r="B429" s="32"/>
      <c r="C429" s="32" t="b">
        <f>_xlfn.XLOOKUP(Table6101112[[#This Row],[Category No]],Table8[Category No],Table8[Chapter List],FALSE)</f>
        <v>0</v>
      </c>
      <c r="D429" s="32"/>
      <c r="E429" s="34"/>
    </row>
    <row r="430" spans="1:5" x14ac:dyDescent="0.3">
      <c r="A430" s="32">
        <v>429</v>
      </c>
      <c r="B430" s="32"/>
      <c r="C430" s="32" t="b">
        <f>_xlfn.XLOOKUP(Table6101112[[#This Row],[Category No]],Table8[Category No],Table8[Chapter List],FALSE)</f>
        <v>0</v>
      </c>
      <c r="D430" s="32"/>
      <c r="E430" s="34"/>
    </row>
    <row r="431" spans="1:5" x14ac:dyDescent="0.3">
      <c r="A431" s="32">
        <v>430</v>
      </c>
      <c r="B431" s="32"/>
      <c r="C431" s="32" t="b">
        <f>_xlfn.XLOOKUP(Table6101112[[#This Row],[Category No]],Table8[Category No],Table8[Chapter List],FALSE)</f>
        <v>0</v>
      </c>
      <c r="D431" s="32"/>
      <c r="E431" s="34"/>
    </row>
    <row r="432" spans="1:5" x14ac:dyDescent="0.3">
      <c r="A432" s="32">
        <v>431</v>
      </c>
      <c r="B432" s="32"/>
      <c r="C432" s="32" t="b">
        <f>_xlfn.XLOOKUP(Table6101112[[#This Row],[Category No]],Table8[Category No],Table8[Chapter List],FALSE)</f>
        <v>0</v>
      </c>
      <c r="D432" s="32"/>
      <c r="E432" s="34"/>
    </row>
    <row r="433" spans="1:5" x14ac:dyDescent="0.3">
      <c r="A433" s="32">
        <v>432</v>
      </c>
      <c r="B433" s="32"/>
      <c r="C433" s="32" t="b">
        <f>_xlfn.XLOOKUP(Table6101112[[#This Row],[Category No]],Table8[Category No],Table8[Chapter List],FALSE)</f>
        <v>0</v>
      </c>
      <c r="D433" s="32"/>
      <c r="E433" s="34"/>
    </row>
    <row r="434" spans="1:5" x14ac:dyDescent="0.3">
      <c r="A434" s="32">
        <v>433</v>
      </c>
      <c r="B434" s="32"/>
      <c r="C434" s="32" t="b">
        <f>_xlfn.XLOOKUP(Table6101112[[#This Row],[Category No]],Table8[Category No],Table8[Chapter List],FALSE)</f>
        <v>0</v>
      </c>
      <c r="D434" s="32"/>
      <c r="E434" s="34"/>
    </row>
    <row r="435" spans="1:5" x14ac:dyDescent="0.3">
      <c r="A435" s="32">
        <v>434</v>
      </c>
      <c r="B435" s="32"/>
      <c r="C435" s="32" t="b">
        <f>_xlfn.XLOOKUP(Table6101112[[#This Row],[Category No]],Table8[Category No],Table8[Chapter List],FALSE)</f>
        <v>0</v>
      </c>
      <c r="D435" s="32"/>
      <c r="E435" s="34"/>
    </row>
    <row r="436" spans="1:5" x14ac:dyDescent="0.3">
      <c r="A436" s="32">
        <v>435</v>
      </c>
      <c r="B436" s="32"/>
      <c r="C436" s="32" t="b">
        <f>_xlfn.XLOOKUP(Table6101112[[#This Row],[Category No]],Table8[Category No],Table8[Chapter List],FALSE)</f>
        <v>0</v>
      </c>
      <c r="D436" s="32"/>
      <c r="E436" s="34"/>
    </row>
    <row r="437" spans="1:5" x14ac:dyDescent="0.3">
      <c r="A437" s="32">
        <v>436</v>
      </c>
      <c r="B437" s="32"/>
      <c r="C437" s="32" t="b">
        <f>_xlfn.XLOOKUP(Table6101112[[#This Row],[Category No]],Table8[Category No],Table8[Chapter List],FALSE)</f>
        <v>0</v>
      </c>
      <c r="D437" s="32"/>
      <c r="E437" s="34"/>
    </row>
    <row r="438" spans="1:5" x14ac:dyDescent="0.3">
      <c r="A438" s="32">
        <v>437</v>
      </c>
      <c r="B438" s="32"/>
      <c r="C438" s="32" t="b">
        <f>_xlfn.XLOOKUP(Table6101112[[#This Row],[Category No]],Table8[Category No],Table8[Chapter List],FALSE)</f>
        <v>0</v>
      </c>
      <c r="D438" s="32"/>
      <c r="E438" s="34"/>
    </row>
    <row r="439" spans="1:5" x14ac:dyDescent="0.3">
      <c r="A439" s="32">
        <v>438</v>
      </c>
      <c r="B439" s="32"/>
      <c r="C439" s="32" t="b">
        <f>_xlfn.XLOOKUP(Table6101112[[#This Row],[Category No]],Table8[Category No],Table8[Chapter List],FALSE)</f>
        <v>0</v>
      </c>
      <c r="D439" s="32"/>
      <c r="E439" s="34"/>
    </row>
    <row r="440" spans="1:5" x14ac:dyDescent="0.3">
      <c r="A440" s="32">
        <v>439</v>
      </c>
      <c r="B440" s="32"/>
      <c r="C440" s="32" t="b">
        <f>_xlfn.XLOOKUP(Table6101112[[#This Row],[Category No]],Table8[Category No],Table8[Chapter List],FALSE)</f>
        <v>0</v>
      </c>
      <c r="D440" s="32"/>
      <c r="E440" s="34"/>
    </row>
    <row r="441" spans="1:5" x14ac:dyDescent="0.3">
      <c r="A441" s="32">
        <v>440</v>
      </c>
      <c r="B441" s="32"/>
      <c r="C441" s="32" t="b">
        <f>_xlfn.XLOOKUP(Table6101112[[#This Row],[Category No]],Table8[Category No],Table8[Chapter List],FALSE)</f>
        <v>0</v>
      </c>
      <c r="D441" s="32"/>
      <c r="E441" s="34"/>
    </row>
    <row r="442" spans="1:5" x14ac:dyDescent="0.3">
      <c r="A442" s="32">
        <v>441</v>
      </c>
      <c r="B442" s="32"/>
      <c r="C442" s="32" t="b">
        <f>_xlfn.XLOOKUP(Table6101112[[#This Row],[Category No]],Table8[Category No],Table8[Chapter List],FALSE)</f>
        <v>0</v>
      </c>
      <c r="D442" s="32"/>
      <c r="E442" s="34"/>
    </row>
    <row r="443" spans="1:5" x14ac:dyDescent="0.3">
      <c r="A443" s="32">
        <v>442</v>
      </c>
      <c r="B443" s="32"/>
      <c r="C443" s="32" t="b">
        <f>_xlfn.XLOOKUP(Table6101112[[#This Row],[Category No]],Table8[Category No],Table8[Chapter List],FALSE)</f>
        <v>0</v>
      </c>
      <c r="D443" s="32"/>
      <c r="E443" s="34"/>
    </row>
    <row r="444" spans="1:5" x14ac:dyDescent="0.3">
      <c r="A444" s="32">
        <v>443</v>
      </c>
      <c r="B444" s="32"/>
      <c r="C444" s="32" t="b">
        <f>_xlfn.XLOOKUP(Table6101112[[#This Row],[Category No]],Table8[Category No],Table8[Chapter List],FALSE)</f>
        <v>0</v>
      </c>
      <c r="D444" s="32"/>
      <c r="E444" s="34"/>
    </row>
    <row r="445" spans="1:5" x14ac:dyDescent="0.3">
      <c r="A445" s="32">
        <v>444</v>
      </c>
      <c r="B445" s="32"/>
      <c r="C445" s="32" t="b">
        <f>_xlfn.XLOOKUP(Table6101112[[#This Row],[Category No]],Table8[Category No],Table8[Chapter List],FALSE)</f>
        <v>0</v>
      </c>
      <c r="D445" s="32"/>
      <c r="E445" s="34"/>
    </row>
    <row r="446" spans="1:5" x14ac:dyDescent="0.3">
      <c r="A446" s="32">
        <v>445</v>
      </c>
      <c r="B446" s="32"/>
      <c r="C446" s="32" t="b">
        <f>_xlfn.XLOOKUP(Table6101112[[#This Row],[Category No]],Table8[Category No],Table8[Chapter List],FALSE)</f>
        <v>0</v>
      </c>
      <c r="D446" s="32"/>
      <c r="E446" s="34"/>
    </row>
    <row r="447" spans="1:5" x14ac:dyDescent="0.3">
      <c r="A447" s="32">
        <v>446</v>
      </c>
      <c r="B447" s="32"/>
      <c r="C447" s="32" t="b">
        <f>_xlfn.XLOOKUP(Table6101112[[#This Row],[Category No]],Table8[Category No],Table8[Chapter List],FALSE)</f>
        <v>0</v>
      </c>
      <c r="D447" s="32"/>
      <c r="E447" s="34"/>
    </row>
    <row r="448" spans="1:5" x14ac:dyDescent="0.3">
      <c r="A448" s="32">
        <v>447</v>
      </c>
      <c r="B448" s="32"/>
      <c r="C448" s="32" t="b">
        <f>_xlfn.XLOOKUP(Table6101112[[#This Row],[Category No]],Table8[Category No],Table8[Chapter List],FALSE)</f>
        <v>0</v>
      </c>
      <c r="D448" s="32"/>
      <c r="E448" s="34"/>
    </row>
    <row r="449" spans="1:5" x14ac:dyDescent="0.3">
      <c r="A449" s="32">
        <v>448</v>
      </c>
      <c r="B449" s="32"/>
      <c r="C449" s="32" t="b">
        <f>_xlfn.XLOOKUP(Table6101112[[#This Row],[Category No]],Table8[Category No],Table8[Chapter List],FALSE)</f>
        <v>0</v>
      </c>
      <c r="D449" s="32"/>
      <c r="E449" s="34"/>
    </row>
    <row r="450" spans="1:5" x14ac:dyDescent="0.3">
      <c r="A450" s="32">
        <v>449</v>
      </c>
      <c r="B450" s="32"/>
      <c r="C450" s="32" t="b">
        <f>_xlfn.XLOOKUP(Table6101112[[#This Row],[Category No]],Table8[Category No],Table8[Chapter List],FALSE)</f>
        <v>0</v>
      </c>
      <c r="D450" s="32"/>
      <c r="E450" s="34"/>
    </row>
    <row r="451" spans="1:5" x14ac:dyDescent="0.3">
      <c r="A451" s="32">
        <v>450</v>
      </c>
      <c r="B451" s="32"/>
      <c r="C451" s="32" t="b">
        <f>_xlfn.XLOOKUP(Table6101112[[#This Row],[Category No]],Table8[Category No],Table8[Chapter List],FALSE)</f>
        <v>0</v>
      </c>
      <c r="D451" s="32"/>
      <c r="E451" s="34"/>
    </row>
    <row r="452" spans="1:5" x14ac:dyDescent="0.3">
      <c r="A452" s="32">
        <v>451</v>
      </c>
      <c r="B452" s="32"/>
      <c r="C452" s="32" t="b">
        <f>_xlfn.XLOOKUP(Table6101112[[#This Row],[Category No]],Table8[Category No],Table8[Chapter List],FALSE)</f>
        <v>0</v>
      </c>
      <c r="D452" s="32"/>
      <c r="E452" s="34"/>
    </row>
    <row r="453" spans="1:5" x14ac:dyDescent="0.3">
      <c r="A453" s="32">
        <v>452</v>
      </c>
      <c r="B453" s="32"/>
      <c r="C453" s="32" t="b">
        <f>_xlfn.XLOOKUP(Table6101112[[#This Row],[Category No]],Table8[Category No],Table8[Chapter List],FALSE)</f>
        <v>0</v>
      </c>
      <c r="D453" s="32"/>
      <c r="E453" s="34"/>
    </row>
    <row r="454" spans="1:5" x14ac:dyDescent="0.3">
      <c r="A454" s="32">
        <v>453</v>
      </c>
      <c r="B454" s="32"/>
      <c r="C454" s="32" t="b">
        <f>_xlfn.XLOOKUP(Table6101112[[#This Row],[Category No]],Table8[Category No],Table8[Chapter List],FALSE)</f>
        <v>0</v>
      </c>
      <c r="D454" s="32"/>
      <c r="E454" s="34"/>
    </row>
    <row r="455" spans="1:5" x14ac:dyDescent="0.3">
      <c r="A455" s="32">
        <v>454</v>
      </c>
      <c r="B455" s="32"/>
      <c r="C455" s="32" t="b">
        <f>_xlfn.XLOOKUP(Table6101112[[#This Row],[Category No]],Table8[Category No],Table8[Chapter List],FALSE)</f>
        <v>0</v>
      </c>
      <c r="D455" s="32"/>
      <c r="E455" s="34"/>
    </row>
    <row r="456" spans="1:5" x14ac:dyDescent="0.3">
      <c r="A456" s="32">
        <v>455</v>
      </c>
      <c r="B456" s="32"/>
      <c r="C456" s="32" t="b">
        <f>_xlfn.XLOOKUP(Table6101112[[#This Row],[Category No]],Table8[Category No],Table8[Chapter List],FALSE)</f>
        <v>0</v>
      </c>
      <c r="D456" s="32"/>
      <c r="E456" s="34"/>
    </row>
    <row r="457" spans="1:5" x14ac:dyDescent="0.3">
      <c r="A457" s="32">
        <v>456</v>
      </c>
      <c r="B457" s="32"/>
      <c r="C457" s="32" t="b">
        <f>_xlfn.XLOOKUP(Table6101112[[#This Row],[Category No]],Table8[Category No],Table8[Chapter List],FALSE)</f>
        <v>0</v>
      </c>
      <c r="D457" s="32"/>
      <c r="E457" s="34"/>
    </row>
    <row r="458" spans="1:5" x14ac:dyDescent="0.3">
      <c r="A458" s="32">
        <v>457</v>
      </c>
      <c r="B458" s="32"/>
      <c r="C458" s="32" t="b">
        <f>_xlfn.XLOOKUP(Table6101112[[#This Row],[Category No]],Table8[Category No],Table8[Chapter List],FALSE)</f>
        <v>0</v>
      </c>
      <c r="D458" s="32"/>
      <c r="E458" s="34"/>
    </row>
    <row r="459" spans="1:5" x14ac:dyDescent="0.3">
      <c r="A459" s="32">
        <v>458</v>
      </c>
      <c r="B459" s="32"/>
      <c r="C459" s="32" t="b">
        <f>_xlfn.XLOOKUP(Table6101112[[#This Row],[Category No]],Table8[Category No],Table8[Chapter List],FALSE)</f>
        <v>0</v>
      </c>
      <c r="D459" s="32"/>
      <c r="E459" s="34"/>
    </row>
    <row r="460" spans="1:5" x14ac:dyDescent="0.3">
      <c r="A460" s="32">
        <v>459</v>
      </c>
      <c r="B460" s="32"/>
      <c r="C460" s="32" t="b">
        <f>_xlfn.XLOOKUP(Table6101112[[#This Row],[Category No]],Table8[Category No],Table8[Chapter List],FALSE)</f>
        <v>0</v>
      </c>
      <c r="D460" s="32"/>
      <c r="E460" s="34"/>
    </row>
    <row r="461" spans="1:5" x14ac:dyDescent="0.3">
      <c r="A461" s="32">
        <v>460</v>
      </c>
      <c r="B461" s="32"/>
      <c r="C461" s="32" t="b">
        <f>_xlfn.XLOOKUP(Table6101112[[#This Row],[Category No]],Table8[Category No],Table8[Chapter List],FALSE)</f>
        <v>0</v>
      </c>
      <c r="D461" s="32"/>
      <c r="E461" s="34"/>
    </row>
    <row r="462" spans="1:5" x14ac:dyDescent="0.3">
      <c r="A462" s="32">
        <v>461</v>
      </c>
      <c r="B462" s="32"/>
      <c r="C462" s="32" t="b">
        <f>_xlfn.XLOOKUP(Table6101112[[#This Row],[Category No]],Table8[Category No],Table8[Chapter List],FALSE)</f>
        <v>0</v>
      </c>
      <c r="D462" s="32"/>
      <c r="E462" s="34"/>
    </row>
    <row r="463" spans="1:5" x14ac:dyDescent="0.3">
      <c r="A463" s="32">
        <v>462</v>
      </c>
      <c r="B463" s="32"/>
      <c r="C463" s="32" t="b">
        <f>_xlfn.XLOOKUP(Table6101112[[#This Row],[Category No]],Table8[Category No],Table8[Chapter List],FALSE)</f>
        <v>0</v>
      </c>
      <c r="D463" s="32"/>
      <c r="E463" s="34"/>
    </row>
    <row r="464" spans="1:5" x14ac:dyDescent="0.3">
      <c r="A464" s="32">
        <v>463</v>
      </c>
      <c r="B464" s="32"/>
      <c r="C464" s="32" t="b">
        <f>_xlfn.XLOOKUP(Table6101112[[#This Row],[Category No]],Table8[Category No],Table8[Chapter List],FALSE)</f>
        <v>0</v>
      </c>
      <c r="D464" s="32"/>
      <c r="E464" s="34"/>
    </row>
    <row r="465" spans="1:5" x14ac:dyDescent="0.3">
      <c r="A465" s="32">
        <v>464</v>
      </c>
      <c r="B465" s="32"/>
      <c r="C465" s="32" t="b">
        <f>_xlfn.XLOOKUP(Table6101112[[#This Row],[Category No]],Table8[Category No],Table8[Chapter List],FALSE)</f>
        <v>0</v>
      </c>
      <c r="D465" s="32"/>
      <c r="E465" s="34"/>
    </row>
    <row r="466" spans="1:5" x14ac:dyDescent="0.3">
      <c r="A466" s="32">
        <v>465</v>
      </c>
      <c r="B466" s="32"/>
      <c r="C466" s="32" t="b">
        <f>_xlfn.XLOOKUP(Table6101112[[#This Row],[Category No]],Table8[Category No],Table8[Chapter List],FALSE)</f>
        <v>0</v>
      </c>
      <c r="D466" s="32"/>
      <c r="E466" s="34"/>
    </row>
    <row r="467" spans="1:5" x14ac:dyDescent="0.3">
      <c r="A467" s="32">
        <v>466</v>
      </c>
      <c r="B467" s="32"/>
      <c r="C467" s="32" t="b">
        <f>_xlfn.XLOOKUP(Table6101112[[#This Row],[Category No]],Table8[Category No],Table8[Chapter List],FALSE)</f>
        <v>0</v>
      </c>
      <c r="D467" s="32"/>
      <c r="E467" s="34"/>
    </row>
    <row r="468" spans="1:5" x14ac:dyDescent="0.3">
      <c r="A468" s="32">
        <v>467</v>
      </c>
      <c r="B468" s="32"/>
      <c r="C468" s="32" t="b">
        <f>_xlfn.XLOOKUP(Table6101112[[#This Row],[Category No]],Table8[Category No],Table8[Chapter List],FALSE)</f>
        <v>0</v>
      </c>
      <c r="D468" s="32"/>
      <c r="E468" s="34"/>
    </row>
    <row r="469" spans="1:5" x14ac:dyDescent="0.3">
      <c r="A469" s="32">
        <v>468</v>
      </c>
      <c r="B469" s="32"/>
      <c r="C469" s="32" t="b">
        <f>_xlfn.XLOOKUP(Table6101112[[#This Row],[Category No]],Table8[Category No],Table8[Chapter List],FALSE)</f>
        <v>0</v>
      </c>
      <c r="D469" s="32"/>
      <c r="E469" s="34"/>
    </row>
    <row r="470" spans="1:5" x14ac:dyDescent="0.3">
      <c r="A470" s="32">
        <v>469</v>
      </c>
      <c r="B470" s="32"/>
      <c r="C470" s="32" t="b">
        <f>_xlfn.XLOOKUP(Table6101112[[#This Row],[Category No]],Table8[Category No],Table8[Chapter List],FALSE)</f>
        <v>0</v>
      </c>
      <c r="D470" s="32"/>
      <c r="E470" s="34"/>
    </row>
    <row r="471" spans="1:5" x14ac:dyDescent="0.3">
      <c r="A471" s="32">
        <v>470</v>
      </c>
      <c r="B471" s="32"/>
      <c r="C471" s="32" t="b">
        <f>_xlfn.XLOOKUP(Table6101112[[#This Row],[Category No]],Table8[Category No],Table8[Chapter List],FALSE)</f>
        <v>0</v>
      </c>
      <c r="D471" s="32"/>
      <c r="E471" s="34"/>
    </row>
    <row r="472" spans="1:5" x14ac:dyDescent="0.3">
      <c r="A472" s="32">
        <v>471</v>
      </c>
      <c r="B472" s="32"/>
      <c r="C472" s="32" t="b">
        <f>_xlfn.XLOOKUP(Table6101112[[#This Row],[Category No]],Table8[Category No],Table8[Chapter List],FALSE)</f>
        <v>0</v>
      </c>
      <c r="D472" s="32"/>
      <c r="E472" s="34"/>
    </row>
    <row r="473" spans="1:5" x14ac:dyDescent="0.3">
      <c r="A473" s="32">
        <v>472</v>
      </c>
      <c r="B473" s="32"/>
      <c r="C473" s="32" t="b">
        <f>_xlfn.XLOOKUP(Table6101112[[#This Row],[Category No]],Table8[Category No],Table8[Chapter List],FALSE)</f>
        <v>0</v>
      </c>
      <c r="D473" s="32"/>
      <c r="E473" s="34"/>
    </row>
    <row r="474" spans="1:5" x14ac:dyDescent="0.3">
      <c r="A474" s="32">
        <v>473</v>
      </c>
      <c r="B474" s="32"/>
      <c r="C474" s="32" t="b">
        <f>_xlfn.XLOOKUP(Table6101112[[#This Row],[Category No]],Table8[Category No],Table8[Chapter List],FALSE)</f>
        <v>0</v>
      </c>
      <c r="D474" s="32"/>
      <c r="E474" s="34"/>
    </row>
    <row r="475" spans="1:5" x14ac:dyDescent="0.3">
      <c r="A475" s="32">
        <v>474</v>
      </c>
      <c r="B475" s="32"/>
      <c r="C475" s="32" t="b">
        <f>_xlfn.XLOOKUP(Table6101112[[#This Row],[Category No]],Table8[Category No],Table8[Chapter List],FALSE)</f>
        <v>0</v>
      </c>
      <c r="D475" s="32"/>
      <c r="E475" s="34"/>
    </row>
    <row r="476" spans="1:5" x14ac:dyDescent="0.3">
      <c r="A476" s="32">
        <v>475</v>
      </c>
      <c r="B476" s="32"/>
      <c r="C476" s="32" t="b">
        <f>_xlfn.XLOOKUP(Table6101112[[#This Row],[Category No]],Table8[Category No],Table8[Chapter List],FALSE)</f>
        <v>0</v>
      </c>
      <c r="D476" s="32"/>
      <c r="E476" s="34"/>
    </row>
    <row r="477" spans="1:5" x14ac:dyDescent="0.3">
      <c r="A477" s="32">
        <v>476</v>
      </c>
      <c r="B477" s="32"/>
      <c r="C477" s="32" t="b">
        <f>_xlfn.XLOOKUP(Table6101112[[#This Row],[Category No]],Table8[Category No],Table8[Chapter List],FALSE)</f>
        <v>0</v>
      </c>
      <c r="D477" s="32"/>
      <c r="E477" s="34"/>
    </row>
    <row r="478" spans="1:5" x14ac:dyDescent="0.3">
      <c r="A478" s="32">
        <v>477</v>
      </c>
      <c r="B478" s="32"/>
      <c r="C478" s="32" t="b">
        <f>_xlfn.XLOOKUP(Table6101112[[#This Row],[Category No]],Table8[Category No],Table8[Chapter List],FALSE)</f>
        <v>0</v>
      </c>
      <c r="D478" s="32"/>
      <c r="E478" s="34"/>
    </row>
    <row r="479" spans="1:5" x14ac:dyDescent="0.3">
      <c r="A479" s="32">
        <v>478</v>
      </c>
      <c r="B479" s="32"/>
      <c r="C479" s="32" t="b">
        <f>_xlfn.XLOOKUP(Table6101112[[#This Row],[Category No]],Table8[Category No],Table8[Chapter List],FALSE)</f>
        <v>0</v>
      </c>
      <c r="D479" s="32"/>
      <c r="E479" s="34"/>
    </row>
    <row r="480" spans="1:5" x14ac:dyDescent="0.3">
      <c r="A480" s="32">
        <v>479</v>
      </c>
      <c r="B480" s="32"/>
      <c r="C480" s="32" t="b">
        <f>_xlfn.XLOOKUP(Table6101112[[#This Row],[Category No]],Table8[Category No],Table8[Chapter List],FALSE)</f>
        <v>0</v>
      </c>
      <c r="D480" s="32"/>
      <c r="E480" s="34"/>
    </row>
    <row r="481" spans="1:5" x14ac:dyDescent="0.3">
      <c r="A481" s="32">
        <v>480</v>
      </c>
      <c r="B481" s="32"/>
      <c r="C481" s="32" t="b">
        <f>_xlfn.XLOOKUP(Table6101112[[#This Row],[Category No]],Table8[Category No],Table8[Chapter List],FALSE)</f>
        <v>0</v>
      </c>
      <c r="D481" s="32"/>
      <c r="E481" s="34"/>
    </row>
    <row r="482" spans="1:5" x14ac:dyDescent="0.3">
      <c r="A482" s="32">
        <v>481</v>
      </c>
      <c r="B482" s="32"/>
      <c r="C482" s="32" t="b">
        <f>_xlfn.XLOOKUP(Table6101112[[#This Row],[Category No]],Table8[Category No],Table8[Chapter List],FALSE)</f>
        <v>0</v>
      </c>
      <c r="D482" s="32"/>
      <c r="E482" s="34"/>
    </row>
    <row r="483" spans="1:5" x14ac:dyDescent="0.3">
      <c r="A483" s="32">
        <v>482</v>
      </c>
      <c r="B483" s="32"/>
      <c r="C483" s="32" t="b">
        <f>_xlfn.XLOOKUP(Table6101112[[#This Row],[Category No]],Table8[Category No],Table8[Chapter List],FALSE)</f>
        <v>0</v>
      </c>
      <c r="D483" s="32"/>
      <c r="E483" s="34"/>
    </row>
    <row r="484" spans="1:5" x14ac:dyDescent="0.3">
      <c r="A484" s="32">
        <v>483</v>
      </c>
      <c r="B484" s="32"/>
      <c r="C484" s="32" t="b">
        <f>_xlfn.XLOOKUP(Table6101112[[#This Row],[Category No]],Table8[Category No],Table8[Chapter List],FALSE)</f>
        <v>0</v>
      </c>
      <c r="D484" s="32"/>
      <c r="E484" s="34"/>
    </row>
    <row r="485" spans="1:5" x14ac:dyDescent="0.3">
      <c r="A485" s="32">
        <v>484</v>
      </c>
      <c r="B485" s="32"/>
      <c r="C485" s="32" t="b">
        <f>_xlfn.XLOOKUP(Table6101112[[#This Row],[Category No]],Table8[Category No],Table8[Chapter List],FALSE)</f>
        <v>0</v>
      </c>
      <c r="D485" s="32"/>
      <c r="E485" s="34"/>
    </row>
    <row r="486" spans="1:5" x14ac:dyDescent="0.3">
      <c r="A486" s="32">
        <v>485</v>
      </c>
      <c r="B486" s="32"/>
      <c r="C486" s="32" t="b">
        <f>_xlfn.XLOOKUP(Table6101112[[#This Row],[Category No]],Table8[Category No],Table8[Chapter List],FALSE)</f>
        <v>0</v>
      </c>
      <c r="D486" s="32"/>
      <c r="E486" s="34"/>
    </row>
    <row r="487" spans="1:5" x14ac:dyDescent="0.3">
      <c r="A487" s="32">
        <v>486</v>
      </c>
      <c r="B487" s="32"/>
      <c r="C487" s="32" t="b">
        <f>_xlfn.XLOOKUP(Table6101112[[#This Row],[Category No]],Table8[Category No],Table8[Chapter List],FALSE)</f>
        <v>0</v>
      </c>
      <c r="D487" s="32"/>
      <c r="E487" s="34"/>
    </row>
    <row r="488" spans="1:5" x14ac:dyDescent="0.3">
      <c r="A488" s="32">
        <v>487</v>
      </c>
      <c r="B488" s="32"/>
      <c r="C488" s="32" t="b">
        <f>_xlfn.XLOOKUP(Table6101112[[#This Row],[Category No]],Table8[Category No],Table8[Chapter List],FALSE)</f>
        <v>0</v>
      </c>
      <c r="D488" s="32"/>
      <c r="E488" s="34"/>
    </row>
    <row r="489" spans="1:5" x14ac:dyDescent="0.3">
      <c r="A489" s="32">
        <v>488</v>
      </c>
      <c r="B489" s="32"/>
      <c r="C489" s="32" t="b">
        <f>_xlfn.XLOOKUP(Table6101112[[#This Row],[Category No]],Table8[Category No],Table8[Chapter List],FALSE)</f>
        <v>0</v>
      </c>
      <c r="D489" s="32"/>
      <c r="E489" s="34"/>
    </row>
    <row r="490" spans="1:5" x14ac:dyDescent="0.3">
      <c r="A490" s="32">
        <v>489</v>
      </c>
      <c r="B490" s="32"/>
      <c r="C490" s="32" t="b">
        <f>_xlfn.XLOOKUP(Table6101112[[#This Row],[Category No]],Table8[Category No],Table8[Chapter List],FALSE)</f>
        <v>0</v>
      </c>
      <c r="D490" s="32"/>
      <c r="E490" s="34"/>
    </row>
    <row r="491" spans="1:5" x14ac:dyDescent="0.3">
      <c r="A491" s="32">
        <v>490</v>
      </c>
      <c r="B491" s="32"/>
      <c r="C491" s="32" t="b">
        <f>_xlfn.XLOOKUP(Table6101112[[#This Row],[Category No]],Table8[Category No],Table8[Chapter List],FALSE)</f>
        <v>0</v>
      </c>
      <c r="D491" s="32"/>
      <c r="E491" s="34"/>
    </row>
    <row r="492" spans="1:5" x14ac:dyDescent="0.3">
      <c r="A492" s="32">
        <v>491</v>
      </c>
      <c r="B492" s="32"/>
      <c r="C492" s="32" t="b">
        <f>_xlfn.XLOOKUP(Table6101112[[#This Row],[Category No]],Table8[Category No],Table8[Chapter List],FALSE)</f>
        <v>0</v>
      </c>
      <c r="D492" s="32"/>
      <c r="E492" s="34"/>
    </row>
    <row r="493" spans="1:5" x14ac:dyDescent="0.3">
      <c r="A493" s="32">
        <v>492</v>
      </c>
      <c r="B493" s="32"/>
      <c r="C493" s="32" t="b">
        <f>_xlfn.XLOOKUP(Table6101112[[#This Row],[Category No]],Table8[Category No],Table8[Chapter List],FALSE)</f>
        <v>0</v>
      </c>
      <c r="D493" s="32"/>
      <c r="E493" s="34"/>
    </row>
    <row r="494" spans="1:5" x14ac:dyDescent="0.3">
      <c r="A494" s="32">
        <v>493</v>
      </c>
      <c r="B494" s="32"/>
      <c r="C494" s="32" t="b">
        <f>_xlfn.XLOOKUP(Table6101112[[#This Row],[Category No]],Table8[Category No],Table8[Chapter List],FALSE)</f>
        <v>0</v>
      </c>
      <c r="D494" s="32"/>
      <c r="E494" s="34"/>
    </row>
    <row r="495" spans="1:5" x14ac:dyDescent="0.3">
      <c r="A495" s="32">
        <v>494</v>
      </c>
      <c r="B495" s="32"/>
      <c r="C495" s="32" t="b">
        <f>_xlfn.XLOOKUP(Table6101112[[#This Row],[Category No]],Table8[Category No],Table8[Chapter List],FALSE)</f>
        <v>0</v>
      </c>
      <c r="D495" s="32"/>
      <c r="E495" s="34"/>
    </row>
    <row r="496" spans="1:5" x14ac:dyDescent="0.3">
      <c r="A496" s="32">
        <v>495</v>
      </c>
      <c r="B496" s="32"/>
      <c r="C496" s="32" t="b">
        <f>_xlfn.XLOOKUP(Table6101112[[#This Row],[Category No]],Table8[Category No],Table8[Chapter List],FALSE)</f>
        <v>0</v>
      </c>
      <c r="D496" s="32"/>
      <c r="E496" s="34"/>
    </row>
    <row r="497" spans="1:5" x14ac:dyDescent="0.3">
      <c r="A497" s="32">
        <v>496</v>
      </c>
      <c r="B497" s="32"/>
      <c r="C497" s="32" t="b">
        <f>_xlfn.XLOOKUP(Table6101112[[#This Row],[Category No]],Table8[Category No],Table8[Chapter List],FALSE)</f>
        <v>0</v>
      </c>
      <c r="D497" s="32"/>
      <c r="E497" s="34"/>
    </row>
    <row r="498" spans="1:5" x14ac:dyDescent="0.3">
      <c r="A498" s="32">
        <v>497</v>
      </c>
      <c r="B498" s="32"/>
      <c r="C498" s="32" t="b">
        <f>_xlfn.XLOOKUP(Table6101112[[#This Row],[Category No]],Table8[Category No],Table8[Chapter List],FALSE)</f>
        <v>0</v>
      </c>
      <c r="D498" s="32"/>
      <c r="E498" s="34"/>
    </row>
    <row r="499" spans="1:5" x14ac:dyDescent="0.3">
      <c r="A499" s="32">
        <v>498</v>
      </c>
      <c r="B499" s="32"/>
      <c r="C499" s="32" t="b">
        <f>_xlfn.XLOOKUP(Table6101112[[#This Row],[Category No]],Table8[Category No],Table8[Chapter List],FALSE)</f>
        <v>0</v>
      </c>
      <c r="D499" s="32"/>
      <c r="E499" s="34"/>
    </row>
    <row r="500" spans="1:5" x14ac:dyDescent="0.3">
      <c r="A500" s="32">
        <v>499</v>
      </c>
      <c r="B500" s="32"/>
      <c r="C500" s="32" t="b">
        <f>_xlfn.XLOOKUP(Table6101112[[#This Row],[Category No]],Table8[Category No],Table8[Chapter List],FALSE)</f>
        <v>0</v>
      </c>
      <c r="D500" s="32"/>
      <c r="E500" s="34"/>
    </row>
    <row r="501" spans="1:5" x14ac:dyDescent="0.3">
      <c r="A501" s="32">
        <v>500</v>
      </c>
      <c r="B501" s="32"/>
      <c r="C501" s="32" t="b">
        <f>_xlfn.XLOOKUP(Table6101112[[#This Row],[Category No]],Table8[Category No],Table8[Chapter List],FALSE)</f>
        <v>0</v>
      </c>
      <c r="D501" s="32"/>
      <c r="E501" s="34"/>
    </row>
    <row r="502" spans="1:5" x14ac:dyDescent="0.3">
      <c r="A502" s="32">
        <v>501</v>
      </c>
      <c r="B502" s="32"/>
      <c r="C502" s="32" t="b">
        <f>_xlfn.XLOOKUP(Table6101112[[#This Row],[Category No]],Table8[Category No],Table8[Chapter List],FALSE)</f>
        <v>0</v>
      </c>
      <c r="D502" s="32"/>
      <c r="E502" s="34"/>
    </row>
    <row r="503" spans="1:5" x14ac:dyDescent="0.3">
      <c r="A503" s="32">
        <v>502</v>
      </c>
      <c r="B503" s="32"/>
      <c r="C503" s="32" t="b">
        <f>_xlfn.XLOOKUP(Table6101112[[#This Row],[Category No]],Table8[Category No],Table8[Chapter List],FALSE)</f>
        <v>0</v>
      </c>
      <c r="D503" s="32"/>
      <c r="E503" s="34"/>
    </row>
    <row r="504" spans="1:5" x14ac:dyDescent="0.3">
      <c r="A504" s="32">
        <v>503</v>
      </c>
      <c r="B504" s="32"/>
      <c r="C504" s="32" t="b">
        <f>_xlfn.XLOOKUP(Table6101112[[#This Row],[Category No]],Table8[Category No],Table8[Chapter List],FALSE)</f>
        <v>0</v>
      </c>
      <c r="D504" s="32"/>
      <c r="E504" s="34"/>
    </row>
    <row r="505" spans="1:5" x14ac:dyDescent="0.3">
      <c r="A505" s="32">
        <v>504</v>
      </c>
      <c r="B505" s="32"/>
      <c r="C505" s="32" t="b">
        <f>_xlfn.XLOOKUP(Table6101112[[#This Row],[Category No]],Table8[Category No],Table8[Chapter List],FALSE)</f>
        <v>0</v>
      </c>
      <c r="D505" s="32"/>
      <c r="E505" s="34"/>
    </row>
    <row r="506" spans="1:5" x14ac:dyDescent="0.3">
      <c r="A506" s="32">
        <v>505</v>
      </c>
      <c r="B506" s="32"/>
      <c r="C506" s="32" t="b">
        <f>_xlfn.XLOOKUP(Table6101112[[#This Row],[Category No]],Table8[Category No],Table8[Chapter List],FALSE)</f>
        <v>0</v>
      </c>
      <c r="D506" s="32"/>
      <c r="E506" s="34"/>
    </row>
    <row r="507" spans="1:5" x14ac:dyDescent="0.3">
      <c r="A507" s="32">
        <v>506</v>
      </c>
      <c r="B507" s="32"/>
      <c r="C507" s="32" t="b">
        <f>_xlfn.XLOOKUP(Table6101112[[#This Row],[Category No]],Table8[Category No],Table8[Chapter List],FALSE)</f>
        <v>0</v>
      </c>
      <c r="D507" s="32"/>
      <c r="E507" s="34"/>
    </row>
    <row r="508" spans="1:5" x14ac:dyDescent="0.3">
      <c r="A508" s="32">
        <v>507</v>
      </c>
      <c r="B508" s="32"/>
      <c r="C508" s="32" t="b">
        <f>_xlfn.XLOOKUP(Table6101112[[#This Row],[Category No]],Table8[Category No],Table8[Chapter List],FALSE)</f>
        <v>0</v>
      </c>
      <c r="D508" s="32"/>
      <c r="E508" s="34"/>
    </row>
    <row r="509" spans="1:5" x14ac:dyDescent="0.3">
      <c r="A509" s="32">
        <v>508</v>
      </c>
      <c r="B509" s="32"/>
      <c r="C509" s="32" t="b">
        <f>_xlfn.XLOOKUP(Table6101112[[#This Row],[Category No]],Table8[Category No],Table8[Chapter List],FALSE)</f>
        <v>0</v>
      </c>
      <c r="D509" s="32"/>
      <c r="E509" s="34"/>
    </row>
    <row r="510" spans="1:5" x14ac:dyDescent="0.3">
      <c r="A510" s="32">
        <v>509</v>
      </c>
      <c r="B510" s="32"/>
      <c r="C510" s="32" t="b">
        <f>_xlfn.XLOOKUP(Table6101112[[#This Row],[Category No]],Table8[Category No],Table8[Chapter List],FALSE)</f>
        <v>0</v>
      </c>
      <c r="D510" s="32"/>
      <c r="E510" s="34"/>
    </row>
    <row r="511" spans="1:5" x14ac:dyDescent="0.3">
      <c r="A511" s="32">
        <v>510</v>
      </c>
      <c r="B511" s="32"/>
      <c r="C511" s="32" t="b">
        <f>_xlfn.XLOOKUP(Table6101112[[#This Row],[Category No]],Table8[Category No],Table8[Chapter List],FALSE)</f>
        <v>0</v>
      </c>
      <c r="D511" s="32"/>
      <c r="E511" s="34"/>
    </row>
    <row r="512" spans="1:5" x14ac:dyDescent="0.3">
      <c r="A512" s="32">
        <v>511</v>
      </c>
      <c r="B512" s="32"/>
      <c r="C512" s="32" t="b">
        <f>_xlfn.XLOOKUP(Table6101112[[#This Row],[Category No]],Table8[Category No],Table8[Chapter List],FALSE)</f>
        <v>0</v>
      </c>
      <c r="D512" s="32"/>
      <c r="E512" s="34"/>
    </row>
    <row r="513" spans="1:5" x14ac:dyDescent="0.3">
      <c r="A513" s="32">
        <v>512</v>
      </c>
      <c r="B513" s="32"/>
      <c r="C513" s="32" t="b">
        <f>_xlfn.XLOOKUP(Table6101112[[#This Row],[Category No]],Table8[Category No],Table8[Chapter List],FALSE)</f>
        <v>0</v>
      </c>
      <c r="D513" s="32"/>
      <c r="E513" s="34"/>
    </row>
    <row r="514" spans="1:5" x14ac:dyDescent="0.3">
      <c r="A514" s="32">
        <v>513</v>
      </c>
      <c r="B514" s="32"/>
      <c r="C514" s="32" t="b">
        <f>_xlfn.XLOOKUP(Table6101112[[#This Row],[Category No]],Table8[Category No],Table8[Chapter List],FALSE)</f>
        <v>0</v>
      </c>
      <c r="D514" s="32"/>
      <c r="E514" s="34"/>
    </row>
    <row r="515" spans="1:5" x14ac:dyDescent="0.3">
      <c r="A515" s="32">
        <v>514</v>
      </c>
      <c r="B515" s="32"/>
      <c r="C515" s="32" t="b">
        <f>_xlfn.XLOOKUP(Table6101112[[#This Row],[Category No]],Table8[Category No],Table8[Chapter List],FALSE)</f>
        <v>0</v>
      </c>
      <c r="D515" s="32"/>
      <c r="E515" s="34"/>
    </row>
    <row r="516" spans="1:5" x14ac:dyDescent="0.3">
      <c r="A516" s="32">
        <v>515</v>
      </c>
      <c r="B516" s="32"/>
      <c r="C516" s="32" t="b">
        <f>_xlfn.XLOOKUP(Table6101112[[#This Row],[Category No]],Table8[Category No],Table8[Chapter List],FALSE)</f>
        <v>0</v>
      </c>
      <c r="D516" s="32"/>
      <c r="E516" s="34"/>
    </row>
    <row r="517" spans="1:5" x14ac:dyDescent="0.3">
      <c r="A517" s="32">
        <v>516</v>
      </c>
      <c r="B517" s="32"/>
      <c r="C517" s="32" t="b">
        <f>_xlfn.XLOOKUP(Table6101112[[#This Row],[Category No]],Table8[Category No],Table8[Chapter List],FALSE)</f>
        <v>0</v>
      </c>
      <c r="D517" s="32"/>
      <c r="E517" s="34"/>
    </row>
    <row r="518" spans="1:5" x14ac:dyDescent="0.3">
      <c r="A518" s="32">
        <v>517</v>
      </c>
      <c r="B518" s="32"/>
      <c r="C518" s="32" t="b">
        <f>_xlfn.XLOOKUP(Table6101112[[#This Row],[Category No]],Table8[Category No],Table8[Chapter List],FALSE)</f>
        <v>0</v>
      </c>
      <c r="D518" s="32"/>
      <c r="E518" s="34"/>
    </row>
    <row r="519" spans="1:5" x14ac:dyDescent="0.3">
      <c r="A519" s="32">
        <v>518</v>
      </c>
      <c r="B519" s="32"/>
      <c r="C519" s="32" t="b">
        <f>_xlfn.XLOOKUP(Table6101112[[#This Row],[Category No]],Table8[Category No],Table8[Chapter List],FALSE)</f>
        <v>0</v>
      </c>
      <c r="D519" s="32"/>
      <c r="E519" s="34"/>
    </row>
    <row r="520" spans="1:5" x14ac:dyDescent="0.3">
      <c r="A520" s="32">
        <v>519</v>
      </c>
      <c r="B520" s="32"/>
      <c r="C520" s="32" t="b">
        <f>_xlfn.XLOOKUP(Table6101112[[#This Row],[Category No]],Table8[Category No],Table8[Chapter List],FALSE)</f>
        <v>0</v>
      </c>
      <c r="D520" s="32"/>
      <c r="E520" s="34"/>
    </row>
    <row r="521" spans="1:5" x14ac:dyDescent="0.3">
      <c r="A521" s="32">
        <v>520</v>
      </c>
      <c r="B521" s="32"/>
      <c r="C521" s="32" t="b">
        <f>_xlfn.XLOOKUP(Table6101112[[#This Row],[Category No]],Table8[Category No],Table8[Chapter List],FALSE)</f>
        <v>0</v>
      </c>
      <c r="D521" s="32"/>
      <c r="E521" s="34"/>
    </row>
    <row r="522" spans="1:5" x14ac:dyDescent="0.3">
      <c r="A522" s="32">
        <v>521</v>
      </c>
      <c r="B522" s="32"/>
      <c r="C522" s="32" t="b">
        <f>_xlfn.XLOOKUP(Table6101112[[#This Row],[Category No]],Table8[Category No],Table8[Chapter List],FALSE)</f>
        <v>0</v>
      </c>
      <c r="D522" s="32"/>
      <c r="E522" s="34"/>
    </row>
    <row r="523" spans="1:5" x14ac:dyDescent="0.3">
      <c r="A523" s="32">
        <v>522</v>
      </c>
      <c r="B523" s="32"/>
      <c r="C523" s="32" t="b">
        <f>_xlfn.XLOOKUP(Table6101112[[#This Row],[Category No]],Table8[Category No],Table8[Chapter List],FALSE)</f>
        <v>0</v>
      </c>
      <c r="D523" s="32"/>
      <c r="E523" s="34"/>
    </row>
    <row r="524" spans="1:5" x14ac:dyDescent="0.3">
      <c r="A524" s="32">
        <v>523</v>
      </c>
      <c r="B524" s="32"/>
      <c r="C524" s="32" t="b">
        <f>_xlfn.XLOOKUP(Table6101112[[#This Row],[Category No]],Table8[Category No],Table8[Chapter List],FALSE)</f>
        <v>0</v>
      </c>
      <c r="D524" s="32"/>
      <c r="E524" s="34"/>
    </row>
    <row r="525" spans="1:5" x14ac:dyDescent="0.3">
      <c r="A525" s="32">
        <v>524</v>
      </c>
      <c r="B525" s="32"/>
      <c r="C525" s="32" t="b">
        <f>_xlfn.XLOOKUP(Table6101112[[#This Row],[Category No]],Table8[Category No],Table8[Chapter List],FALSE)</f>
        <v>0</v>
      </c>
      <c r="D525" s="32"/>
      <c r="E525" s="34"/>
    </row>
    <row r="526" spans="1:5" x14ac:dyDescent="0.3">
      <c r="A526" s="32">
        <v>525</v>
      </c>
      <c r="B526" s="32"/>
      <c r="C526" s="32" t="b">
        <f>_xlfn.XLOOKUP(Table6101112[[#This Row],[Category No]],Table8[Category No],Table8[Chapter List],FALSE)</f>
        <v>0</v>
      </c>
      <c r="D526" s="32"/>
      <c r="E526" s="34"/>
    </row>
    <row r="527" spans="1:5" x14ac:dyDescent="0.3">
      <c r="A527" s="32">
        <v>526</v>
      </c>
      <c r="B527" s="32"/>
      <c r="C527" s="32" t="b">
        <f>_xlfn.XLOOKUP(Table6101112[[#This Row],[Category No]],Table8[Category No],Table8[Chapter List],FALSE)</f>
        <v>0</v>
      </c>
      <c r="D527" s="32"/>
      <c r="E527" s="34"/>
    </row>
    <row r="528" spans="1:5" x14ac:dyDescent="0.3">
      <c r="A528" s="32">
        <v>527</v>
      </c>
      <c r="B528" s="32"/>
      <c r="C528" s="32" t="b">
        <f>_xlfn.XLOOKUP(Table6101112[[#This Row],[Category No]],Table8[Category No],Table8[Chapter List],FALSE)</f>
        <v>0</v>
      </c>
      <c r="D528" s="32"/>
      <c r="E528" s="34"/>
    </row>
    <row r="529" spans="1:5" x14ac:dyDescent="0.3">
      <c r="A529" s="32">
        <v>528</v>
      </c>
      <c r="B529" s="32"/>
      <c r="C529" s="32" t="b">
        <f>_xlfn.XLOOKUP(Table6101112[[#This Row],[Category No]],Table8[Category No],Table8[Chapter List],FALSE)</f>
        <v>0</v>
      </c>
      <c r="D529" s="32"/>
      <c r="E529" s="34"/>
    </row>
    <row r="530" spans="1:5" x14ac:dyDescent="0.3">
      <c r="A530" s="32">
        <v>529</v>
      </c>
      <c r="B530" s="32"/>
      <c r="C530" s="32" t="b">
        <f>_xlfn.XLOOKUP(Table6101112[[#This Row],[Category No]],Table8[Category No],Table8[Chapter List],FALSE)</f>
        <v>0</v>
      </c>
      <c r="D530" s="32"/>
      <c r="E530" s="34"/>
    </row>
    <row r="531" spans="1:5" x14ac:dyDescent="0.3">
      <c r="A531" s="32">
        <v>530</v>
      </c>
      <c r="B531" s="32"/>
      <c r="C531" s="32" t="b">
        <f>_xlfn.XLOOKUP(Table6101112[[#This Row],[Category No]],Table8[Category No],Table8[Chapter List],FALSE)</f>
        <v>0</v>
      </c>
      <c r="D531" s="32"/>
      <c r="E531" s="34"/>
    </row>
    <row r="532" spans="1:5" x14ac:dyDescent="0.3">
      <c r="A532" s="32">
        <v>531</v>
      </c>
      <c r="B532" s="32"/>
      <c r="C532" s="32" t="b">
        <f>_xlfn.XLOOKUP(Table6101112[[#This Row],[Category No]],Table8[Category No],Table8[Chapter List],FALSE)</f>
        <v>0</v>
      </c>
      <c r="D532" s="32"/>
      <c r="E532" s="34"/>
    </row>
    <row r="533" spans="1:5" x14ac:dyDescent="0.3">
      <c r="A533" s="32">
        <v>532</v>
      </c>
      <c r="B533" s="32"/>
      <c r="C533" s="32" t="b">
        <f>_xlfn.XLOOKUP(Table6101112[[#This Row],[Category No]],Table8[Category No],Table8[Chapter List],FALSE)</f>
        <v>0</v>
      </c>
      <c r="D533" s="32"/>
      <c r="E533" s="34"/>
    </row>
    <row r="534" spans="1:5" x14ac:dyDescent="0.3">
      <c r="A534" s="32">
        <v>533</v>
      </c>
      <c r="B534" s="32"/>
      <c r="C534" s="32" t="b">
        <f>_xlfn.XLOOKUP(Table6101112[[#This Row],[Category No]],Table8[Category No],Table8[Chapter List],FALSE)</f>
        <v>0</v>
      </c>
      <c r="D534" s="32"/>
      <c r="E534" s="34"/>
    </row>
    <row r="535" spans="1:5" x14ac:dyDescent="0.3">
      <c r="A535" s="32">
        <v>534</v>
      </c>
      <c r="B535" s="32"/>
      <c r="C535" s="32" t="b">
        <f>_xlfn.XLOOKUP(Table6101112[[#This Row],[Category No]],Table8[Category No],Table8[Chapter List],FALSE)</f>
        <v>0</v>
      </c>
      <c r="D535" s="32"/>
      <c r="E535" s="34"/>
    </row>
    <row r="536" spans="1:5" x14ac:dyDescent="0.3">
      <c r="A536" s="32">
        <v>535</v>
      </c>
      <c r="B536" s="32"/>
      <c r="C536" s="32" t="b">
        <f>_xlfn.XLOOKUP(Table6101112[[#This Row],[Category No]],Table8[Category No],Table8[Chapter List],FALSE)</f>
        <v>0</v>
      </c>
      <c r="D536" s="32"/>
      <c r="E536" s="34"/>
    </row>
    <row r="537" spans="1:5" x14ac:dyDescent="0.3">
      <c r="A537" s="32">
        <v>536</v>
      </c>
      <c r="B537" s="32"/>
      <c r="C537" s="32" t="b">
        <f>_xlfn.XLOOKUP(Table6101112[[#This Row],[Category No]],Table8[Category No],Table8[Chapter List],FALSE)</f>
        <v>0</v>
      </c>
      <c r="D537" s="32"/>
      <c r="E537" s="34"/>
    </row>
    <row r="538" spans="1:5" x14ac:dyDescent="0.3">
      <c r="A538" s="32">
        <v>537</v>
      </c>
      <c r="B538" s="32"/>
      <c r="C538" s="32" t="b">
        <f>_xlfn.XLOOKUP(Table6101112[[#This Row],[Category No]],Table8[Category No],Table8[Chapter List],FALSE)</f>
        <v>0</v>
      </c>
      <c r="D538" s="32"/>
      <c r="E538" s="34"/>
    </row>
    <row r="539" spans="1:5" x14ac:dyDescent="0.3">
      <c r="A539" s="32">
        <v>538</v>
      </c>
      <c r="B539" s="32"/>
      <c r="C539" s="32" t="b">
        <f>_xlfn.XLOOKUP(Table6101112[[#This Row],[Category No]],Table8[Category No],Table8[Chapter List],FALSE)</f>
        <v>0</v>
      </c>
      <c r="D539" s="32"/>
      <c r="E539" s="34"/>
    </row>
    <row r="540" spans="1:5" x14ac:dyDescent="0.3">
      <c r="A540" s="32">
        <v>539</v>
      </c>
      <c r="B540" s="32"/>
      <c r="C540" s="32" t="b">
        <f>_xlfn.XLOOKUP(Table6101112[[#This Row],[Category No]],Table8[Category No],Table8[Chapter List],FALSE)</f>
        <v>0</v>
      </c>
      <c r="D540" s="32"/>
      <c r="E540" s="34"/>
    </row>
    <row r="541" spans="1:5" x14ac:dyDescent="0.3">
      <c r="A541" s="32">
        <v>540</v>
      </c>
      <c r="B541" s="32"/>
      <c r="C541" s="32" t="b">
        <f>_xlfn.XLOOKUP(Table6101112[[#This Row],[Category No]],Table8[Category No],Table8[Chapter List],FALSE)</f>
        <v>0</v>
      </c>
      <c r="D541" s="32"/>
      <c r="E541" s="34"/>
    </row>
    <row r="542" spans="1:5" x14ac:dyDescent="0.3">
      <c r="A542" s="32">
        <v>541</v>
      </c>
      <c r="B542" s="32"/>
      <c r="C542" s="32" t="b">
        <f>_xlfn.XLOOKUP(Table6101112[[#This Row],[Category No]],Table8[Category No],Table8[Chapter List],FALSE)</f>
        <v>0</v>
      </c>
      <c r="D542" s="32"/>
      <c r="E542" s="34"/>
    </row>
    <row r="543" spans="1:5" x14ac:dyDescent="0.3">
      <c r="A543" s="32">
        <v>542</v>
      </c>
      <c r="B543" s="32"/>
      <c r="C543" s="32" t="b">
        <f>_xlfn.XLOOKUP(Table6101112[[#This Row],[Category No]],Table8[Category No],Table8[Chapter List],FALSE)</f>
        <v>0</v>
      </c>
      <c r="D543" s="32"/>
      <c r="E543" s="34"/>
    </row>
    <row r="544" spans="1:5" x14ac:dyDescent="0.3">
      <c r="A544" s="32">
        <v>543</v>
      </c>
      <c r="B544" s="32"/>
      <c r="C544" s="32" t="b">
        <f>_xlfn.XLOOKUP(Table6101112[[#This Row],[Category No]],Table8[Category No],Table8[Chapter List],FALSE)</f>
        <v>0</v>
      </c>
      <c r="D544" s="32"/>
      <c r="E544" s="34"/>
    </row>
    <row r="545" spans="1:5" x14ac:dyDescent="0.3">
      <c r="A545" s="32">
        <v>544</v>
      </c>
      <c r="B545" s="32"/>
      <c r="C545" s="32" t="b">
        <f>_xlfn.XLOOKUP(Table6101112[[#This Row],[Category No]],Table8[Category No],Table8[Chapter List],FALSE)</f>
        <v>0</v>
      </c>
      <c r="D545" s="32"/>
      <c r="E545" s="34"/>
    </row>
    <row r="546" spans="1:5" x14ac:dyDescent="0.3">
      <c r="A546" s="32">
        <v>545</v>
      </c>
      <c r="B546" s="32"/>
      <c r="C546" s="32" t="b">
        <f>_xlfn.XLOOKUP(Table6101112[[#This Row],[Category No]],Table8[Category No],Table8[Chapter List],FALSE)</f>
        <v>0</v>
      </c>
      <c r="D546" s="32"/>
      <c r="E546" s="34"/>
    </row>
    <row r="547" spans="1:5" x14ac:dyDescent="0.3">
      <c r="A547" s="32">
        <v>546</v>
      </c>
      <c r="B547" s="32"/>
      <c r="C547" s="32" t="b">
        <f>_xlfn.XLOOKUP(Table6101112[[#This Row],[Category No]],Table8[Category No],Table8[Chapter List],FALSE)</f>
        <v>0</v>
      </c>
      <c r="D547" s="32"/>
      <c r="E547" s="34"/>
    </row>
    <row r="548" spans="1:5" x14ac:dyDescent="0.3">
      <c r="A548" s="32">
        <v>547</v>
      </c>
      <c r="B548" s="32"/>
      <c r="C548" s="32" t="b">
        <f>_xlfn.XLOOKUP(Table6101112[[#This Row],[Category No]],Table8[Category No],Table8[Chapter List],FALSE)</f>
        <v>0</v>
      </c>
      <c r="D548" s="32"/>
      <c r="E548" s="34"/>
    </row>
    <row r="549" spans="1:5" x14ac:dyDescent="0.3">
      <c r="A549" s="32">
        <v>548</v>
      </c>
      <c r="B549" s="32"/>
      <c r="C549" s="32" t="b">
        <f>_xlfn.XLOOKUP(Table6101112[[#This Row],[Category No]],Table8[Category No],Table8[Chapter List],FALSE)</f>
        <v>0</v>
      </c>
      <c r="D549" s="32"/>
      <c r="E549" s="34"/>
    </row>
    <row r="550" spans="1:5" x14ac:dyDescent="0.3">
      <c r="A550" s="32">
        <v>549</v>
      </c>
      <c r="B550" s="32"/>
      <c r="C550" s="32" t="b">
        <f>_xlfn.XLOOKUP(Table6101112[[#This Row],[Category No]],Table8[Category No],Table8[Chapter List],FALSE)</f>
        <v>0</v>
      </c>
      <c r="D550" s="32"/>
      <c r="E550" s="34"/>
    </row>
    <row r="551" spans="1:5" x14ac:dyDescent="0.3">
      <c r="A551" s="32">
        <v>550</v>
      </c>
      <c r="B551" s="32"/>
      <c r="C551" s="32" t="b">
        <f>_xlfn.XLOOKUP(Table6101112[[#This Row],[Category No]],Table8[Category No],Table8[Chapter List],FALSE)</f>
        <v>0</v>
      </c>
      <c r="D551" s="32"/>
      <c r="E551" s="34"/>
    </row>
    <row r="552" spans="1:5" x14ac:dyDescent="0.3">
      <c r="A552" s="32">
        <v>551</v>
      </c>
      <c r="B552" s="32"/>
      <c r="C552" s="32" t="b">
        <f>_xlfn.XLOOKUP(Table6101112[[#This Row],[Category No]],Table8[Category No],Table8[Chapter List],FALSE)</f>
        <v>0</v>
      </c>
      <c r="D552" s="32"/>
      <c r="E552" s="34"/>
    </row>
    <row r="553" spans="1:5" x14ac:dyDescent="0.3">
      <c r="A553" s="32">
        <v>552</v>
      </c>
      <c r="B553" s="32"/>
      <c r="C553" s="32" t="b">
        <f>_xlfn.XLOOKUP(Table6101112[[#This Row],[Category No]],Table8[Category No],Table8[Chapter List],FALSE)</f>
        <v>0</v>
      </c>
      <c r="D553" s="32"/>
      <c r="E553" s="34"/>
    </row>
    <row r="554" spans="1:5" x14ac:dyDescent="0.3">
      <c r="A554" s="32">
        <v>553</v>
      </c>
      <c r="B554" s="32"/>
      <c r="C554" s="32" t="b">
        <f>_xlfn.XLOOKUP(Table6101112[[#This Row],[Category No]],Table8[Category No],Table8[Chapter List],FALSE)</f>
        <v>0</v>
      </c>
      <c r="D554" s="32"/>
      <c r="E554" s="34"/>
    </row>
    <row r="555" spans="1:5" x14ac:dyDescent="0.3">
      <c r="A555" s="32">
        <v>554</v>
      </c>
      <c r="B555" s="32"/>
      <c r="C555" s="32" t="b">
        <f>_xlfn.XLOOKUP(Table6101112[[#This Row],[Category No]],Table8[Category No],Table8[Chapter List],FALSE)</f>
        <v>0</v>
      </c>
      <c r="D555" s="32"/>
      <c r="E555" s="34"/>
    </row>
    <row r="556" spans="1:5" x14ac:dyDescent="0.3">
      <c r="A556" s="32">
        <v>555</v>
      </c>
      <c r="B556" s="32"/>
      <c r="C556" s="32" t="b">
        <f>_xlfn.XLOOKUP(Table6101112[[#This Row],[Category No]],Table8[Category No],Table8[Chapter List],FALSE)</f>
        <v>0</v>
      </c>
      <c r="D556" s="32"/>
      <c r="E556" s="34"/>
    </row>
    <row r="557" spans="1:5" x14ac:dyDescent="0.3">
      <c r="A557" s="32">
        <v>556</v>
      </c>
      <c r="B557" s="32"/>
      <c r="C557" s="32" t="b">
        <f>_xlfn.XLOOKUP(Table6101112[[#This Row],[Category No]],Table8[Category No],Table8[Chapter List],FALSE)</f>
        <v>0</v>
      </c>
      <c r="D557" s="32"/>
      <c r="E557" s="34"/>
    </row>
    <row r="558" spans="1:5" x14ac:dyDescent="0.3">
      <c r="A558" s="32">
        <v>557</v>
      </c>
      <c r="B558" s="32"/>
      <c r="C558" s="32" t="b">
        <f>_xlfn.XLOOKUP(Table6101112[[#This Row],[Category No]],Table8[Category No],Table8[Chapter List],FALSE)</f>
        <v>0</v>
      </c>
      <c r="D558" s="32"/>
      <c r="E558" s="34"/>
    </row>
    <row r="559" spans="1:5" x14ac:dyDescent="0.3">
      <c r="A559" s="32">
        <v>558</v>
      </c>
      <c r="B559" s="32"/>
      <c r="C559" s="32" t="b">
        <f>_xlfn.XLOOKUP(Table6101112[[#This Row],[Category No]],Table8[Category No],Table8[Chapter List],FALSE)</f>
        <v>0</v>
      </c>
      <c r="D559" s="32"/>
      <c r="E559" s="34"/>
    </row>
    <row r="560" spans="1:5" x14ac:dyDescent="0.3">
      <c r="A560" s="32">
        <v>559</v>
      </c>
      <c r="B560" s="32"/>
      <c r="C560" s="32" t="b">
        <f>_xlfn.XLOOKUP(Table6101112[[#This Row],[Category No]],Table8[Category No],Table8[Chapter List],FALSE)</f>
        <v>0</v>
      </c>
      <c r="D560" s="32"/>
      <c r="E560" s="34"/>
    </row>
    <row r="561" spans="1:5" x14ac:dyDescent="0.3">
      <c r="A561" s="32">
        <v>560</v>
      </c>
      <c r="B561" s="32"/>
      <c r="C561" s="32" t="b">
        <f>_xlfn.XLOOKUP(Table6101112[[#This Row],[Category No]],Table8[Category No],Table8[Chapter List],FALSE)</f>
        <v>0</v>
      </c>
      <c r="D561" s="32"/>
      <c r="E561" s="34"/>
    </row>
    <row r="562" spans="1:5" x14ac:dyDescent="0.3">
      <c r="A562" s="32">
        <v>561</v>
      </c>
      <c r="B562" s="32"/>
      <c r="C562" s="32" t="b">
        <f>_xlfn.XLOOKUP(Table6101112[[#This Row],[Category No]],Table8[Category No],Table8[Chapter List],FALSE)</f>
        <v>0</v>
      </c>
      <c r="D562" s="32"/>
      <c r="E562" s="34"/>
    </row>
    <row r="563" spans="1:5" x14ac:dyDescent="0.3">
      <c r="A563" s="32">
        <v>562</v>
      </c>
      <c r="B563" s="32"/>
      <c r="C563" s="32" t="b">
        <f>_xlfn.XLOOKUP(Table6101112[[#This Row],[Category No]],Table8[Category No],Table8[Chapter List],FALSE)</f>
        <v>0</v>
      </c>
      <c r="D563" s="32"/>
      <c r="E563" s="34"/>
    </row>
    <row r="564" spans="1:5" x14ac:dyDescent="0.3">
      <c r="A564" s="32">
        <v>563</v>
      </c>
      <c r="B564" s="32"/>
      <c r="C564" s="32" t="b">
        <f>_xlfn.XLOOKUP(Table6101112[[#This Row],[Category No]],Table8[Category No],Table8[Chapter List],FALSE)</f>
        <v>0</v>
      </c>
      <c r="D564" s="32"/>
      <c r="E564" s="34"/>
    </row>
    <row r="565" spans="1:5" x14ac:dyDescent="0.3">
      <c r="A565" s="32">
        <v>564</v>
      </c>
      <c r="B565" s="32"/>
      <c r="C565" s="32" t="b">
        <f>_xlfn.XLOOKUP(Table6101112[[#This Row],[Category No]],Table8[Category No],Table8[Chapter List],FALSE)</f>
        <v>0</v>
      </c>
      <c r="D565" s="32"/>
      <c r="E565" s="34"/>
    </row>
    <row r="566" spans="1:5" x14ac:dyDescent="0.3">
      <c r="A566" s="32">
        <v>565</v>
      </c>
      <c r="B566" s="32"/>
      <c r="C566" s="32" t="b">
        <f>_xlfn.XLOOKUP(Table6101112[[#This Row],[Category No]],Table8[Category No],Table8[Chapter List],FALSE)</f>
        <v>0</v>
      </c>
      <c r="D566" s="32"/>
      <c r="E566" s="34"/>
    </row>
    <row r="567" spans="1:5" x14ac:dyDescent="0.3">
      <c r="A567" s="32">
        <v>566</v>
      </c>
      <c r="B567" s="32"/>
      <c r="C567" s="32" t="b">
        <f>_xlfn.XLOOKUP(Table6101112[[#This Row],[Category No]],Table8[Category No],Table8[Chapter List],FALSE)</f>
        <v>0</v>
      </c>
      <c r="D567" s="32"/>
      <c r="E567" s="34"/>
    </row>
    <row r="568" spans="1:5" x14ac:dyDescent="0.3">
      <c r="A568" s="32">
        <v>567</v>
      </c>
      <c r="B568" s="32"/>
      <c r="C568" s="32" t="b">
        <f>_xlfn.XLOOKUP(Table6101112[[#This Row],[Category No]],Table8[Category No],Table8[Chapter List],FALSE)</f>
        <v>0</v>
      </c>
      <c r="D568" s="32"/>
      <c r="E568" s="34"/>
    </row>
    <row r="569" spans="1:5" x14ac:dyDescent="0.3">
      <c r="A569" s="32">
        <v>568</v>
      </c>
      <c r="B569" s="32"/>
      <c r="C569" s="32" t="b">
        <f>_xlfn.XLOOKUP(Table6101112[[#This Row],[Category No]],Table8[Category No],Table8[Chapter List],FALSE)</f>
        <v>0</v>
      </c>
      <c r="D569" s="32"/>
      <c r="E569" s="34"/>
    </row>
    <row r="570" spans="1:5" x14ac:dyDescent="0.3">
      <c r="A570" s="32">
        <v>569</v>
      </c>
      <c r="B570" s="32"/>
      <c r="C570" s="32" t="b">
        <f>_xlfn.XLOOKUP(Table6101112[[#This Row],[Category No]],Table8[Category No],Table8[Chapter List],FALSE)</f>
        <v>0</v>
      </c>
      <c r="D570" s="32"/>
      <c r="E570" s="34"/>
    </row>
    <row r="571" spans="1:5" x14ac:dyDescent="0.3">
      <c r="A571" s="32">
        <v>570</v>
      </c>
      <c r="B571" s="32"/>
      <c r="C571" s="32" t="b">
        <f>_xlfn.XLOOKUP(Table6101112[[#This Row],[Category No]],Table8[Category No],Table8[Chapter List],FALSE)</f>
        <v>0</v>
      </c>
      <c r="D571" s="32"/>
      <c r="E571" s="34"/>
    </row>
    <row r="572" spans="1:5" x14ac:dyDescent="0.3">
      <c r="A572" s="32">
        <v>571</v>
      </c>
      <c r="B572" s="32"/>
      <c r="C572" s="32" t="b">
        <f>_xlfn.XLOOKUP(Table6101112[[#This Row],[Category No]],Table8[Category No],Table8[Chapter List],FALSE)</f>
        <v>0</v>
      </c>
      <c r="D572" s="32"/>
      <c r="E572" s="34"/>
    </row>
    <row r="573" spans="1:5" x14ac:dyDescent="0.3">
      <c r="A573" s="32">
        <v>572</v>
      </c>
      <c r="B573" s="32"/>
      <c r="C573" s="32" t="b">
        <f>_xlfn.XLOOKUP(Table6101112[[#This Row],[Category No]],Table8[Category No],Table8[Chapter List],FALSE)</f>
        <v>0</v>
      </c>
      <c r="D573" s="32"/>
      <c r="E573" s="34"/>
    </row>
    <row r="574" spans="1:5" x14ac:dyDescent="0.3">
      <c r="A574" s="32">
        <v>573</v>
      </c>
      <c r="B574" s="32"/>
      <c r="C574" s="32" t="b">
        <f>_xlfn.XLOOKUP(Table6101112[[#This Row],[Category No]],Table8[Category No],Table8[Chapter List],FALSE)</f>
        <v>0</v>
      </c>
      <c r="D574" s="32"/>
      <c r="E574" s="34"/>
    </row>
    <row r="575" spans="1:5" x14ac:dyDescent="0.3">
      <c r="A575" s="32">
        <v>574</v>
      </c>
      <c r="B575" s="32"/>
      <c r="C575" s="32" t="b">
        <f>_xlfn.XLOOKUP(Table6101112[[#This Row],[Category No]],Table8[Category No],Table8[Chapter List],FALSE)</f>
        <v>0</v>
      </c>
      <c r="D575" s="32"/>
      <c r="E575" s="34"/>
    </row>
    <row r="576" spans="1:5" x14ac:dyDescent="0.3">
      <c r="A576" s="32">
        <v>575</v>
      </c>
      <c r="B576" s="32"/>
      <c r="C576" s="32" t="b">
        <f>_xlfn.XLOOKUP(Table6101112[[#This Row],[Category No]],Table8[Category No],Table8[Chapter List],FALSE)</f>
        <v>0</v>
      </c>
      <c r="D576" s="32"/>
      <c r="E576" s="34"/>
    </row>
    <row r="577" spans="1:5" x14ac:dyDescent="0.3">
      <c r="A577" s="32">
        <v>576</v>
      </c>
      <c r="B577" s="32"/>
      <c r="C577" s="32" t="b">
        <f>_xlfn.XLOOKUP(Table6101112[[#This Row],[Category No]],Table8[Category No],Table8[Chapter List],FALSE)</f>
        <v>0</v>
      </c>
      <c r="D577" s="32"/>
      <c r="E577" s="34"/>
    </row>
    <row r="578" spans="1:5" x14ac:dyDescent="0.3">
      <c r="A578" s="32">
        <v>577</v>
      </c>
      <c r="B578" s="32"/>
      <c r="C578" s="32" t="b">
        <f>_xlfn.XLOOKUP(Table6101112[[#This Row],[Category No]],Table8[Category No],Table8[Chapter List],FALSE)</f>
        <v>0</v>
      </c>
      <c r="D578" s="32"/>
      <c r="E578" s="34"/>
    </row>
    <row r="579" spans="1:5" x14ac:dyDescent="0.3">
      <c r="A579" s="32">
        <v>578</v>
      </c>
      <c r="B579" s="32"/>
      <c r="C579" s="32" t="b">
        <f>_xlfn.XLOOKUP(Table6101112[[#This Row],[Category No]],Table8[Category No],Table8[Chapter List],FALSE)</f>
        <v>0</v>
      </c>
      <c r="D579" s="32"/>
      <c r="E579" s="34"/>
    </row>
    <row r="580" spans="1:5" x14ac:dyDescent="0.3">
      <c r="A580" s="32">
        <v>579</v>
      </c>
      <c r="B580" s="32"/>
      <c r="C580" s="32" t="b">
        <f>_xlfn.XLOOKUP(Table6101112[[#This Row],[Category No]],Table8[Category No],Table8[Chapter List],FALSE)</f>
        <v>0</v>
      </c>
      <c r="D580" s="32"/>
      <c r="E580" s="34"/>
    </row>
    <row r="581" spans="1:5" x14ac:dyDescent="0.3">
      <c r="A581" s="32">
        <v>580</v>
      </c>
      <c r="B581" s="32"/>
      <c r="C581" s="32" t="b">
        <f>_xlfn.XLOOKUP(Table6101112[[#This Row],[Category No]],Table8[Category No],Table8[Chapter List],FALSE)</f>
        <v>0</v>
      </c>
      <c r="D581" s="32"/>
      <c r="E581" s="34"/>
    </row>
    <row r="582" spans="1:5" x14ac:dyDescent="0.3">
      <c r="A582" s="32">
        <v>581</v>
      </c>
      <c r="B582" s="32"/>
      <c r="C582" s="32" t="b">
        <f>_xlfn.XLOOKUP(Table6101112[[#This Row],[Category No]],Table8[Category No],Table8[Chapter List],FALSE)</f>
        <v>0</v>
      </c>
      <c r="D582" s="32"/>
      <c r="E582" s="34"/>
    </row>
    <row r="583" spans="1:5" x14ac:dyDescent="0.3">
      <c r="A583" s="32">
        <v>582</v>
      </c>
      <c r="B583" s="32"/>
      <c r="C583" s="32" t="b">
        <f>_xlfn.XLOOKUP(Table6101112[[#This Row],[Category No]],Table8[Category No],Table8[Chapter List],FALSE)</f>
        <v>0</v>
      </c>
      <c r="D583" s="32"/>
      <c r="E583" s="34"/>
    </row>
    <row r="584" spans="1:5" x14ac:dyDescent="0.3">
      <c r="A584" s="32">
        <v>583</v>
      </c>
      <c r="B584" s="32"/>
      <c r="C584" s="32" t="b">
        <f>_xlfn.XLOOKUP(Table6101112[[#This Row],[Category No]],Table8[Category No],Table8[Chapter List],FALSE)</f>
        <v>0</v>
      </c>
      <c r="D584" s="32"/>
      <c r="E584" s="34"/>
    </row>
    <row r="585" spans="1:5" x14ac:dyDescent="0.3">
      <c r="A585" s="32">
        <v>584</v>
      </c>
      <c r="B585" s="32"/>
      <c r="C585" s="32" t="b">
        <f>_xlfn.XLOOKUP(Table6101112[[#This Row],[Category No]],Table8[Category No],Table8[Chapter List],FALSE)</f>
        <v>0</v>
      </c>
      <c r="D585" s="32"/>
      <c r="E585" s="34"/>
    </row>
    <row r="586" spans="1:5" x14ac:dyDescent="0.3">
      <c r="A586" s="32">
        <v>585</v>
      </c>
      <c r="B586" s="32"/>
      <c r="C586" s="32" t="b">
        <f>_xlfn.XLOOKUP(Table6101112[[#This Row],[Category No]],Table8[Category No],Table8[Chapter List],FALSE)</f>
        <v>0</v>
      </c>
      <c r="D586" s="32"/>
      <c r="E586" s="34"/>
    </row>
    <row r="587" spans="1:5" x14ac:dyDescent="0.3">
      <c r="A587" s="32">
        <v>586</v>
      </c>
      <c r="B587" s="32"/>
      <c r="C587" s="32" t="b">
        <f>_xlfn.XLOOKUP(Table6101112[[#This Row],[Category No]],Table8[Category No],Table8[Chapter List],FALSE)</f>
        <v>0</v>
      </c>
      <c r="D587" s="32"/>
      <c r="E587" s="34"/>
    </row>
    <row r="588" spans="1:5" x14ac:dyDescent="0.3">
      <c r="A588" s="32">
        <v>587</v>
      </c>
      <c r="B588" s="32"/>
      <c r="C588" s="32" t="b">
        <f>_xlfn.XLOOKUP(Table6101112[[#This Row],[Category No]],Table8[Category No],Table8[Chapter List],FALSE)</f>
        <v>0</v>
      </c>
      <c r="D588" s="32"/>
      <c r="E588" s="34"/>
    </row>
    <row r="589" spans="1:5" x14ac:dyDescent="0.3">
      <c r="A589" s="32">
        <v>588</v>
      </c>
      <c r="B589" s="32"/>
      <c r="C589" s="32" t="b">
        <f>_xlfn.XLOOKUP(Table6101112[[#This Row],[Category No]],Table8[Category No],Table8[Chapter List],FALSE)</f>
        <v>0</v>
      </c>
      <c r="D589" s="32"/>
      <c r="E589" s="34"/>
    </row>
    <row r="590" spans="1:5" x14ac:dyDescent="0.3">
      <c r="A590" s="32">
        <v>589</v>
      </c>
      <c r="B590" s="32"/>
      <c r="C590" s="32" t="b">
        <f>_xlfn.XLOOKUP(Table6101112[[#This Row],[Category No]],Table8[Category No],Table8[Chapter List],FALSE)</f>
        <v>0</v>
      </c>
      <c r="D590" s="32"/>
      <c r="E590" s="34"/>
    </row>
    <row r="591" spans="1:5" x14ac:dyDescent="0.3">
      <c r="A591" s="32">
        <v>590</v>
      </c>
      <c r="B591" s="32"/>
      <c r="C591" s="32" t="b">
        <f>_xlfn.XLOOKUP(Table6101112[[#This Row],[Category No]],Table8[Category No],Table8[Chapter List],FALSE)</f>
        <v>0</v>
      </c>
      <c r="D591" s="32"/>
      <c r="E591" s="34"/>
    </row>
    <row r="592" spans="1:5" x14ac:dyDescent="0.3">
      <c r="A592" s="32">
        <v>591</v>
      </c>
      <c r="B592" s="32"/>
      <c r="C592" s="32" t="b">
        <f>_xlfn.XLOOKUP(Table6101112[[#This Row],[Category No]],Table8[Category No],Table8[Chapter List],FALSE)</f>
        <v>0</v>
      </c>
      <c r="D592" s="32"/>
      <c r="E592" s="34"/>
    </row>
    <row r="593" spans="1:5" x14ac:dyDescent="0.3">
      <c r="A593" s="32">
        <v>592</v>
      </c>
      <c r="B593" s="32"/>
      <c r="C593" s="32" t="b">
        <f>_xlfn.XLOOKUP(Table6101112[[#This Row],[Category No]],Table8[Category No],Table8[Chapter List],FALSE)</f>
        <v>0</v>
      </c>
      <c r="D593" s="32"/>
      <c r="E593" s="34"/>
    </row>
    <row r="594" spans="1:5" x14ac:dyDescent="0.3">
      <c r="A594" s="32">
        <v>593</v>
      </c>
      <c r="B594" s="32"/>
      <c r="C594" s="32" t="b">
        <f>_xlfn.XLOOKUP(Table6101112[[#This Row],[Category No]],Table8[Category No],Table8[Chapter List],FALSE)</f>
        <v>0</v>
      </c>
      <c r="D594" s="32"/>
      <c r="E594" s="34"/>
    </row>
    <row r="595" spans="1:5" x14ac:dyDescent="0.3">
      <c r="A595" s="32">
        <v>594</v>
      </c>
      <c r="B595" s="32"/>
      <c r="C595" s="32" t="b">
        <f>_xlfn.XLOOKUP(Table6101112[[#This Row],[Category No]],Table8[Category No],Table8[Chapter List],FALSE)</f>
        <v>0</v>
      </c>
      <c r="D595" s="32"/>
      <c r="E595" s="34"/>
    </row>
    <row r="596" spans="1:5" x14ac:dyDescent="0.3">
      <c r="A596" s="32">
        <v>595</v>
      </c>
      <c r="B596" s="32"/>
      <c r="C596" s="32" t="b">
        <f>_xlfn.XLOOKUP(Table6101112[[#This Row],[Category No]],Table8[Category No],Table8[Chapter List],FALSE)</f>
        <v>0</v>
      </c>
      <c r="D596" s="32"/>
      <c r="E596" s="34"/>
    </row>
    <row r="597" spans="1:5" x14ac:dyDescent="0.3">
      <c r="A597" s="32">
        <v>596</v>
      </c>
      <c r="B597" s="32"/>
      <c r="C597" s="32" t="b">
        <f>_xlfn.XLOOKUP(Table6101112[[#This Row],[Category No]],Table8[Category No],Table8[Chapter List],FALSE)</f>
        <v>0</v>
      </c>
      <c r="D597" s="32"/>
      <c r="E597" s="34"/>
    </row>
    <row r="598" spans="1:5" x14ac:dyDescent="0.3">
      <c r="A598" s="32">
        <v>597</v>
      </c>
      <c r="B598" s="32"/>
      <c r="C598" s="32" t="b">
        <f>_xlfn.XLOOKUP(Table6101112[[#This Row],[Category No]],Table8[Category No],Table8[Chapter List],FALSE)</f>
        <v>0</v>
      </c>
      <c r="D598" s="32"/>
      <c r="E598" s="34"/>
    </row>
    <row r="599" spans="1:5" x14ac:dyDescent="0.3">
      <c r="A599" s="32">
        <v>598</v>
      </c>
      <c r="B599" s="32"/>
      <c r="C599" s="32" t="b">
        <f>_xlfn.XLOOKUP(Table6101112[[#This Row],[Category No]],Table8[Category No],Table8[Chapter List],FALSE)</f>
        <v>0</v>
      </c>
      <c r="D599" s="32"/>
      <c r="E599" s="34"/>
    </row>
    <row r="600" spans="1:5" x14ac:dyDescent="0.3">
      <c r="A600" s="32">
        <v>599</v>
      </c>
      <c r="B600" s="32"/>
      <c r="C600" s="32" t="b">
        <f>_xlfn.XLOOKUP(Table6101112[[#This Row],[Category No]],Table8[Category No],Table8[Chapter List],FALSE)</f>
        <v>0</v>
      </c>
      <c r="D600" s="32"/>
      <c r="E600" s="34"/>
    </row>
    <row r="601" spans="1:5" x14ac:dyDescent="0.3">
      <c r="A601" s="32">
        <v>600</v>
      </c>
      <c r="B601" s="32"/>
      <c r="C601" s="32" t="b">
        <f>_xlfn.XLOOKUP(Table6101112[[#This Row],[Category No]],Table8[Category No],Table8[Chapter List],FALSE)</f>
        <v>0</v>
      </c>
      <c r="D601" s="32"/>
      <c r="E601" s="34"/>
    </row>
    <row r="602" spans="1:5" x14ac:dyDescent="0.3">
      <c r="A602" s="32">
        <v>601</v>
      </c>
      <c r="B602" s="32"/>
      <c r="C602" s="32" t="b">
        <f>_xlfn.XLOOKUP(Table6101112[[#This Row],[Category No]],Table8[Category No],Table8[Chapter List],FALSE)</f>
        <v>0</v>
      </c>
      <c r="D602" s="32"/>
      <c r="E602" s="34"/>
    </row>
    <row r="603" spans="1:5" x14ac:dyDescent="0.3">
      <c r="A603" s="32">
        <v>602</v>
      </c>
      <c r="B603" s="32"/>
      <c r="C603" s="32" t="b">
        <f>_xlfn.XLOOKUP(Table6101112[[#This Row],[Category No]],Table8[Category No],Table8[Chapter List],FALSE)</f>
        <v>0</v>
      </c>
      <c r="D603" s="32"/>
      <c r="E603" s="34"/>
    </row>
    <row r="604" spans="1:5" x14ac:dyDescent="0.3">
      <c r="A604" s="32">
        <v>603</v>
      </c>
      <c r="B604" s="32"/>
      <c r="C604" s="32" t="b">
        <f>_xlfn.XLOOKUP(Table6101112[[#This Row],[Category No]],Table8[Category No],Table8[Chapter List],FALSE)</f>
        <v>0</v>
      </c>
      <c r="D604" s="32"/>
      <c r="E604" s="34"/>
    </row>
    <row r="605" spans="1:5" x14ac:dyDescent="0.3">
      <c r="A605" s="32">
        <v>604</v>
      </c>
      <c r="B605" s="32"/>
      <c r="C605" s="32" t="b">
        <f>_xlfn.XLOOKUP(Table6101112[[#This Row],[Category No]],Table8[Category No],Table8[Chapter List],FALSE)</f>
        <v>0</v>
      </c>
      <c r="D605" s="32"/>
      <c r="E605" s="34"/>
    </row>
    <row r="606" spans="1:5" x14ac:dyDescent="0.3">
      <c r="A606" s="32">
        <v>605</v>
      </c>
      <c r="B606" s="32"/>
      <c r="C606" s="32" t="b">
        <f>_xlfn.XLOOKUP(Table6101112[[#This Row],[Category No]],Table8[Category No],Table8[Chapter List],FALSE)</f>
        <v>0</v>
      </c>
      <c r="D606" s="32"/>
      <c r="E606" s="34"/>
    </row>
    <row r="607" spans="1:5" x14ac:dyDescent="0.3">
      <c r="A607" s="32">
        <v>606</v>
      </c>
      <c r="B607" s="32"/>
      <c r="C607" s="32" t="b">
        <f>_xlfn.XLOOKUP(Table6101112[[#This Row],[Category No]],Table8[Category No],Table8[Chapter List],FALSE)</f>
        <v>0</v>
      </c>
      <c r="D607" s="32"/>
      <c r="E607" s="34"/>
    </row>
    <row r="608" spans="1:5" x14ac:dyDescent="0.3">
      <c r="A608" s="32">
        <v>607</v>
      </c>
      <c r="B608" s="32"/>
      <c r="C608" s="32" t="b">
        <f>_xlfn.XLOOKUP(Table6101112[[#This Row],[Category No]],Table8[Category No],Table8[Chapter List],FALSE)</f>
        <v>0</v>
      </c>
      <c r="D608" s="32"/>
      <c r="E608" s="34"/>
    </row>
    <row r="609" spans="1:5" x14ac:dyDescent="0.3">
      <c r="A609" s="32">
        <v>608</v>
      </c>
      <c r="B609" s="32"/>
      <c r="C609" s="32" t="b">
        <f>_xlfn.XLOOKUP(Table6101112[[#This Row],[Category No]],Table8[Category No],Table8[Chapter List],FALSE)</f>
        <v>0</v>
      </c>
      <c r="D609" s="32"/>
      <c r="E609" s="34"/>
    </row>
    <row r="610" spans="1:5" x14ac:dyDescent="0.3">
      <c r="A610" s="32">
        <v>609</v>
      </c>
      <c r="B610" s="32"/>
      <c r="C610" s="32" t="b">
        <f>_xlfn.XLOOKUP(Table6101112[[#This Row],[Category No]],Table8[Category No],Table8[Chapter List],FALSE)</f>
        <v>0</v>
      </c>
      <c r="D610" s="32"/>
      <c r="E610" s="34"/>
    </row>
    <row r="611" spans="1:5" x14ac:dyDescent="0.3">
      <c r="A611" s="32">
        <v>610</v>
      </c>
      <c r="B611" s="32"/>
      <c r="C611" s="32" t="b">
        <f>_xlfn.XLOOKUP(Table6101112[[#This Row],[Category No]],Table8[Category No],Table8[Chapter List],FALSE)</f>
        <v>0</v>
      </c>
      <c r="D611" s="32"/>
      <c r="E611" s="34"/>
    </row>
    <row r="612" spans="1:5" x14ac:dyDescent="0.3">
      <c r="A612" s="32">
        <v>611</v>
      </c>
      <c r="B612" s="32"/>
      <c r="C612" s="32" t="b">
        <f>_xlfn.XLOOKUP(Table6101112[[#This Row],[Category No]],Table8[Category No],Table8[Chapter List],FALSE)</f>
        <v>0</v>
      </c>
      <c r="D612" s="32"/>
      <c r="E612" s="34"/>
    </row>
    <row r="613" spans="1:5" x14ac:dyDescent="0.3">
      <c r="A613" s="32">
        <v>612</v>
      </c>
      <c r="B613" s="32"/>
      <c r="C613" s="32" t="b">
        <f>_xlfn.XLOOKUP(Table6101112[[#This Row],[Category No]],Table8[Category No],Table8[Chapter List],FALSE)</f>
        <v>0</v>
      </c>
      <c r="D613" s="32"/>
      <c r="E613" s="34"/>
    </row>
    <row r="614" spans="1:5" x14ac:dyDescent="0.3">
      <c r="A614" s="32">
        <v>613</v>
      </c>
      <c r="B614" s="32"/>
      <c r="C614" s="32" t="b">
        <f>_xlfn.XLOOKUP(Table6101112[[#This Row],[Category No]],Table8[Category No],Table8[Chapter List],FALSE)</f>
        <v>0</v>
      </c>
      <c r="D614" s="32"/>
      <c r="E614" s="34"/>
    </row>
    <row r="615" spans="1:5" x14ac:dyDescent="0.3">
      <c r="A615" s="32">
        <v>614</v>
      </c>
      <c r="B615" s="32"/>
      <c r="C615" s="32" t="b">
        <f>_xlfn.XLOOKUP(Table6101112[[#This Row],[Category No]],Table8[Category No],Table8[Chapter List],FALSE)</f>
        <v>0</v>
      </c>
      <c r="D615" s="32"/>
      <c r="E615" s="34"/>
    </row>
    <row r="616" spans="1:5" x14ac:dyDescent="0.3">
      <c r="A616" s="32">
        <v>615</v>
      </c>
      <c r="B616" s="32"/>
      <c r="C616" s="32" t="b">
        <f>_xlfn.XLOOKUP(Table6101112[[#This Row],[Category No]],Table8[Category No],Table8[Chapter List],FALSE)</f>
        <v>0</v>
      </c>
      <c r="D616" s="32"/>
      <c r="E616" s="34"/>
    </row>
    <row r="617" spans="1:5" x14ac:dyDescent="0.3">
      <c r="A617" s="32">
        <v>616</v>
      </c>
      <c r="B617" s="32"/>
      <c r="C617" s="32" t="b">
        <f>_xlfn.XLOOKUP(Table6101112[[#This Row],[Category No]],Table8[Category No],Table8[Chapter List],FALSE)</f>
        <v>0</v>
      </c>
      <c r="D617" s="32"/>
      <c r="E617" s="34"/>
    </row>
    <row r="618" spans="1:5" x14ac:dyDescent="0.3">
      <c r="A618" s="32">
        <v>617</v>
      </c>
      <c r="B618" s="32"/>
      <c r="C618" s="32" t="b">
        <f>_xlfn.XLOOKUP(Table6101112[[#This Row],[Category No]],Table8[Category No],Table8[Chapter List],FALSE)</f>
        <v>0</v>
      </c>
      <c r="D618" s="32"/>
      <c r="E618" s="34"/>
    </row>
    <row r="619" spans="1:5" x14ac:dyDescent="0.3">
      <c r="A619" s="32">
        <v>618</v>
      </c>
      <c r="B619" s="32"/>
      <c r="C619" s="32" t="b">
        <f>_xlfn.XLOOKUP(Table6101112[[#This Row],[Category No]],Table8[Category No],Table8[Chapter List],FALSE)</f>
        <v>0</v>
      </c>
      <c r="D619" s="32"/>
      <c r="E619" s="34"/>
    </row>
    <row r="620" spans="1:5" x14ac:dyDescent="0.3">
      <c r="A620" s="32">
        <v>619</v>
      </c>
      <c r="B620" s="32"/>
      <c r="C620" s="32" t="b">
        <f>_xlfn.XLOOKUP(Table6101112[[#This Row],[Category No]],Table8[Category No],Table8[Chapter List],FALSE)</f>
        <v>0</v>
      </c>
      <c r="D620" s="32"/>
      <c r="E620" s="34"/>
    </row>
    <row r="621" spans="1:5" x14ac:dyDescent="0.3">
      <c r="A621" s="32">
        <v>620</v>
      </c>
      <c r="B621" s="32"/>
      <c r="C621" s="32" t="b">
        <f>_xlfn.XLOOKUP(Table6101112[[#This Row],[Category No]],Table8[Category No],Table8[Chapter List],FALSE)</f>
        <v>0</v>
      </c>
      <c r="D621" s="32"/>
      <c r="E621" s="34"/>
    </row>
    <row r="622" spans="1:5" x14ac:dyDescent="0.3">
      <c r="A622" s="32">
        <v>621</v>
      </c>
      <c r="B622" s="32"/>
      <c r="C622" s="32" t="b">
        <f>_xlfn.XLOOKUP(Table6101112[[#This Row],[Category No]],Table8[Category No],Table8[Chapter List],FALSE)</f>
        <v>0</v>
      </c>
      <c r="D622" s="32"/>
      <c r="E622" s="34"/>
    </row>
    <row r="623" spans="1:5" x14ac:dyDescent="0.3">
      <c r="A623" s="32">
        <v>622</v>
      </c>
      <c r="B623" s="32"/>
      <c r="C623" s="32" t="b">
        <f>_xlfn.XLOOKUP(Table6101112[[#This Row],[Category No]],Table8[Category No],Table8[Chapter List],FALSE)</f>
        <v>0</v>
      </c>
      <c r="D623" s="32"/>
      <c r="E623" s="34"/>
    </row>
    <row r="624" spans="1:5" x14ac:dyDescent="0.3">
      <c r="A624" s="32">
        <v>623</v>
      </c>
      <c r="B624" s="32"/>
      <c r="C624" s="32" t="b">
        <f>_xlfn.XLOOKUP(Table6101112[[#This Row],[Category No]],Table8[Category No],Table8[Chapter List],FALSE)</f>
        <v>0</v>
      </c>
      <c r="D624" s="32"/>
      <c r="E624" s="34"/>
    </row>
    <row r="625" spans="1:5" x14ac:dyDescent="0.3">
      <c r="A625" s="32">
        <v>624</v>
      </c>
      <c r="B625" s="32"/>
      <c r="C625" s="32" t="b">
        <f>_xlfn.XLOOKUP(Table6101112[[#This Row],[Category No]],Table8[Category No],Table8[Chapter List],FALSE)</f>
        <v>0</v>
      </c>
      <c r="D625" s="32"/>
      <c r="E625" s="34"/>
    </row>
    <row r="626" spans="1:5" x14ac:dyDescent="0.3">
      <c r="A626" s="32">
        <v>625</v>
      </c>
      <c r="B626" s="32"/>
      <c r="C626" s="32" t="b">
        <f>_xlfn.XLOOKUP(Table6101112[[#This Row],[Category No]],Table8[Category No],Table8[Chapter List],FALSE)</f>
        <v>0</v>
      </c>
      <c r="D626" s="32"/>
      <c r="E626" s="34"/>
    </row>
    <row r="627" spans="1:5" x14ac:dyDescent="0.3">
      <c r="A627" s="32">
        <v>626</v>
      </c>
      <c r="B627" s="32"/>
      <c r="C627" s="32" t="b">
        <f>_xlfn.XLOOKUP(Table6101112[[#This Row],[Category No]],Table8[Category No],Table8[Chapter List],FALSE)</f>
        <v>0</v>
      </c>
      <c r="D627" s="32"/>
      <c r="E627" s="34"/>
    </row>
    <row r="628" spans="1:5" x14ac:dyDescent="0.3">
      <c r="A628" s="32">
        <v>627</v>
      </c>
      <c r="B628" s="32"/>
      <c r="C628" s="32" t="b">
        <f>_xlfn.XLOOKUP(Table6101112[[#This Row],[Category No]],Table8[Category No],Table8[Chapter List],FALSE)</f>
        <v>0</v>
      </c>
      <c r="D628" s="32"/>
      <c r="E628" s="34"/>
    </row>
    <row r="629" spans="1:5" x14ac:dyDescent="0.3">
      <c r="A629" s="32">
        <v>628</v>
      </c>
      <c r="B629" s="32"/>
      <c r="C629" s="32" t="b">
        <f>_xlfn.XLOOKUP(Table6101112[[#This Row],[Category No]],Table8[Category No],Table8[Chapter List],FALSE)</f>
        <v>0</v>
      </c>
      <c r="D629" s="32"/>
      <c r="E629" s="34"/>
    </row>
    <row r="630" spans="1:5" x14ac:dyDescent="0.3">
      <c r="A630" s="32">
        <v>629</v>
      </c>
      <c r="B630" s="32"/>
      <c r="C630" s="32" t="b">
        <f>_xlfn.XLOOKUP(Table6101112[[#This Row],[Category No]],Table8[Category No],Table8[Chapter List],FALSE)</f>
        <v>0</v>
      </c>
      <c r="D630" s="32"/>
      <c r="E630" s="34"/>
    </row>
    <row r="631" spans="1:5" x14ac:dyDescent="0.3">
      <c r="A631" s="32">
        <v>630</v>
      </c>
      <c r="B631" s="32"/>
      <c r="C631" s="32" t="b">
        <f>_xlfn.XLOOKUP(Table6101112[[#This Row],[Category No]],Table8[Category No],Table8[Chapter List],FALSE)</f>
        <v>0</v>
      </c>
      <c r="D631" s="32"/>
      <c r="E631" s="34"/>
    </row>
    <row r="632" spans="1:5" x14ac:dyDescent="0.3">
      <c r="A632" s="32">
        <v>631</v>
      </c>
      <c r="B632" s="32"/>
      <c r="C632" s="32" t="b">
        <f>_xlfn.XLOOKUP(Table6101112[[#This Row],[Category No]],Table8[Category No],Table8[Chapter List],FALSE)</f>
        <v>0</v>
      </c>
      <c r="D632" s="32"/>
      <c r="E632" s="34"/>
    </row>
    <row r="633" spans="1:5" x14ac:dyDescent="0.3">
      <c r="A633" s="32">
        <v>632</v>
      </c>
      <c r="B633" s="32"/>
      <c r="C633" s="32" t="b">
        <f>_xlfn.XLOOKUP(Table6101112[[#This Row],[Category No]],Table8[Category No],Table8[Chapter List],FALSE)</f>
        <v>0</v>
      </c>
      <c r="D633" s="32"/>
      <c r="E633" s="34"/>
    </row>
    <row r="634" spans="1:5" x14ac:dyDescent="0.3">
      <c r="A634" s="32">
        <v>633</v>
      </c>
      <c r="B634" s="32"/>
      <c r="C634" s="32" t="b">
        <f>_xlfn.XLOOKUP(Table6101112[[#This Row],[Category No]],Table8[Category No],Table8[Chapter List],FALSE)</f>
        <v>0</v>
      </c>
      <c r="D634" s="32"/>
      <c r="E634" s="34"/>
    </row>
    <row r="635" spans="1:5" x14ac:dyDescent="0.3">
      <c r="A635" s="32">
        <v>634</v>
      </c>
      <c r="B635" s="32"/>
      <c r="C635" s="32" t="b">
        <f>_xlfn.XLOOKUP(Table6101112[[#This Row],[Category No]],Table8[Category No],Table8[Chapter List],FALSE)</f>
        <v>0</v>
      </c>
      <c r="D635" s="32"/>
      <c r="E635" s="34"/>
    </row>
    <row r="636" spans="1:5" x14ac:dyDescent="0.3">
      <c r="A636" s="32">
        <v>635</v>
      </c>
      <c r="B636" s="32"/>
      <c r="C636" s="32" t="b">
        <f>_xlfn.XLOOKUP(Table6101112[[#This Row],[Category No]],Table8[Category No],Table8[Chapter List],FALSE)</f>
        <v>0</v>
      </c>
      <c r="D636" s="32"/>
      <c r="E636" s="34"/>
    </row>
    <row r="637" spans="1:5" x14ac:dyDescent="0.3">
      <c r="A637" s="32">
        <v>636</v>
      </c>
      <c r="B637" s="32"/>
      <c r="C637" s="32" t="b">
        <f>_xlfn.XLOOKUP(Table6101112[[#This Row],[Category No]],Table8[Category No],Table8[Chapter List],FALSE)</f>
        <v>0</v>
      </c>
      <c r="D637" s="32"/>
      <c r="E637" s="34"/>
    </row>
    <row r="638" spans="1:5" x14ac:dyDescent="0.3">
      <c r="A638" s="32">
        <v>637</v>
      </c>
      <c r="B638" s="32"/>
      <c r="C638" s="32" t="b">
        <f>_xlfn.XLOOKUP(Table6101112[[#This Row],[Category No]],Table8[Category No],Table8[Chapter List],FALSE)</f>
        <v>0</v>
      </c>
      <c r="D638" s="32"/>
      <c r="E638" s="34"/>
    </row>
    <row r="639" spans="1:5" x14ac:dyDescent="0.3">
      <c r="A639" s="32">
        <v>638</v>
      </c>
      <c r="B639" s="32"/>
      <c r="C639" s="32" t="b">
        <f>_xlfn.XLOOKUP(Table6101112[[#This Row],[Category No]],Table8[Category No],Table8[Chapter List],FALSE)</f>
        <v>0</v>
      </c>
      <c r="D639" s="32"/>
      <c r="E639" s="34"/>
    </row>
    <row r="640" spans="1:5" x14ac:dyDescent="0.3">
      <c r="A640" s="32">
        <v>639</v>
      </c>
      <c r="B640" s="32"/>
      <c r="C640" s="32" t="b">
        <f>_xlfn.XLOOKUP(Table6101112[[#This Row],[Category No]],Table8[Category No],Table8[Chapter List],FALSE)</f>
        <v>0</v>
      </c>
      <c r="D640" s="32"/>
      <c r="E640" s="34"/>
    </row>
    <row r="641" spans="1:5" x14ac:dyDescent="0.3">
      <c r="A641" s="32">
        <v>640</v>
      </c>
      <c r="B641" s="32"/>
      <c r="C641" s="32" t="b">
        <f>_xlfn.XLOOKUP(Table6101112[[#This Row],[Category No]],Table8[Category No],Table8[Chapter List],FALSE)</f>
        <v>0</v>
      </c>
      <c r="D641" s="32"/>
      <c r="E641" s="34"/>
    </row>
    <row r="642" spans="1:5" x14ac:dyDescent="0.3">
      <c r="A642" s="32">
        <v>641</v>
      </c>
      <c r="B642" s="32"/>
      <c r="C642" s="32" t="b">
        <f>_xlfn.XLOOKUP(Table6101112[[#This Row],[Category No]],Table8[Category No],Table8[Chapter List],FALSE)</f>
        <v>0</v>
      </c>
      <c r="D642" s="32"/>
      <c r="E642" s="34"/>
    </row>
    <row r="643" spans="1:5" x14ac:dyDescent="0.3">
      <c r="A643" s="32">
        <v>642</v>
      </c>
      <c r="B643" s="32"/>
      <c r="C643" s="32" t="b">
        <f>_xlfn.XLOOKUP(Table6101112[[#This Row],[Category No]],Table8[Category No],Table8[Chapter List],FALSE)</f>
        <v>0</v>
      </c>
      <c r="D643" s="32"/>
      <c r="E643" s="34"/>
    </row>
    <row r="644" spans="1:5" x14ac:dyDescent="0.3">
      <c r="A644" s="32">
        <v>643</v>
      </c>
      <c r="B644" s="32"/>
      <c r="C644" s="32" t="b">
        <f>_xlfn.XLOOKUP(Table6101112[[#This Row],[Category No]],Table8[Category No],Table8[Chapter List],FALSE)</f>
        <v>0</v>
      </c>
      <c r="D644" s="32"/>
      <c r="E644" s="34"/>
    </row>
    <row r="645" spans="1:5" x14ac:dyDescent="0.3">
      <c r="A645" s="32">
        <v>644</v>
      </c>
      <c r="B645" s="32"/>
      <c r="C645" s="32" t="b">
        <f>_xlfn.XLOOKUP(Table6101112[[#This Row],[Category No]],Table8[Category No],Table8[Chapter List],FALSE)</f>
        <v>0</v>
      </c>
      <c r="D645" s="32"/>
      <c r="E645" s="34"/>
    </row>
    <row r="646" spans="1:5" x14ac:dyDescent="0.3">
      <c r="A646" s="32">
        <v>645</v>
      </c>
      <c r="B646" s="32"/>
      <c r="C646" s="32" t="b">
        <f>_xlfn.XLOOKUP(Table6101112[[#This Row],[Category No]],Table8[Category No],Table8[Chapter List],FALSE)</f>
        <v>0</v>
      </c>
      <c r="D646" s="32"/>
      <c r="E646" s="34"/>
    </row>
    <row r="647" spans="1:5" x14ac:dyDescent="0.3">
      <c r="A647" s="32">
        <v>646</v>
      </c>
      <c r="B647" s="32"/>
      <c r="C647" s="32" t="b">
        <f>_xlfn.XLOOKUP(Table6101112[[#This Row],[Category No]],Table8[Category No],Table8[Chapter List],FALSE)</f>
        <v>0</v>
      </c>
      <c r="D647" s="32"/>
      <c r="E647" s="34"/>
    </row>
    <row r="648" spans="1:5" x14ac:dyDescent="0.3">
      <c r="A648" s="32">
        <v>647</v>
      </c>
      <c r="B648" s="32"/>
      <c r="C648" s="32" t="b">
        <f>_xlfn.XLOOKUP(Table6101112[[#This Row],[Category No]],Table8[Category No],Table8[Chapter List],FALSE)</f>
        <v>0</v>
      </c>
      <c r="D648" s="32"/>
      <c r="E648" s="34"/>
    </row>
    <row r="649" spans="1:5" x14ac:dyDescent="0.3">
      <c r="A649" s="32">
        <v>648</v>
      </c>
      <c r="B649" s="32"/>
      <c r="C649" s="32" t="b">
        <f>_xlfn.XLOOKUP(Table6101112[[#This Row],[Category No]],Table8[Category No],Table8[Chapter List],FALSE)</f>
        <v>0</v>
      </c>
      <c r="D649" s="32"/>
      <c r="E649" s="34"/>
    </row>
    <row r="650" spans="1:5" x14ac:dyDescent="0.3">
      <c r="A650" s="32">
        <v>649</v>
      </c>
      <c r="B650" s="32"/>
      <c r="C650" s="32" t="b">
        <f>_xlfn.XLOOKUP(Table6101112[[#This Row],[Category No]],Table8[Category No],Table8[Chapter List],FALSE)</f>
        <v>0</v>
      </c>
      <c r="D650" s="32"/>
      <c r="E650" s="34"/>
    </row>
    <row r="651" spans="1:5" x14ac:dyDescent="0.3">
      <c r="A651" s="32">
        <v>650</v>
      </c>
      <c r="B651" s="32"/>
      <c r="C651" s="32" t="b">
        <f>_xlfn.XLOOKUP(Table6101112[[#This Row],[Category No]],Table8[Category No],Table8[Chapter List],FALSE)</f>
        <v>0</v>
      </c>
      <c r="D651" s="32"/>
      <c r="E651" s="34"/>
    </row>
    <row r="652" spans="1:5" x14ac:dyDescent="0.3">
      <c r="A652" s="32">
        <v>651</v>
      </c>
      <c r="B652" s="32"/>
      <c r="C652" s="32" t="b">
        <f>_xlfn.XLOOKUP(Table6101112[[#This Row],[Category No]],Table8[Category No],Table8[Chapter List],FALSE)</f>
        <v>0</v>
      </c>
      <c r="D652" s="32"/>
      <c r="E652" s="34"/>
    </row>
    <row r="653" spans="1:5" x14ac:dyDescent="0.3">
      <c r="A653" s="32">
        <v>652</v>
      </c>
      <c r="B653" s="32"/>
      <c r="C653" s="32" t="b">
        <f>_xlfn.XLOOKUP(Table6101112[[#This Row],[Category No]],Table8[Category No],Table8[Chapter List],FALSE)</f>
        <v>0</v>
      </c>
      <c r="D653" s="32"/>
      <c r="E653" s="34"/>
    </row>
    <row r="654" spans="1:5" x14ac:dyDescent="0.3">
      <c r="A654" s="32">
        <v>653</v>
      </c>
      <c r="B654" s="32"/>
      <c r="C654" s="32" t="b">
        <f>_xlfn.XLOOKUP(Table6101112[[#This Row],[Category No]],Table8[Category No],Table8[Chapter List],FALSE)</f>
        <v>0</v>
      </c>
      <c r="D654" s="32"/>
      <c r="E654" s="34"/>
    </row>
    <row r="655" spans="1:5" x14ac:dyDescent="0.3">
      <c r="A655" s="32">
        <v>654</v>
      </c>
      <c r="B655" s="32"/>
      <c r="C655" s="32" t="b">
        <f>_xlfn.XLOOKUP(Table6101112[[#This Row],[Category No]],Table8[Category No],Table8[Chapter List],FALSE)</f>
        <v>0</v>
      </c>
      <c r="D655" s="32"/>
      <c r="E655" s="34"/>
    </row>
    <row r="656" spans="1:5" x14ac:dyDescent="0.3">
      <c r="A656" s="32">
        <v>655</v>
      </c>
      <c r="B656" s="32"/>
      <c r="C656" s="32" t="b">
        <f>_xlfn.XLOOKUP(Table6101112[[#This Row],[Category No]],Table8[Category No],Table8[Chapter List],FALSE)</f>
        <v>0</v>
      </c>
      <c r="D656" s="32"/>
      <c r="E656" s="34"/>
    </row>
    <row r="657" spans="1:5" x14ac:dyDescent="0.3">
      <c r="A657" s="32">
        <v>656</v>
      </c>
      <c r="B657" s="32"/>
      <c r="C657" s="32" t="b">
        <f>_xlfn.XLOOKUP(Table6101112[[#This Row],[Category No]],Table8[Category No],Table8[Chapter List],FALSE)</f>
        <v>0</v>
      </c>
      <c r="D657" s="32"/>
      <c r="E657" s="34"/>
    </row>
    <row r="658" spans="1:5" x14ac:dyDescent="0.3">
      <c r="A658" s="32">
        <v>657</v>
      </c>
      <c r="B658" s="32"/>
      <c r="C658" s="32" t="b">
        <f>_xlfn.XLOOKUP(Table6101112[[#This Row],[Category No]],Table8[Category No],Table8[Chapter List],FALSE)</f>
        <v>0</v>
      </c>
      <c r="D658" s="32"/>
      <c r="E658" s="34"/>
    </row>
    <row r="659" spans="1:5" x14ac:dyDescent="0.3">
      <c r="A659" s="32">
        <v>658</v>
      </c>
      <c r="B659" s="32"/>
      <c r="C659" s="32" t="b">
        <f>_xlfn.XLOOKUP(Table6101112[[#This Row],[Category No]],Table8[Category No],Table8[Chapter List],FALSE)</f>
        <v>0</v>
      </c>
      <c r="D659" s="32"/>
      <c r="E659" s="34"/>
    </row>
    <row r="660" spans="1:5" x14ac:dyDescent="0.3">
      <c r="A660" s="32">
        <v>659</v>
      </c>
      <c r="B660" s="32"/>
      <c r="C660" s="32" t="b">
        <f>_xlfn.XLOOKUP(Table6101112[[#This Row],[Category No]],Table8[Category No],Table8[Chapter List],FALSE)</f>
        <v>0</v>
      </c>
      <c r="D660" s="32"/>
      <c r="E660" s="34"/>
    </row>
    <row r="661" spans="1:5" x14ac:dyDescent="0.3">
      <c r="A661" s="32">
        <v>660</v>
      </c>
      <c r="B661" s="32"/>
      <c r="C661" s="32" t="b">
        <f>_xlfn.XLOOKUP(Table6101112[[#This Row],[Category No]],Table8[Category No],Table8[Chapter List],FALSE)</f>
        <v>0</v>
      </c>
      <c r="D661" s="32"/>
      <c r="E661" s="34"/>
    </row>
    <row r="662" spans="1:5" x14ac:dyDescent="0.3">
      <c r="A662" s="32">
        <v>661</v>
      </c>
      <c r="B662" s="32"/>
      <c r="C662" s="32" t="b">
        <f>_xlfn.XLOOKUP(Table6101112[[#This Row],[Category No]],Table8[Category No],Table8[Chapter List],FALSE)</f>
        <v>0</v>
      </c>
      <c r="D662" s="32"/>
      <c r="E662" s="34"/>
    </row>
    <row r="663" spans="1:5" x14ac:dyDescent="0.3">
      <c r="A663" s="32">
        <v>662</v>
      </c>
      <c r="B663" s="32"/>
      <c r="C663" s="32" t="b">
        <f>_xlfn.XLOOKUP(Table6101112[[#This Row],[Category No]],Table8[Category No],Table8[Chapter List],FALSE)</f>
        <v>0</v>
      </c>
      <c r="D663" s="32"/>
      <c r="E663" s="34"/>
    </row>
    <row r="664" spans="1:5" x14ac:dyDescent="0.3">
      <c r="A664" s="32">
        <v>663</v>
      </c>
      <c r="B664" s="32"/>
      <c r="C664" s="32" t="b">
        <f>_xlfn.XLOOKUP(Table6101112[[#This Row],[Category No]],Table8[Category No],Table8[Chapter List],FALSE)</f>
        <v>0</v>
      </c>
      <c r="D664" s="32"/>
      <c r="E664" s="34"/>
    </row>
    <row r="665" spans="1:5" x14ac:dyDescent="0.3">
      <c r="A665" s="32">
        <v>664</v>
      </c>
      <c r="B665" s="32"/>
      <c r="C665" s="32" t="b">
        <f>_xlfn.XLOOKUP(Table6101112[[#This Row],[Category No]],Table8[Category No],Table8[Chapter List],FALSE)</f>
        <v>0</v>
      </c>
      <c r="D665" s="32"/>
      <c r="E665" s="34"/>
    </row>
    <row r="666" spans="1:5" x14ac:dyDescent="0.3">
      <c r="A666" s="32">
        <v>665</v>
      </c>
      <c r="B666" s="32"/>
      <c r="C666" s="32" t="b">
        <f>_xlfn.XLOOKUP(Table6101112[[#This Row],[Category No]],Table8[Category No],Table8[Chapter List],FALSE)</f>
        <v>0</v>
      </c>
      <c r="D666" s="32"/>
      <c r="E666" s="34"/>
    </row>
    <row r="667" spans="1:5" x14ac:dyDescent="0.3">
      <c r="A667" s="32">
        <v>666</v>
      </c>
      <c r="B667" s="32"/>
      <c r="C667" s="32" t="b">
        <f>_xlfn.XLOOKUP(Table6101112[[#This Row],[Category No]],Table8[Category No],Table8[Chapter List],FALSE)</f>
        <v>0</v>
      </c>
      <c r="D667" s="32"/>
      <c r="E667" s="34"/>
    </row>
    <row r="668" spans="1:5" x14ac:dyDescent="0.3">
      <c r="A668" s="32">
        <v>667</v>
      </c>
      <c r="B668" s="32"/>
      <c r="C668" s="32" t="b">
        <f>_xlfn.XLOOKUP(Table6101112[[#This Row],[Category No]],Table8[Category No],Table8[Chapter List],FALSE)</f>
        <v>0</v>
      </c>
      <c r="D668" s="32"/>
      <c r="E668" s="34"/>
    </row>
    <row r="669" spans="1:5" x14ac:dyDescent="0.3">
      <c r="A669" s="32">
        <v>668</v>
      </c>
      <c r="B669" s="32"/>
      <c r="C669" s="32" t="b">
        <f>_xlfn.XLOOKUP(Table6101112[[#This Row],[Category No]],Table8[Category No],Table8[Chapter List],FALSE)</f>
        <v>0</v>
      </c>
      <c r="D669" s="32"/>
      <c r="E669" s="34"/>
    </row>
    <row r="670" spans="1:5" x14ac:dyDescent="0.3">
      <c r="A670" s="32">
        <v>669</v>
      </c>
      <c r="B670" s="32"/>
      <c r="C670" s="32" t="b">
        <f>_xlfn.XLOOKUP(Table6101112[[#This Row],[Category No]],Table8[Category No],Table8[Chapter List],FALSE)</f>
        <v>0</v>
      </c>
      <c r="D670" s="32"/>
      <c r="E670" s="34"/>
    </row>
    <row r="671" spans="1:5" x14ac:dyDescent="0.3">
      <c r="A671" s="32">
        <v>670</v>
      </c>
      <c r="B671" s="32"/>
      <c r="C671" s="32" t="b">
        <f>_xlfn.XLOOKUP(Table6101112[[#This Row],[Category No]],Table8[Category No],Table8[Chapter List],FALSE)</f>
        <v>0</v>
      </c>
      <c r="D671" s="32"/>
      <c r="E671" s="34"/>
    </row>
    <row r="672" spans="1:5" x14ac:dyDescent="0.3">
      <c r="A672" s="32">
        <v>671</v>
      </c>
      <c r="B672" s="32"/>
      <c r="C672" s="32" t="b">
        <f>_xlfn.XLOOKUP(Table6101112[[#This Row],[Category No]],Table8[Category No],Table8[Chapter List],FALSE)</f>
        <v>0</v>
      </c>
      <c r="D672" s="32"/>
      <c r="E672" s="34"/>
    </row>
    <row r="673" spans="1:5" x14ac:dyDescent="0.3">
      <c r="A673" s="32">
        <v>672</v>
      </c>
      <c r="B673" s="32"/>
      <c r="C673" s="32" t="b">
        <f>_xlfn.XLOOKUP(Table6101112[[#This Row],[Category No]],Table8[Category No],Table8[Chapter List],FALSE)</f>
        <v>0</v>
      </c>
      <c r="D673" s="32"/>
      <c r="E673" s="34"/>
    </row>
    <row r="674" spans="1:5" x14ac:dyDescent="0.3">
      <c r="A674" s="32">
        <v>673</v>
      </c>
      <c r="B674" s="32"/>
      <c r="C674" s="32" t="b">
        <f>_xlfn.XLOOKUP(Table6101112[[#This Row],[Category No]],Table8[Category No],Table8[Chapter List],FALSE)</f>
        <v>0</v>
      </c>
      <c r="D674" s="32"/>
      <c r="E674" s="34"/>
    </row>
    <row r="675" spans="1:5" x14ac:dyDescent="0.3">
      <c r="A675" s="32">
        <v>674</v>
      </c>
      <c r="B675" s="32"/>
      <c r="C675" s="32" t="b">
        <f>_xlfn.XLOOKUP(Table6101112[[#This Row],[Category No]],Table8[Category No],Table8[Chapter List],FALSE)</f>
        <v>0</v>
      </c>
      <c r="D675" s="32"/>
      <c r="E675" s="34"/>
    </row>
    <row r="676" spans="1:5" x14ac:dyDescent="0.3">
      <c r="A676" s="32">
        <v>675</v>
      </c>
      <c r="B676" s="32"/>
      <c r="C676" s="32" t="b">
        <f>_xlfn.XLOOKUP(Table6101112[[#This Row],[Category No]],Table8[Category No],Table8[Chapter List],FALSE)</f>
        <v>0</v>
      </c>
      <c r="D676" s="32"/>
      <c r="E676" s="34"/>
    </row>
    <row r="677" spans="1:5" x14ac:dyDescent="0.3">
      <c r="A677" s="32">
        <v>676</v>
      </c>
      <c r="B677" s="32"/>
      <c r="C677" s="32" t="b">
        <f>_xlfn.XLOOKUP(Table6101112[[#This Row],[Category No]],Table8[Category No],Table8[Chapter List],FALSE)</f>
        <v>0</v>
      </c>
      <c r="D677" s="32"/>
      <c r="E677" s="34"/>
    </row>
    <row r="678" spans="1:5" x14ac:dyDescent="0.3">
      <c r="A678" s="32">
        <v>677</v>
      </c>
      <c r="B678" s="32"/>
      <c r="C678" s="32" t="b">
        <f>_xlfn.XLOOKUP(Table6101112[[#This Row],[Category No]],Table8[Category No],Table8[Chapter List],FALSE)</f>
        <v>0</v>
      </c>
      <c r="D678" s="32"/>
      <c r="E678" s="34"/>
    </row>
    <row r="679" spans="1:5" x14ac:dyDescent="0.3">
      <c r="A679" s="32">
        <v>678</v>
      </c>
      <c r="B679" s="32"/>
      <c r="C679" s="32" t="b">
        <f>_xlfn.XLOOKUP(Table6101112[[#This Row],[Category No]],Table8[Category No],Table8[Chapter List],FALSE)</f>
        <v>0</v>
      </c>
      <c r="D679" s="32"/>
      <c r="E679" s="34"/>
    </row>
    <row r="680" spans="1:5" x14ac:dyDescent="0.3">
      <c r="A680" s="32">
        <v>679</v>
      </c>
      <c r="B680" s="32"/>
      <c r="C680" s="32" t="b">
        <f>_xlfn.XLOOKUP(Table6101112[[#This Row],[Category No]],Table8[Category No],Table8[Chapter List],FALSE)</f>
        <v>0</v>
      </c>
      <c r="D680" s="32"/>
      <c r="E680" s="34"/>
    </row>
    <row r="681" spans="1:5" x14ac:dyDescent="0.3">
      <c r="A681" s="32">
        <v>680</v>
      </c>
      <c r="B681" s="32"/>
      <c r="C681" s="32" t="b">
        <f>_xlfn.XLOOKUP(Table6101112[[#This Row],[Category No]],Table8[Category No],Table8[Chapter List],FALSE)</f>
        <v>0</v>
      </c>
      <c r="D681" s="32"/>
      <c r="E681" s="34"/>
    </row>
    <row r="682" spans="1:5" x14ac:dyDescent="0.3">
      <c r="A682" s="32">
        <v>681</v>
      </c>
      <c r="B682" s="32"/>
      <c r="C682" s="32" t="b">
        <f>_xlfn.XLOOKUP(Table6101112[[#This Row],[Category No]],Table8[Category No],Table8[Chapter List],FALSE)</f>
        <v>0</v>
      </c>
      <c r="D682" s="32"/>
      <c r="E682" s="34"/>
    </row>
    <row r="683" spans="1:5" x14ac:dyDescent="0.3">
      <c r="A683" s="32">
        <v>682</v>
      </c>
      <c r="B683" s="32"/>
      <c r="C683" s="32" t="b">
        <f>_xlfn.XLOOKUP(Table6101112[[#This Row],[Category No]],Table8[Category No],Table8[Chapter List],FALSE)</f>
        <v>0</v>
      </c>
      <c r="D683" s="32"/>
      <c r="E683" s="34"/>
    </row>
    <row r="684" spans="1:5" x14ac:dyDescent="0.3">
      <c r="A684" s="32">
        <v>683</v>
      </c>
      <c r="B684" s="32"/>
      <c r="C684" s="32" t="b">
        <f>_xlfn.XLOOKUP(Table6101112[[#This Row],[Category No]],Table8[Category No],Table8[Chapter List],FALSE)</f>
        <v>0</v>
      </c>
      <c r="D684" s="32"/>
      <c r="E684" s="34"/>
    </row>
    <row r="685" spans="1:5" x14ac:dyDescent="0.3">
      <c r="A685" s="32">
        <v>684</v>
      </c>
      <c r="B685" s="32"/>
      <c r="C685" s="32" t="b">
        <f>_xlfn.XLOOKUP(Table6101112[[#This Row],[Category No]],Table8[Category No],Table8[Chapter List],FALSE)</f>
        <v>0</v>
      </c>
      <c r="D685" s="32"/>
      <c r="E685" s="34"/>
    </row>
    <row r="686" spans="1:5" x14ac:dyDescent="0.3">
      <c r="A686" s="32">
        <v>685</v>
      </c>
      <c r="B686" s="32"/>
      <c r="C686" s="32" t="b">
        <f>_xlfn.XLOOKUP(Table6101112[[#This Row],[Category No]],Table8[Category No],Table8[Chapter List],FALSE)</f>
        <v>0</v>
      </c>
      <c r="D686" s="32"/>
      <c r="E686" s="34"/>
    </row>
    <row r="687" spans="1:5" x14ac:dyDescent="0.3">
      <c r="A687" s="32">
        <v>686</v>
      </c>
      <c r="B687" s="32"/>
      <c r="C687" s="32" t="b">
        <f>_xlfn.XLOOKUP(Table6101112[[#This Row],[Category No]],Table8[Category No],Table8[Chapter List],FALSE)</f>
        <v>0</v>
      </c>
      <c r="D687" s="32"/>
      <c r="E687" s="34"/>
    </row>
    <row r="688" spans="1:5" x14ac:dyDescent="0.3">
      <c r="A688" s="32">
        <v>687</v>
      </c>
      <c r="B688" s="32"/>
      <c r="C688" s="32" t="b">
        <f>_xlfn.XLOOKUP(Table6101112[[#This Row],[Category No]],Table8[Category No],Table8[Chapter List],FALSE)</f>
        <v>0</v>
      </c>
      <c r="D688" s="32"/>
      <c r="E688" s="34"/>
    </row>
    <row r="689" spans="1:5" x14ac:dyDescent="0.3">
      <c r="A689" s="32">
        <v>688</v>
      </c>
      <c r="B689" s="32"/>
      <c r="C689" s="32" t="b">
        <f>_xlfn.XLOOKUP(Table6101112[[#This Row],[Category No]],Table8[Category No],Table8[Chapter List],FALSE)</f>
        <v>0</v>
      </c>
      <c r="D689" s="32"/>
      <c r="E689" s="34"/>
    </row>
    <row r="690" spans="1:5" x14ac:dyDescent="0.3">
      <c r="A690" s="32">
        <v>689</v>
      </c>
      <c r="B690" s="32"/>
      <c r="C690" s="32" t="b">
        <f>_xlfn.XLOOKUP(Table6101112[[#This Row],[Category No]],Table8[Category No],Table8[Chapter List],FALSE)</f>
        <v>0</v>
      </c>
      <c r="D690" s="32"/>
      <c r="E690" s="34"/>
    </row>
    <row r="691" spans="1:5" x14ac:dyDescent="0.3">
      <c r="A691" s="32">
        <v>690</v>
      </c>
      <c r="B691" s="32"/>
      <c r="C691" s="32" t="b">
        <f>_xlfn.XLOOKUP(Table6101112[[#This Row],[Category No]],Table8[Category No],Table8[Chapter List],FALSE)</f>
        <v>0</v>
      </c>
      <c r="D691" s="32"/>
      <c r="E691" s="34"/>
    </row>
    <row r="692" spans="1:5" x14ac:dyDescent="0.3">
      <c r="A692" s="32">
        <v>691</v>
      </c>
      <c r="B692" s="32"/>
      <c r="C692" s="32" t="b">
        <f>_xlfn.XLOOKUP(Table6101112[[#This Row],[Category No]],Table8[Category No],Table8[Chapter List],FALSE)</f>
        <v>0</v>
      </c>
      <c r="D692" s="32"/>
      <c r="E692" s="34"/>
    </row>
    <row r="693" spans="1:5" x14ac:dyDescent="0.3">
      <c r="A693" s="32">
        <v>692</v>
      </c>
      <c r="B693" s="32"/>
      <c r="C693" s="32" t="b">
        <f>_xlfn.XLOOKUP(Table6101112[[#This Row],[Category No]],Table8[Category No],Table8[Chapter List],FALSE)</f>
        <v>0</v>
      </c>
      <c r="D693" s="32"/>
      <c r="E693" s="34"/>
    </row>
    <row r="694" spans="1:5" x14ac:dyDescent="0.3">
      <c r="A694" s="32">
        <v>693</v>
      </c>
      <c r="B694" s="32"/>
      <c r="C694" s="32" t="b">
        <f>_xlfn.XLOOKUP(Table6101112[[#This Row],[Category No]],Table8[Category No],Table8[Chapter List],FALSE)</f>
        <v>0</v>
      </c>
      <c r="D694" s="32"/>
      <c r="E694" s="34"/>
    </row>
    <row r="695" spans="1:5" x14ac:dyDescent="0.3">
      <c r="A695" s="32">
        <v>694</v>
      </c>
      <c r="B695" s="32"/>
      <c r="C695" s="32" t="b">
        <f>_xlfn.XLOOKUP(Table6101112[[#This Row],[Category No]],Table8[Category No],Table8[Chapter List],FALSE)</f>
        <v>0</v>
      </c>
      <c r="D695" s="32"/>
      <c r="E695" s="34"/>
    </row>
    <row r="696" spans="1:5" x14ac:dyDescent="0.3">
      <c r="A696" s="32">
        <v>695</v>
      </c>
      <c r="B696" s="32"/>
      <c r="C696" s="32" t="b">
        <f>_xlfn.XLOOKUP(Table6101112[[#This Row],[Category No]],Table8[Category No],Table8[Chapter List],FALSE)</f>
        <v>0</v>
      </c>
      <c r="D696" s="32"/>
      <c r="E696" s="34"/>
    </row>
    <row r="697" spans="1:5" x14ac:dyDescent="0.3">
      <c r="A697" s="32">
        <v>696</v>
      </c>
      <c r="B697" s="32"/>
      <c r="C697" s="32" t="b">
        <f>_xlfn.XLOOKUP(Table6101112[[#This Row],[Category No]],Table8[Category No],Table8[Chapter List],FALSE)</f>
        <v>0</v>
      </c>
      <c r="D697" s="32"/>
      <c r="E697" s="34"/>
    </row>
    <row r="698" spans="1:5" x14ac:dyDescent="0.3">
      <c r="A698" s="32">
        <v>697</v>
      </c>
      <c r="B698" s="32"/>
      <c r="C698" s="32" t="b">
        <f>_xlfn.XLOOKUP(Table6101112[[#This Row],[Category No]],Table8[Category No],Table8[Chapter List],FALSE)</f>
        <v>0</v>
      </c>
      <c r="D698" s="32"/>
      <c r="E698" s="34"/>
    </row>
    <row r="699" spans="1:5" x14ac:dyDescent="0.3">
      <c r="A699" s="32">
        <v>698</v>
      </c>
      <c r="B699" s="32"/>
      <c r="C699" s="32" t="b">
        <f>_xlfn.XLOOKUP(Table6101112[[#This Row],[Category No]],Table8[Category No],Table8[Chapter List],FALSE)</f>
        <v>0</v>
      </c>
      <c r="D699" s="32"/>
      <c r="E699" s="34"/>
    </row>
    <row r="700" spans="1:5" x14ac:dyDescent="0.3">
      <c r="A700" s="32">
        <v>699</v>
      </c>
      <c r="B700" s="32"/>
      <c r="C700" s="32" t="b">
        <f>_xlfn.XLOOKUP(Table6101112[[#This Row],[Category No]],Table8[Category No],Table8[Chapter List],FALSE)</f>
        <v>0</v>
      </c>
      <c r="D700" s="32"/>
      <c r="E700" s="34"/>
    </row>
    <row r="701" spans="1:5" x14ac:dyDescent="0.3">
      <c r="A701" s="32">
        <v>700</v>
      </c>
      <c r="B701" s="32"/>
      <c r="C701" s="32" t="b">
        <f>_xlfn.XLOOKUP(Table6101112[[#This Row],[Category No]],Table8[Category No],Table8[Chapter List],FALSE)</f>
        <v>0</v>
      </c>
      <c r="D701" s="32"/>
      <c r="E701" s="34"/>
    </row>
    <row r="702" spans="1:5" x14ac:dyDescent="0.3">
      <c r="A702" s="32">
        <v>701</v>
      </c>
      <c r="B702" s="32"/>
      <c r="C702" s="32" t="b">
        <f>_xlfn.XLOOKUP(Table6101112[[#This Row],[Category No]],Table8[Category No],Table8[Chapter List],FALSE)</f>
        <v>0</v>
      </c>
      <c r="D702" s="32"/>
      <c r="E702" s="34"/>
    </row>
    <row r="703" spans="1:5" x14ac:dyDescent="0.3">
      <c r="A703" s="32">
        <v>702</v>
      </c>
      <c r="B703" s="32"/>
      <c r="C703" s="32" t="b">
        <f>_xlfn.XLOOKUP(Table6101112[[#This Row],[Category No]],Table8[Category No],Table8[Chapter List],FALSE)</f>
        <v>0</v>
      </c>
      <c r="D703" s="32"/>
      <c r="E703" s="34"/>
    </row>
    <row r="704" spans="1:5" x14ac:dyDescent="0.3">
      <c r="A704" s="32">
        <v>703</v>
      </c>
      <c r="B704" s="32"/>
      <c r="C704" s="32" t="b">
        <f>_xlfn.XLOOKUP(Table6101112[[#This Row],[Category No]],Table8[Category No],Table8[Chapter List],FALSE)</f>
        <v>0</v>
      </c>
      <c r="D704" s="32"/>
      <c r="E704" s="34"/>
    </row>
    <row r="705" spans="1:5" x14ac:dyDescent="0.3">
      <c r="A705" s="32">
        <v>704</v>
      </c>
      <c r="B705" s="32"/>
      <c r="C705" s="32" t="b">
        <f>_xlfn.XLOOKUP(Table6101112[[#This Row],[Category No]],Table8[Category No],Table8[Chapter List],FALSE)</f>
        <v>0</v>
      </c>
      <c r="D705" s="32"/>
      <c r="E705" s="34"/>
    </row>
    <row r="706" spans="1:5" x14ac:dyDescent="0.3">
      <c r="A706" s="32">
        <v>705</v>
      </c>
      <c r="B706" s="32"/>
      <c r="C706" s="32" t="b">
        <f>_xlfn.XLOOKUP(Table6101112[[#This Row],[Category No]],Table8[Category No],Table8[Chapter List],FALSE)</f>
        <v>0</v>
      </c>
      <c r="D706" s="32"/>
      <c r="E706" s="34"/>
    </row>
    <row r="707" spans="1:5" x14ac:dyDescent="0.3">
      <c r="A707" s="32">
        <v>706</v>
      </c>
      <c r="B707" s="32"/>
      <c r="C707" s="32" t="b">
        <f>_xlfn.XLOOKUP(Table6101112[[#This Row],[Category No]],Table8[Category No],Table8[Chapter List],FALSE)</f>
        <v>0</v>
      </c>
      <c r="D707" s="32"/>
      <c r="E707" s="34"/>
    </row>
    <row r="708" spans="1:5" x14ac:dyDescent="0.3">
      <c r="A708" s="32">
        <v>707</v>
      </c>
      <c r="B708" s="32"/>
      <c r="C708" s="32" t="b">
        <f>_xlfn.XLOOKUP(Table6101112[[#This Row],[Category No]],Table8[Category No],Table8[Chapter List],FALSE)</f>
        <v>0</v>
      </c>
      <c r="D708" s="32"/>
      <c r="E708" s="34"/>
    </row>
    <row r="709" spans="1:5" x14ac:dyDescent="0.3">
      <c r="A709" s="32">
        <v>708</v>
      </c>
      <c r="B709" s="32"/>
      <c r="C709" s="32" t="b">
        <f>_xlfn.XLOOKUP(Table6101112[[#This Row],[Category No]],Table8[Category No],Table8[Chapter List],FALSE)</f>
        <v>0</v>
      </c>
      <c r="D709" s="32"/>
      <c r="E709" s="34"/>
    </row>
    <row r="710" spans="1:5" x14ac:dyDescent="0.3">
      <c r="A710" s="32">
        <v>709</v>
      </c>
      <c r="B710" s="32"/>
      <c r="C710" s="32" t="b">
        <f>_xlfn.XLOOKUP(Table6101112[[#This Row],[Category No]],Table8[Category No],Table8[Chapter List],FALSE)</f>
        <v>0</v>
      </c>
      <c r="D710" s="32"/>
      <c r="E710" s="34"/>
    </row>
    <row r="711" spans="1:5" x14ac:dyDescent="0.3">
      <c r="A711" s="32">
        <v>710</v>
      </c>
      <c r="B711" s="32"/>
      <c r="C711" s="32" t="b">
        <f>_xlfn.XLOOKUP(Table6101112[[#This Row],[Category No]],Table8[Category No],Table8[Chapter List],FALSE)</f>
        <v>0</v>
      </c>
      <c r="D711" s="32"/>
      <c r="E711" s="34"/>
    </row>
    <row r="712" spans="1:5" x14ac:dyDescent="0.3">
      <c r="A712" s="32">
        <v>711</v>
      </c>
      <c r="B712" s="32"/>
      <c r="C712" s="32" t="b">
        <f>_xlfn.XLOOKUP(Table6101112[[#This Row],[Category No]],Table8[Category No],Table8[Chapter List],FALSE)</f>
        <v>0</v>
      </c>
      <c r="D712" s="32"/>
      <c r="E712" s="34"/>
    </row>
    <row r="713" spans="1:5" x14ac:dyDescent="0.3">
      <c r="A713" s="32">
        <v>712</v>
      </c>
      <c r="B713" s="32"/>
      <c r="C713" s="32" t="b">
        <f>_xlfn.XLOOKUP(Table6101112[[#This Row],[Category No]],Table8[Category No],Table8[Chapter List],FALSE)</f>
        <v>0</v>
      </c>
      <c r="D713" s="32"/>
      <c r="E713" s="34"/>
    </row>
    <row r="714" spans="1:5" x14ac:dyDescent="0.3">
      <c r="A714" s="32">
        <v>713</v>
      </c>
      <c r="B714" s="32"/>
      <c r="C714" s="32" t="b">
        <f>_xlfn.XLOOKUP(Table6101112[[#This Row],[Category No]],Table8[Category No],Table8[Chapter List],FALSE)</f>
        <v>0</v>
      </c>
      <c r="D714" s="32"/>
      <c r="E714" s="34"/>
    </row>
    <row r="715" spans="1:5" x14ac:dyDescent="0.3">
      <c r="A715" s="32">
        <v>714</v>
      </c>
      <c r="B715" s="32"/>
      <c r="C715" s="32" t="b">
        <f>_xlfn.XLOOKUP(Table6101112[[#This Row],[Category No]],Table8[Category No],Table8[Chapter List],FALSE)</f>
        <v>0</v>
      </c>
      <c r="D715" s="32"/>
      <c r="E715" s="34"/>
    </row>
    <row r="716" spans="1:5" x14ac:dyDescent="0.3">
      <c r="A716" s="32">
        <v>715</v>
      </c>
      <c r="B716" s="32"/>
      <c r="C716" s="32" t="b">
        <f>_xlfn.XLOOKUP(Table6101112[[#This Row],[Category No]],Table8[Category No],Table8[Chapter List],FALSE)</f>
        <v>0</v>
      </c>
      <c r="D716" s="32"/>
      <c r="E716" s="34"/>
    </row>
    <row r="717" spans="1:5" x14ac:dyDescent="0.3">
      <c r="A717" s="32">
        <v>716</v>
      </c>
      <c r="B717" s="32"/>
      <c r="C717" s="32" t="b">
        <f>_xlfn.XLOOKUP(Table6101112[[#This Row],[Category No]],Table8[Category No],Table8[Chapter List],FALSE)</f>
        <v>0</v>
      </c>
      <c r="D717" s="32"/>
      <c r="E717" s="34"/>
    </row>
    <row r="718" spans="1:5" x14ac:dyDescent="0.3">
      <c r="A718" s="32">
        <v>717</v>
      </c>
      <c r="B718" s="32"/>
      <c r="C718" s="32" t="b">
        <f>_xlfn.XLOOKUP(Table6101112[[#This Row],[Category No]],Table8[Category No],Table8[Chapter List],FALSE)</f>
        <v>0</v>
      </c>
      <c r="D718" s="32"/>
      <c r="E718" s="34"/>
    </row>
    <row r="719" spans="1:5" x14ac:dyDescent="0.3">
      <c r="A719" s="32">
        <v>718</v>
      </c>
      <c r="B719" s="32"/>
      <c r="C719" s="32" t="b">
        <f>_xlfn.XLOOKUP(Table6101112[[#This Row],[Category No]],Table8[Category No],Table8[Chapter List],FALSE)</f>
        <v>0</v>
      </c>
      <c r="D719" s="32"/>
      <c r="E719" s="34"/>
    </row>
    <row r="720" spans="1:5" x14ac:dyDescent="0.3">
      <c r="A720" s="32">
        <v>719</v>
      </c>
      <c r="B720" s="32"/>
      <c r="C720" s="32" t="b">
        <f>_xlfn.XLOOKUP(Table6101112[[#This Row],[Category No]],Table8[Category No],Table8[Chapter List],FALSE)</f>
        <v>0</v>
      </c>
      <c r="D720" s="32"/>
      <c r="E720" s="34"/>
    </row>
    <row r="721" spans="1:5" x14ac:dyDescent="0.3">
      <c r="A721" s="32">
        <v>720</v>
      </c>
      <c r="B721" s="32"/>
      <c r="C721" s="32" t="b">
        <f>_xlfn.XLOOKUP(Table6101112[[#This Row],[Category No]],Table8[Category No],Table8[Chapter List],FALSE)</f>
        <v>0</v>
      </c>
      <c r="D721" s="32"/>
      <c r="E721" s="34"/>
    </row>
    <row r="722" spans="1:5" x14ac:dyDescent="0.3">
      <c r="A722" s="32">
        <v>721</v>
      </c>
      <c r="B722" s="32"/>
      <c r="C722" s="32" t="b">
        <f>_xlfn.XLOOKUP(Table6101112[[#This Row],[Category No]],Table8[Category No],Table8[Chapter List],FALSE)</f>
        <v>0</v>
      </c>
      <c r="D722" s="32"/>
      <c r="E722" s="34"/>
    </row>
    <row r="723" spans="1:5" x14ac:dyDescent="0.3">
      <c r="A723" s="32">
        <v>722</v>
      </c>
      <c r="B723" s="32"/>
      <c r="C723" s="32" t="b">
        <f>_xlfn.XLOOKUP(Table6101112[[#This Row],[Category No]],Table8[Category No],Table8[Chapter List],FALSE)</f>
        <v>0</v>
      </c>
      <c r="D723" s="32"/>
      <c r="E723" s="34"/>
    </row>
    <row r="724" spans="1:5" x14ac:dyDescent="0.3">
      <c r="A724" s="32">
        <v>723</v>
      </c>
      <c r="B724" s="32"/>
      <c r="C724" s="32" t="b">
        <f>_xlfn.XLOOKUP(Table6101112[[#This Row],[Category No]],Table8[Category No],Table8[Chapter List],FALSE)</f>
        <v>0</v>
      </c>
      <c r="D724" s="32"/>
      <c r="E724" s="34"/>
    </row>
    <row r="725" spans="1:5" x14ac:dyDescent="0.3">
      <c r="A725" s="32">
        <v>724</v>
      </c>
      <c r="B725" s="32"/>
      <c r="C725" s="32" t="b">
        <f>_xlfn.XLOOKUP(Table6101112[[#This Row],[Category No]],Table8[Category No],Table8[Chapter List],FALSE)</f>
        <v>0</v>
      </c>
      <c r="D725" s="32"/>
      <c r="E725" s="34"/>
    </row>
    <row r="726" spans="1:5" x14ac:dyDescent="0.3">
      <c r="A726" s="32">
        <v>725</v>
      </c>
      <c r="B726" s="32"/>
      <c r="C726" s="32" t="b">
        <f>_xlfn.XLOOKUP(Table6101112[[#This Row],[Category No]],Table8[Category No],Table8[Chapter List],FALSE)</f>
        <v>0</v>
      </c>
      <c r="D726" s="32"/>
      <c r="E726" s="34"/>
    </row>
    <row r="727" spans="1:5" x14ac:dyDescent="0.3">
      <c r="A727" s="32">
        <v>726</v>
      </c>
      <c r="B727" s="32"/>
      <c r="C727" s="32" t="b">
        <f>_xlfn.XLOOKUP(Table6101112[[#This Row],[Category No]],Table8[Category No],Table8[Chapter List],FALSE)</f>
        <v>0</v>
      </c>
      <c r="D727" s="32"/>
      <c r="E727" s="34"/>
    </row>
    <row r="728" spans="1:5" x14ac:dyDescent="0.3">
      <c r="A728" s="32">
        <v>727</v>
      </c>
      <c r="B728" s="32"/>
      <c r="C728" s="32" t="b">
        <f>_xlfn.XLOOKUP(Table6101112[[#This Row],[Category No]],Table8[Category No],Table8[Chapter List],FALSE)</f>
        <v>0</v>
      </c>
      <c r="D728" s="32"/>
      <c r="E728" s="34"/>
    </row>
    <row r="729" spans="1:5" x14ac:dyDescent="0.3">
      <c r="A729" s="32">
        <v>728</v>
      </c>
      <c r="B729" s="32"/>
      <c r="C729" s="32" t="b">
        <f>_xlfn.XLOOKUP(Table6101112[[#This Row],[Category No]],Table8[Category No],Table8[Chapter List],FALSE)</f>
        <v>0</v>
      </c>
      <c r="D729" s="32"/>
      <c r="E729" s="34"/>
    </row>
    <row r="730" spans="1:5" x14ac:dyDescent="0.3">
      <c r="A730" s="32">
        <v>729</v>
      </c>
      <c r="B730" s="32"/>
      <c r="C730" s="32" t="b">
        <f>_xlfn.XLOOKUP(Table6101112[[#This Row],[Category No]],Table8[Category No],Table8[Chapter List],FALSE)</f>
        <v>0</v>
      </c>
      <c r="D730" s="32"/>
      <c r="E730" s="34"/>
    </row>
    <row r="731" spans="1:5" x14ac:dyDescent="0.3">
      <c r="A731" s="32">
        <v>730</v>
      </c>
      <c r="B731" s="32"/>
      <c r="C731" s="32" t="b">
        <f>_xlfn.XLOOKUP(Table6101112[[#This Row],[Category No]],Table8[Category No],Table8[Chapter List],FALSE)</f>
        <v>0</v>
      </c>
      <c r="D731" s="32"/>
      <c r="E731" s="34"/>
    </row>
    <row r="732" spans="1:5" x14ac:dyDescent="0.3">
      <c r="A732" s="32">
        <v>731</v>
      </c>
      <c r="B732" s="32"/>
      <c r="C732" s="32" t="b">
        <f>_xlfn.XLOOKUP(Table6101112[[#This Row],[Category No]],Table8[Category No],Table8[Chapter List],FALSE)</f>
        <v>0</v>
      </c>
      <c r="D732" s="32"/>
      <c r="E732" s="34"/>
    </row>
    <row r="733" spans="1:5" x14ac:dyDescent="0.3">
      <c r="A733" s="32">
        <v>732</v>
      </c>
      <c r="B733" s="32"/>
      <c r="C733" s="32" t="b">
        <f>_xlfn.XLOOKUP(Table6101112[[#This Row],[Category No]],Table8[Category No],Table8[Chapter List],FALSE)</f>
        <v>0</v>
      </c>
      <c r="D733" s="32"/>
      <c r="E733" s="34"/>
    </row>
    <row r="734" spans="1:5" x14ac:dyDescent="0.3">
      <c r="A734" s="32">
        <v>733</v>
      </c>
      <c r="B734" s="32"/>
      <c r="C734" s="32" t="b">
        <f>_xlfn.XLOOKUP(Table6101112[[#This Row],[Category No]],Table8[Category No],Table8[Chapter List],FALSE)</f>
        <v>0</v>
      </c>
      <c r="D734" s="32"/>
      <c r="E734" s="34"/>
    </row>
    <row r="735" spans="1:5" x14ac:dyDescent="0.3">
      <c r="A735" s="32">
        <v>734</v>
      </c>
      <c r="B735" s="32"/>
      <c r="C735" s="32" t="b">
        <f>_xlfn.XLOOKUP(Table6101112[[#This Row],[Category No]],Table8[Category No],Table8[Chapter List],FALSE)</f>
        <v>0</v>
      </c>
      <c r="D735" s="32"/>
      <c r="E735" s="34"/>
    </row>
    <row r="736" spans="1:5" x14ac:dyDescent="0.3">
      <c r="A736" s="32">
        <v>735</v>
      </c>
      <c r="B736" s="32"/>
      <c r="C736" s="32" t="b">
        <f>_xlfn.XLOOKUP(Table6101112[[#This Row],[Category No]],Table8[Category No],Table8[Chapter List],FALSE)</f>
        <v>0</v>
      </c>
      <c r="D736" s="32"/>
      <c r="E736" s="34"/>
    </row>
    <row r="737" spans="1:5" x14ac:dyDescent="0.3">
      <c r="A737" s="32">
        <v>736</v>
      </c>
      <c r="B737" s="32"/>
      <c r="C737" s="32" t="b">
        <f>_xlfn.XLOOKUP(Table6101112[[#This Row],[Category No]],Table8[Category No],Table8[Chapter List],FALSE)</f>
        <v>0</v>
      </c>
      <c r="D737" s="32"/>
      <c r="E737" s="34"/>
    </row>
    <row r="738" spans="1:5" x14ac:dyDescent="0.3">
      <c r="A738" s="32">
        <v>737</v>
      </c>
      <c r="B738" s="32"/>
      <c r="C738" s="32" t="b">
        <f>_xlfn.XLOOKUP(Table6101112[[#This Row],[Category No]],Table8[Category No],Table8[Chapter List],FALSE)</f>
        <v>0</v>
      </c>
      <c r="D738" s="32"/>
      <c r="E738" s="34"/>
    </row>
    <row r="739" spans="1:5" x14ac:dyDescent="0.3">
      <c r="A739" s="32">
        <v>738</v>
      </c>
      <c r="B739" s="32"/>
      <c r="C739" s="32" t="b">
        <f>_xlfn.XLOOKUP(Table6101112[[#This Row],[Category No]],Table8[Category No],Table8[Chapter List],FALSE)</f>
        <v>0</v>
      </c>
      <c r="D739" s="32"/>
      <c r="E739" s="34"/>
    </row>
    <row r="740" spans="1:5" x14ac:dyDescent="0.3">
      <c r="A740" s="32">
        <v>739</v>
      </c>
      <c r="B740" s="32"/>
      <c r="C740" s="32" t="b">
        <f>_xlfn.XLOOKUP(Table6101112[[#This Row],[Category No]],Table8[Category No],Table8[Chapter List],FALSE)</f>
        <v>0</v>
      </c>
      <c r="D740" s="32"/>
      <c r="E740" s="34"/>
    </row>
    <row r="741" spans="1:5" x14ac:dyDescent="0.3">
      <c r="A741" s="32">
        <v>740</v>
      </c>
      <c r="B741" s="32"/>
      <c r="C741" s="32" t="b">
        <f>_xlfn.XLOOKUP(Table6101112[[#This Row],[Category No]],Table8[Category No],Table8[Chapter List],FALSE)</f>
        <v>0</v>
      </c>
      <c r="D741" s="32"/>
      <c r="E741" s="34"/>
    </row>
    <row r="742" spans="1:5" x14ac:dyDescent="0.3">
      <c r="A742" s="32">
        <v>741</v>
      </c>
      <c r="B742" s="32"/>
      <c r="C742" s="32" t="b">
        <f>_xlfn.XLOOKUP(Table6101112[[#This Row],[Category No]],Table8[Category No],Table8[Chapter List],FALSE)</f>
        <v>0</v>
      </c>
      <c r="D742" s="32"/>
      <c r="E742" s="34"/>
    </row>
    <row r="743" spans="1:5" x14ac:dyDescent="0.3">
      <c r="A743" s="32">
        <v>742</v>
      </c>
      <c r="B743" s="32"/>
      <c r="C743" s="32" t="b">
        <f>_xlfn.XLOOKUP(Table6101112[[#This Row],[Category No]],Table8[Category No],Table8[Chapter List],FALSE)</f>
        <v>0</v>
      </c>
      <c r="D743" s="32"/>
      <c r="E743" s="34"/>
    </row>
    <row r="744" spans="1:5" x14ac:dyDescent="0.3">
      <c r="A744" s="32">
        <v>743</v>
      </c>
      <c r="B744" s="32"/>
      <c r="C744" s="32" t="b">
        <f>_xlfn.XLOOKUP(Table6101112[[#This Row],[Category No]],Table8[Category No],Table8[Chapter List],FALSE)</f>
        <v>0</v>
      </c>
      <c r="D744" s="32"/>
      <c r="E744" s="34"/>
    </row>
    <row r="745" spans="1:5" x14ac:dyDescent="0.3">
      <c r="A745" s="32">
        <v>744</v>
      </c>
      <c r="B745" s="32"/>
      <c r="C745" s="32" t="b">
        <f>_xlfn.XLOOKUP(Table6101112[[#This Row],[Category No]],Table8[Category No],Table8[Chapter List],FALSE)</f>
        <v>0</v>
      </c>
      <c r="D745" s="32"/>
      <c r="E745" s="34"/>
    </row>
    <row r="746" spans="1:5" x14ac:dyDescent="0.3">
      <c r="A746" s="32">
        <v>745</v>
      </c>
      <c r="B746" s="32"/>
      <c r="C746" s="32" t="b">
        <f>_xlfn.XLOOKUP(Table6101112[[#This Row],[Category No]],Table8[Category No],Table8[Chapter List],FALSE)</f>
        <v>0</v>
      </c>
      <c r="D746" s="32"/>
      <c r="E746" s="34"/>
    </row>
    <row r="747" spans="1:5" x14ac:dyDescent="0.3">
      <c r="A747" s="32">
        <v>746</v>
      </c>
      <c r="B747" s="32"/>
      <c r="C747" s="32" t="b">
        <f>_xlfn.XLOOKUP(Table6101112[[#This Row],[Category No]],Table8[Category No],Table8[Chapter List],FALSE)</f>
        <v>0</v>
      </c>
      <c r="D747" s="32"/>
      <c r="E747" s="34"/>
    </row>
    <row r="748" spans="1:5" x14ac:dyDescent="0.3">
      <c r="A748" s="32">
        <v>747</v>
      </c>
      <c r="B748" s="32"/>
      <c r="C748" s="32" t="b">
        <f>_xlfn.XLOOKUP(Table6101112[[#This Row],[Category No]],Table8[Category No],Table8[Chapter List],FALSE)</f>
        <v>0</v>
      </c>
      <c r="D748" s="32"/>
      <c r="E748" s="34"/>
    </row>
    <row r="749" spans="1:5" x14ac:dyDescent="0.3">
      <c r="A749" s="32">
        <v>748</v>
      </c>
      <c r="B749" s="32"/>
      <c r="C749" s="32" t="b">
        <f>_xlfn.XLOOKUP(Table6101112[[#This Row],[Category No]],Table8[Category No],Table8[Chapter List],FALSE)</f>
        <v>0</v>
      </c>
      <c r="D749" s="32"/>
      <c r="E749" s="34"/>
    </row>
    <row r="750" spans="1:5" x14ac:dyDescent="0.3">
      <c r="A750" s="32">
        <v>749</v>
      </c>
      <c r="B750" s="32"/>
      <c r="C750" s="32" t="b">
        <f>_xlfn.XLOOKUP(Table6101112[[#This Row],[Category No]],Table8[Category No],Table8[Chapter List],FALSE)</f>
        <v>0</v>
      </c>
      <c r="D750" s="32"/>
      <c r="E750" s="34"/>
    </row>
    <row r="751" spans="1:5" x14ac:dyDescent="0.3">
      <c r="A751" s="32">
        <v>750</v>
      </c>
      <c r="B751" s="32"/>
      <c r="C751" s="32" t="b">
        <f>_xlfn.XLOOKUP(Table6101112[[#This Row],[Category No]],Table8[Category No],Table8[Chapter List],FALSE)</f>
        <v>0</v>
      </c>
      <c r="D751" s="32"/>
      <c r="E751" s="34"/>
    </row>
    <row r="752" spans="1:5" x14ac:dyDescent="0.3">
      <c r="A752" s="32">
        <v>751</v>
      </c>
      <c r="B752" s="32"/>
      <c r="C752" s="32" t="b">
        <f>_xlfn.XLOOKUP(Table6101112[[#This Row],[Category No]],Table8[Category No],Table8[Chapter List],FALSE)</f>
        <v>0</v>
      </c>
      <c r="D752" s="32"/>
      <c r="E752" s="34"/>
    </row>
    <row r="753" spans="1:5" x14ac:dyDescent="0.3">
      <c r="A753" s="32">
        <v>752</v>
      </c>
      <c r="B753" s="32"/>
      <c r="C753" s="32" t="b">
        <f>_xlfn.XLOOKUP(Table6101112[[#This Row],[Category No]],Table8[Category No],Table8[Chapter List],FALSE)</f>
        <v>0</v>
      </c>
      <c r="D753" s="32"/>
      <c r="E753" s="34"/>
    </row>
    <row r="754" spans="1:5" x14ac:dyDescent="0.3">
      <c r="A754" s="32">
        <v>753</v>
      </c>
      <c r="B754" s="32"/>
      <c r="C754" s="32" t="b">
        <f>_xlfn.XLOOKUP(Table6101112[[#This Row],[Category No]],Table8[Category No],Table8[Chapter List],FALSE)</f>
        <v>0</v>
      </c>
      <c r="D754" s="32"/>
      <c r="E754" s="34"/>
    </row>
    <row r="755" spans="1:5" x14ac:dyDescent="0.3">
      <c r="A755" s="32">
        <v>754</v>
      </c>
      <c r="B755" s="32"/>
      <c r="C755" s="32" t="b">
        <f>_xlfn.XLOOKUP(Table6101112[[#This Row],[Category No]],Table8[Category No],Table8[Chapter List],FALSE)</f>
        <v>0</v>
      </c>
      <c r="D755" s="32"/>
      <c r="E755" s="34"/>
    </row>
    <row r="756" spans="1:5" x14ac:dyDescent="0.3">
      <c r="A756" s="32">
        <v>755</v>
      </c>
      <c r="B756" s="32"/>
      <c r="C756" s="32" t="b">
        <f>_xlfn.XLOOKUP(Table6101112[[#This Row],[Category No]],Table8[Category No],Table8[Chapter List],FALSE)</f>
        <v>0</v>
      </c>
      <c r="D756" s="32"/>
      <c r="E756" s="34"/>
    </row>
    <row r="757" spans="1:5" x14ac:dyDescent="0.3">
      <c r="A757" s="32">
        <v>756</v>
      </c>
      <c r="B757" s="32"/>
      <c r="C757" s="32" t="b">
        <f>_xlfn.XLOOKUP(Table6101112[[#This Row],[Category No]],Table8[Category No],Table8[Chapter List],FALSE)</f>
        <v>0</v>
      </c>
      <c r="D757" s="32"/>
      <c r="E757" s="34"/>
    </row>
    <row r="758" spans="1:5" x14ac:dyDescent="0.3">
      <c r="A758" s="32">
        <v>757</v>
      </c>
      <c r="B758" s="32"/>
      <c r="C758" s="32" t="b">
        <f>_xlfn.XLOOKUP(Table6101112[[#This Row],[Category No]],Table8[Category No],Table8[Chapter List],FALSE)</f>
        <v>0</v>
      </c>
      <c r="D758" s="32"/>
      <c r="E758" s="34"/>
    </row>
    <row r="759" spans="1:5" x14ac:dyDescent="0.3">
      <c r="A759" s="32">
        <v>758</v>
      </c>
      <c r="B759" s="32"/>
      <c r="C759" s="32" t="b">
        <f>_xlfn.XLOOKUP(Table6101112[[#This Row],[Category No]],Table8[Category No],Table8[Chapter List],FALSE)</f>
        <v>0</v>
      </c>
      <c r="D759" s="32"/>
      <c r="E759" s="34"/>
    </row>
    <row r="760" spans="1:5" x14ac:dyDescent="0.3">
      <c r="A760" s="32">
        <v>759</v>
      </c>
      <c r="B760" s="32"/>
      <c r="C760" s="32" t="b">
        <f>_xlfn.XLOOKUP(Table6101112[[#This Row],[Category No]],Table8[Category No],Table8[Chapter List],FALSE)</f>
        <v>0</v>
      </c>
      <c r="D760" s="32"/>
      <c r="E760" s="34"/>
    </row>
    <row r="761" spans="1:5" x14ac:dyDescent="0.3">
      <c r="A761" s="32">
        <v>760</v>
      </c>
      <c r="B761" s="32"/>
      <c r="C761" s="32" t="b">
        <f>_xlfn.XLOOKUP(Table6101112[[#This Row],[Category No]],Table8[Category No],Table8[Chapter List],FALSE)</f>
        <v>0</v>
      </c>
      <c r="D761" s="32"/>
      <c r="E761" s="34"/>
    </row>
    <row r="762" spans="1:5" x14ac:dyDescent="0.3">
      <c r="A762" s="32">
        <v>761</v>
      </c>
      <c r="B762" s="32"/>
      <c r="C762" s="32" t="b">
        <f>_xlfn.XLOOKUP(Table6101112[[#This Row],[Category No]],Table8[Category No],Table8[Chapter List],FALSE)</f>
        <v>0</v>
      </c>
      <c r="D762" s="32"/>
      <c r="E762" s="34"/>
    </row>
    <row r="763" spans="1:5" x14ac:dyDescent="0.3">
      <c r="A763" s="32">
        <v>762</v>
      </c>
      <c r="B763" s="32"/>
      <c r="C763" s="32" t="b">
        <f>_xlfn.XLOOKUP(Table6101112[[#This Row],[Category No]],Table8[Category No],Table8[Chapter List],FALSE)</f>
        <v>0</v>
      </c>
      <c r="D763" s="32"/>
      <c r="E763" s="34"/>
    </row>
    <row r="764" spans="1:5" x14ac:dyDescent="0.3">
      <c r="A764" s="32">
        <v>763</v>
      </c>
      <c r="B764" s="32"/>
      <c r="C764" s="32" t="b">
        <f>_xlfn.XLOOKUP(Table6101112[[#This Row],[Category No]],Table8[Category No],Table8[Chapter List],FALSE)</f>
        <v>0</v>
      </c>
      <c r="D764" s="32"/>
      <c r="E764" s="34"/>
    </row>
    <row r="765" spans="1:5" x14ac:dyDescent="0.3">
      <c r="A765" s="32">
        <v>764</v>
      </c>
      <c r="B765" s="32"/>
      <c r="C765" s="32" t="b">
        <f>_xlfn.XLOOKUP(Table6101112[[#This Row],[Category No]],Table8[Category No],Table8[Chapter List],FALSE)</f>
        <v>0</v>
      </c>
      <c r="D765" s="32"/>
      <c r="E765" s="34"/>
    </row>
    <row r="766" spans="1:5" x14ac:dyDescent="0.3">
      <c r="A766" s="32">
        <v>765</v>
      </c>
      <c r="B766" s="32"/>
      <c r="C766" s="32" t="b">
        <f>_xlfn.XLOOKUP(Table6101112[[#This Row],[Category No]],Table8[Category No],Table8[Chapter List],FALSE)</f>
        <v>0</v>
      </c>
      <c r="D766" s="32"/>
      <c r="E766" s="34"/>
    </row>
    <row r="767" spans="1:5" x14ac:dyDescent="0.3">
      <c r="A767" s="32">
        <v>766</v>
      </c>
      <c r="B767" s="32"/>
      <c r="C767" s="32" t="b">
        <f>_xlfn.XLOOKUP(Table6101112[[#This Row],[Category No]],Table8[Category No],Table8[Chapter List],FALSE)</f>
        <v>0</v>
      </c>
      <c r="D767" s="32"/>
      <c r="E767" s="34"/>
    </row>
    <row r="768" spans="1:5" x14ac:dyDescent="0.3">
      <c r="A768" s="32">
        <v>767</v>
      </c>
      <c r="B768" s="32"/>
      <c r="C768" s="32" t="b">
        <f>_xlfn.XLOOKUP(Table6101112[[#This Row],[Category No]],Table8[Category No],Table8[Chapter List],FALSE)</f>
        <v>0</v>
      </c>
      <c r="D768" s="32"/>
      <c r="E768" s="34"/>
    </row>
    <row r="769" spans="1:5" x14ac:dyDescent="0.3">
      <c r="A769" s="32">
        <v>768</v>
      </c>
      <c r="B769" s="32"/>
      <c r="C769" s="32" t="b">
        <f>_xlfn.XLOOKUP(Table6101112[[#This Row],[Category No]],Table8[Category No],Table8[Chapter List],FALSE)</f>
        <v>0</v>
      </c>
      <c r="D769" s="32"/>
      <c r="E769" s="34"/>
    </row>
    <row r="770" spans="1:5" x14ac:dyDescent="0.3">
      <c r="A770" s="32">
        <v>769</v>
      </c>
      <c r="B770" s="32"/>
      <c r="C770" s="32" t="b">
        <f>_xlfn.XLOOKUP(Table6101112[[#This Row],[Category No]],Table8[Category No],Table8[Chapter List],FALSE)</f>
        <v>0</v>
      </c>
      <c r="D770" s="32"/>
      <c r="E770" s="34"/>
    </row>
    <row r="771" spans="1:5" x14ac:dyDescent="0.3">
      <c r="A771" s="32">
        <v>770</v>
      </c>
      <c r="B771" s="32"/>
      <c r="C771" s="32" t="b">
        <f>_xlfn.XLOOKUP(Table6101112[[#This Row],[Category No]],Table8[Category No],Table8[Chapter List],FALSE)</f>
        <v>0</v>
      </c>
      <c r="D771" s="32"/>
      <c r="E771" s="34"/>
    </row>
    <row r="772" spans="1:5" x14ac:dyDescent="0.3">
      <c r="A772" s="32">
        <v>771</v>
      </c>
      <c r="B772" s="32"/>
      <c r="C772" s="32" t="b">
        <f>_xlfn.XLOOKUP(Table6101112[[#This Row],[Category No]],Table8[Category No],Table8[Chapter List],FALSE)</f>
        <v>0</v>
      </c>
      <c r="D772" s="32"/>
      <c r="E772" s="34"/>
    </row>
    <row r="773" spans="1:5" x14ac:dyDescent="0.3">
      <c r="A773" s="32">
        <v>772</v>
      </c>
      <c r="B773" s="32"/>
      <c r="C773" s="32" t="b">
        <f>_xlfn.XLOOKUP(Table6101112[[#This Row],[Category No]],Table8[Category No],Table8[Chapter List],FALSE)</f>
        <v>0</v>
      </c>
      <c r="D773" s="32"/>
      <c r="E773" s="34"/>
    </row>
    <row r="774" spans="1:5" x14ac:dyDescent="0.3">
      <c r="A774" s="32">
        <v>773</v>
      </c>
      <c r="B774" s="32"/>
      <c r="C774" s="32" t="b">
        <f>_xlfn.XLOOKUP(Table6101112[[#This Row],[Category No]],Table8[Category No],Table8[Chapter List],FALSE)</f>
        <v>0</v>
      </c>
      <c r="D774" s="32"/>
      <c r="E774" s="34"/>
    </row>
    <row r="775" spans="1:5" x14ac:dyDescent="0.3">
      <c r="A775" s="32">
        <v>774</v>
      </c>
      <c r="B775" s="32"/>
      <c r="C775" s="32" t="b">
        <f>_xlfn.XLOOKUP(Table6101112[[#This Row],[Category No]],Table8[Category No],Table8[Chapter List],FALSE)</f>
        <v>0</v>
      </c>
      <c r="D775" s="32"/>
      <c r="E775" s="34"/>
    </row>
    <row r="776" spans="1:5" x14ac:dyDescent="0.3">
      <c r="A776" s="32">
        <v>775</v>
      </c>
      <c r="B776" s="32"/>
      <c r="C776" s="32" t="b">
        <f>_xlfn.XLOOKUP(Table6101112[[#This Row],[Category No]],Table8[Category No],Table8[Chapter List],FALSE)</f>
        <v>0</v>
      </c>
      <c r="D776" s="32"/>
      <c r="E776" s="34"/>
    </row>
    <row r="777" spans="1:5" x14ac:dyDescent="0.3">
      <c r="A777" s="32">
        <v>776</v>
      </c>
      <c r="B777" s="32"/>
      <c r="C777" s="32" t="b">
        <f>_xlfn.XLOOKUP(Table6101112[[#This Row],[Category No]],Table8[Category No],Table8[Chapter List],FALSE)</f>
        <v>0</v>
      </c>
      <c r="D777" s="32"/>
      <c r="E777" s="34"/>
    </row>
    <row r="778" spans="1:5" x14ac:dyDescent="0.3">
      <c r="A778" s="32">
        <v>777</v>
      </c>
      <c r="B778" s="32"/>
      <c r="C778" s="32" t="b">
        <f>_xlfn.XLOOKUP(Table6101112[[#This Row],[Category No]],Table8[Category No],Table8[Chapter List],FALSE)</f>
        <v>0</v>
      </c>
      <c r="D778" s="32"/>
      <c r="E778" s="34"/>
    </row>
    <row r="779" spans="1:5" x14ac:dyDescent="0.3">
      <c r="A779" s="32">
        <v>778</v>
      </c>
      <c r="B779" s="32"/>
      <c r="C779" s="32" t="b">
        <f>_xlfn.XLOOKUP(Table6101112[[#This Row],[Category No]],Table8[Category No],Table8[Chapter List],FALSE)</f>
        <v>0</v>
      </c>
      <c r="D779" s="32"/>
      <c r="E779" s="34"/>
    </row>
    <row r="780" spans="1:5" x14ac:dyDescent="0.3">
      <c r="A780" s="32">
        <v>779</v>
      </c>
      <c r="B780" s="32"/>
      <c r="C780" s="32" t="b">
        <f>_xlfn.XLOOKUP(Table6101112[[#This Row],[Category No]],Table8[Category No],Table8[Chapter List],FALSE)</f>
        <v>0</v>
      </c>
      <c r="D780" s="32"/>
      <c r="E780" s="34"/>
    </row>
    <row r="781" spans="1:5" x14ac:dyDescent="0.3">
      <c r="A781" s="32">
        <v>780</v>
      </c>
      <c r="B781" s="32"/>
      <c r="C781" s="32" t="b">
        <f>_xlfn.XLOOKUP(Table6101112[[#This Row],[Category No]],Table8[Category No],Table8[Chapter List],FALSE)</f>
        <v>0</v>
      </c>
      <c r="D781" s="32"/>
      <c r="E781" s="34"/>
    </row>
    <row r="782" spans="1:5" x14ac:dyDescent="0.3">
      <c r="A782" s="32">
        <v>781</v>
      </c>
      <c r="B782" s="32"/>
      <c r="C782" s="32" t="b">
        <f>_xlfn.XLOOKUP(Table6101112[[#This Row],[Category No]],Table8[Category No],Table8[Chapter List],FALSE)</f>
        <v>0</v>
      </c>
      <c r="D782" s="32"/>
      <c r="E782" s="34"/>
    </row>
    <row r="783" spans="1:5" x14ac:dyDescent="0.3">
      <c r="A783" s="32">
        <v>782</v>
      </c>
      <c r="B783" s="32"/>
      <c r="C783" s="32" t="b">
        <f>_xlfn.XLOOKUP(Table6101112[[#This Row],[Category No]],Table8[Category No],Table8[Chapter List],FALSE)</f>
        <v>0</v>
      </c>
      <c r="D783" s="32"/>
      <c r="E783" s="34"/>
    </row>
    <row r="784" spans="1:5" x14ac:dyDescent="0.3">
      <c r="A784" s="32">
        <v>783</v>
      </c>
      <c r="B784" s="32"/>
      <c r="C784" s="32" t="b">
        <f>_xlfn.XLOOKUP(Table6101112[[#This Row],[Category No]],Table8[Category No],Table8[Chapter List],FALSE)</f>
        <v>0</v>
      </c>
      <c r="D784" s="32"/>
      <c r="E784" s="34"/>
    </row>
    <row r="785" spans="1:5" x14ac:dyDescent="0.3">
      <c r="A785" s="32">
        <v>784</v>
      </c>
      <c r="B785" s="32"/>
      <c r="C785" s="32" t="b">
        <f>_xlfn.XLOOKUP(Table6101112[[#This Row],[Category No]],Table8[Category No],Table8[Chapter List],FALSE)</f>
        <v>0</v>
      </c>
      <c r="D785" s="32"/>
      <c r="E785" s="34"/>
    </row>
    <row r="786" spans="1:5" x14ac:dyDescent="0.3">
      <c r="A786" s="32">
        <v>785</v>
      </c>
      <c r="B786" s="32"/>
      <c r="C786" s="32" t="b">
        <f>_xlfn.XLOOKUP(Table6101112[[#This Row],[Category No]],Table8[Category No],Table8[Chapter List],FALSE)</f>
        <v>0</v>
      </c>
      <c r="D786" s="32"/>
      <c r="E786" s="34"/>
    </row>
    <row r="787" spans="1:5" x14ac:dyDescent="0.3">
      <c r="A787" s="32">
        <v>786</v>
      </c>
      <c r="B787" s="32"/>
      <c r="C787" s="32" t="b">
        <f>_xlfn.XLOOKUP(Table6101112[[#This Row],[Category No]],Table8[Category No],Table8[Chapter List],FALSE)</f>
        <v>0</v>
      </c>
      <c r="D787" s="32"/>
      <c r="E787" s="34"/>
    </row>
    <row r="788" spans="1:5" x14ac:dyDescent="0.3">
      <c r="A788" s="32">
        <v>787</v>
      </c>
      <c r="B788" s="32"/>
      <c r="C788" s="32" t="b">
        <f>_xlfn.XLOOKUP(Table6101112[[#This Row],[Category No]],Table8[Category No],Table8[Chapter List],FALSE)</f>
        <v>0</v>
      </c>
      <c r="D788" s="32"/>
      <c r="E788" s="34"/>
    </row>
    <row r="789" spans="1:5" x14ac:dyDescent="0.3">
      <c r="A789" s="32">
        <v>788</v>
      </c>
      <c r="B789" s="32"/>
      <c r="C789" s="32" t="b">
        <f>_xlfn.XLOOKUP(Table6101112[[#This Row],[Category No]],Table8[Category No],Table8[Chapter List],FALSE)</f>
        <v>0</v>
      </c>
      <c r="D789" s="32"/>
      <c r="E789" s="34"/>
    </row>
    <row r="790" spans="1:5" x14ac:dyDescent="0.3">
      <c r="A790" s="32">
        <v>789</v>
      </c>
      <c r="B790" s="32"/>
      <c r="C790" s="32" t="b">
        <f>_xlfn.XLOOKUP(Table6101112[[#This Row],[Category No]],Table8[Category No],Table8[Chapter List],FALSE)</f>
        <v>0</v>
      </c>
      <c r="D790" s="32"/>
      <c r="E790" s="34"/>
    </row>
    <row r="791" spans="1:5" x14ac:dyDescent="0.3">
      <c r="A791" s="32">
        <v>790</v>
      </c>
      <c r="B791" s="32"/>
      <c r="C791" s="32" t="b">
        <f>_xlfn.XLOOKUP(Table6101112[[#This Row],[Category No]],Table8[Category No],Table8[Chapter List],FALSE)</f>
        <v>0</v>
      </c>
      <c r="D791" s="32"/>
      <c r="E791" s="34"/>
    </row>
    <row r="792" spans="1:5" x14ac:dyDescent="0.3">
      <c r="A792" s="32">
        <v>791</v>
      </c>
      <c r="B792" s="32"/>
      <c r="C792" s="32" t="b">
        <f>_xlfn.XLOOKUP(Table6101112[[#This Row],[Category No]],Table8[Category No],Table8[Chapter List],FALSE)</f>
        <v>0</v>
      </c>
      <c r="D792" s="32"/>
      <c r="E792" s="34"/>
    </row>
    <row r="793" spans="1:5" x14ac:dyDescent="0.3">
      <c r="A793" s="32">
        <v>792</v>
      </c>
      <c r="B793" s="32"/>
      <c r="C793" s="32" t="b">
        <f>_xlfn.XLOOKUP(Table6101112[[#This Row],[Category No]],Table8[Category No],Table8[Chapter List],FALSE)</f>
        <v>0</v>
      </c>
      <c r="D793" s="32"/>
      <c r="E793" s="34"/>
    </row>
    <row r="794" spans="1:5" x14ac:dyDescent="0.3">
      <c r="A794" s="32">
        <v>793</v>
      </c>
      <c r="B794" s="32"/>
      <c r="C794" s="32" t="b">
        <f>_xlfn.XLOOKUP(Table6101112[[#This Row],[Category No]],Table8[Category No],Table8[Chapter List],FALSE)</f>
        <v>0</v>
      </c>
      <c r="D794" s="32"/>
      <c r="E794" s="34"/>
    </row>
    <row r="795" spans="1:5" x14ac:dyDescent="0.3">
      <c r="A795" s="32">
        <v>794</v>
      </c>
      <c r="B795" s="32"/>
      <c r="C795" s="32" t="b">
        <f>_xlfn.XLOOKUP(Table6101112[[#This Row],[Category No]],Table8[Category No],Table8[Chapter List],FALSE)</f>
        <v>0</v>
      </c>
      <c r="D795" s="32"/>
      <c r="E795" s="34"/>
    </row>
    <row r="796" spans="1:5" x14ac:dyDescent="0.3">
      <c r="A796" s="32">
        <v>795</v>
      </c>
      <c r="B796" s="32"/>
      <c r="C796" s="32" t="b">
        <f>_xlfn.XLOOKUP(Table6101112[[#This Row],[Category No]],Table8[Category No],Table8[Chapter List],FALSE)</f>
        <v>0</v>
      </c>
      <c r="D796" s="32"/>
      <c r="E796" s="34"/>
    </row>
    <row r="797" spans="1:5" x14ac:dyDescent="0.3">
      <c r="A797" s="32">
        <v>796</v>
      </c>
      <c r="B797" s="32"/>
      <c r="C797" s="32" t="b">
        <f>_xlfn.XLOOKUP(Table6101112[[#This Row],[Category No]],Table8[Category No],Table8[Chapter List],FALSE)</f>
        <v>0</v>
      </c>
      <c r="D797" s="32"/>
      <c r="E797" s="34"/>
    </row>
    <row r="798" spans="1:5" x14ac:dyDescent="0.3">
      <c r="A798" s="32">
        <v>797</v>
      </c>
      <c r="B798" s="32"/>
      <c r="C798" s="32" t="b">
        <f>_xlfn.XLOOKUP(Table6101112[[#This Row],[Category No]],Table8[Category No],Table8[Chapter List],FALSE)</f>
        <v>0</v>
      </c>
      <c r="D798" s="32"/>
      <c r="E798" s="34"/>
    </row>
    <row r="799" spans="1:5" x14ac:dyDescent="0.3">
      <c r="A799" s="32">
        <v>798</v>
      </c>
      <c r="B799" s="32"/>
      <c r="C799" s="32" t="b">
        <f>_xlfn.XLOOKUP(Table6101112[[#This Row],[Category No]],Table8[Category No],Table8[Chapter List],FALSE)</f>
        <v>0</v>
      </c>
      <c r="D799" s="32"/>
      <c r="E799" s="34"/>
    </row>
    <row r="800" spans="1:5" x14ac:dyDescent="0.3">
      <c r="A800" s="32">
        <v>799</v>
      </c>
      <c r="B800" s="32"/>
      <c r="C800" s="32" t="b">
        <f>_xlfn.XLOOKUP(Table6101112[[#This Row],[Category No]],Table8[Category No],Table8[Chapter List],FALSE)</f>
        <v>0</v>
      </c>
      <c r="D800" s="32"/>
      <c r="E800" s="34"/>
    </row>
    <row r="801" spans="1:5" x14ac:dyDescent="0.3">
      <c r="A801" s="32">
        <v>800</v>
      </c>
      <c r="B801" s="32"/>
      <c r="C801" s="32" t="b">
        <f>_xlfn.XLOOKUP(Table6101112[[#This Row],[Category No]],Table8[Category No],Table8[Chapter List],FALSE)</f>
        <v>0</v>
      </c>
      <c r="D801" s="32"/>
      <c r="E801" s="34"/>
    </row>
    <row r="802" spans="1:5" x14ac:dyDescent="0.3">
      <c r="A802" s="32">
        <v>801</v>
      </c>
      <c r="B802" s="32"/>
      <c r="C802" s="32" t="b">
        <f>_xlfn.XLOOKUP(Table6101112[[#This Row],[Category No]],Table8[Category No],Table8[Chapter List],FALSE)</f>
        <v>0</v>
      </c>
      <c r="D802" s="32"/>
      <c r="E802" s="34"/>
    </row>
    <row r="803" spans="1:5" x14ac:dyDescent="0.3">
      <c r="A803" s="32">
        <v>802</v>
      </c>
      <c r="B803" s="32"/>
      <c r="C803" s="32" t="b">
        <f>_xlfn.XLOOKUP(Table6101112[[#This Row],[Category No]],Table8[Category No],Table8[Chapter List],FALSE)</f>
        <v>0</v>
      </c>
      <c r="D803" s="32"/>
      <c r="E803" s="34"/>
    </row>
    <row r="804" spans="1:5" x14ac:dyDescent="0.3">
      <c r="A804" s="32">
        <v>803</v>
      </c>
      <c r="B804" s="32"/>
      <c r="C804" s="32" t="b">
        <f>_xlfn.XLOOKUP(Table6101112[[#This Row],[Category No]],Table8[Category No],Table8[Chapter List],FALSE)</f>
        <v>0</v>
      </c>
      <c r="D804" s="32"/>
      <c r="E804" s="34"/>
    </row>
    <row r="805" spans="1:5" x14ac:dyDescent="0.3">
      <c r="A805" s="32">
        <v>804</v>
      </c>
      <c r="B805" s="32"/>
      <c r="C805" s="32" t="b">
        <f>_xlfn.XLOOKUP(Table6101112[[#This Row],[Category No]],Table8[Category No],Table8[Chapter List],FALSE)</f>
        <v>0</v>
      </c>
      <c r="D805" s="32"/>
      <c r="E805" s="34"/>
    </row>
    <row r="806" spans="1:5" x14ac:dyDescent="0.3">
      <c r="A806" s="32">
        <v>805</v>
      </c>
      <c r="B806" s="32"/>
      <c r="C806" s="32" t="b">
        <f>_xlfn.XLOOKUP(Table6101112[[#This Row],[Category No]],Table8[Category No],Table8[Chapter List],FALSE)</f>
        <v>0</v>
      </c>
      <c r="D806" s="32"/>
      <c r="E806" s="34"/>
    </row>
    <row r="807" spans="1:5" x14ac:dyDescent="0.3">
      <c r="A807" s="32">
        <v>806</v>
      </c>
      <c r="B807" s="32"/>
      <c r="C807" s="32" t="b">
        <f>_xlfn.XLOOKUP(Table6101112[[#This Row],[Category No]],Table8[Category No],Table8[Chapter List],FALSE)</f>
        <v>0</v>
      </c>
      <c r="D807" s="32"/>
      <c r="E807" s="34"/>
    </row>
    <row r="808" spans="1:5" x14ac:dyDescent="0.3">
      <c r="A808" s="32">
        <v>807</v>
      </c>
      <c r="B808" s="32"/>
      <c r="C808" s="32" t="b">
        <f>_xlfn.XLOOKUP(Table6101112[[#This Row],[Category No]],Table8[Category No],Table8[Chapter List],FALSE)</f>
        <v>0</v>
      </c>
      <c r="D808" s="32"/>
      <c r="E808" s="34"/>
    </row>
    <row r="809" spans="1:5" x14ac:dyDescent="0.3">
      <c r="A809" s="32">
        <v>808</v>
      </c>
      <c r="B809" s="32"/>
      <c r="C809" s="32" t="b">
        <f>_xlfn.XLOOKUP(Table6101112[[#This Row],[Category No]],Table8[Category No],Table8[Chapter List],FALSE)</f>
        <v>0</v>
      </c>
      <c r="D809" s="32"/>
      <c r="E809" s="34"/>
    </row>
    <row r="810" spans="1:5" x14ac:dyDescent="0.3">
      <c r="A810" s="32">
        <v>809</v>
      </c>
      <c r="B810" s="32"/>
      <c r="C810" s="32" t="b">
        <f>_xlfn.XLOOKUP(Table6101112[[#This Row],[Category No]],Table8[Category No],Table8[Chapter List],FALSE)</f>
        <v>0</v>
      </c>
      <c r="D810" s="32"/>
      <c r="E810" s="34"/>
    </row>
    <row r="811" spans="1:5" x14ac:dyDescent="0.3">
      <c r="A811" s="32">
        <v>810</v>
      </c>
      <c r="B811" s="32"/>
      <c r="C811" s="32" t="b">
        <f>_xlfn.XLOOKUP(Table6101112[[#This Row],[Category No]],Table8[Category No],Table8[Chapter List],FALSE)</f>
        <v>0</v>
      </c>
      <c r="D811" s="32"/>
      <c r="E811" s="34"/>
    </row>
    <row r="812" spans="1:5" x14ac:dyDescent="0.3">
      <c r="A812" s="32">
        <v>811</v>
      </c>
      <c r="B812" s="32"/>
      <c r="C812" s="32" t="b">
        <f>_xlfn.XLOOKUP(Table6101112[[#This Row],[Category No]],Table8[Category No],Table8[Chapter List],FALSE)</f>
        <v>0</v>
      </c>
      <c r="D812" s="32"/>
      <c r="E812" s="34"/>
    </row>
    <row r="813" spans="1:5" x14ac:dyDescent="0.3">
      <c r="A813" s="32">
        <v>812</v>
      </c>
      <c r="B813" s="32"/>
      <c r="C813" s="32" t="b">
        <f>_xlfn.XLOOKUP(Table6101112[[#This Row],[Category No]],Table8[Category No],Table8[Chapter List],FALSE)</f>
        <v>0</v>
      </c>
      <c r="D813" s="32"/>
      <c r="E813" s="34"/>
    </row>
    <row r="814" spans="1:5" x14ac:dyDescent="0.3">
      <c r="A814" s="32">
        <v>813</v>
      </c>
      <c r="B814" s="32"/>
      <c r="C814" s="32" t="b">
        <f>_xlfn.XLOOKUP(Table6101112[[#This Row],[Category No]],Table8[Category No],Table8[Chapter List],FALSE)</f>
        <v>0</v>
      </c>
      <c r="D814" s="32"/>
      <c r="E814" s="34"/>
    </row>
    <row r="815" spans="1:5" x14ac:dyDescent="0.3">
      <c r="A815" s="32">
        <v>814</v>
      </c>
      <c r="B815" s="32"/>
      <c r="C815" s="32" t="b">
        <f>_xlfn.XLOOKUP(Table6101112[[#This Row],[Category No]],Table8[Category No],Table8[Chapter List],FALSE)</f>
        <v>0</v>
      </c>
      <c r="D815" s="32"/>
      <c r="E815" s="34"/>
    </row>
    <row r="816" spans="1:5" x14ac:dyDescent="0.3">
      <c r="A816" s="32">
        <v>815</v>
      </c>
      <c r="B816" s="32"/>
      <c r="C816" s="32" t="b">
        <f>_xlfn.XLOOKUP(Table6101112[[#This Row],[Category No]],Table8[Category No],Table8[Chapter List],FALSE)</f>
        <v>0</v>
      </c>
      <c r="D816" s="32"/>
      <c r="E816" s="34"/>
    </row>
    <row r="817" spans="1:5" x14ac:dyDescent="0.3">
      <c r="A817" s="32">
        <v>816</v>
      </c>
      <c r="B817" s="32"/>
      <c r="C817" s="32" t="b">
        <f>_xlfn.XLOOKUP(Table6101112[[#This Row],[Category No]],Table8[Category No],Table8[Chapter List],FALSE)</f>
        <v>0</v>
      </c>
      <c r="D817" s="32"/>
      <c r="E817" s="34"/>
    </row>
    <row r="818" spans="1:5" x14ac:dyDescent="0.3">
      <c r="A818" s="32">
        <v>817</v>
      </c>
      <c r="B818" s="32"/>
      <c r="C818" s="32" t="b">
        <f>_xlfn.XLOOKUP(Table6101112[[#This Row],[Category No]],Table8[Category No],Table8[Chapter List],FALSE)</f>
        <v>0</v>
      </c>
      <c r="D818" s="32"/>
      <c r="E818" s="34"/>
    </row>
    <row r="819" spans="1:5" x14ac:dyDescent="0.3">
      <c r="A819" s="32">
        <v>818</v>
      </c>
      <c r="B819" s="32"/>
      <c r="C819" s="32" t="b">
        <f>_xlfn.XLOOKUP(Table6101112[[#This Row],[Category No]],Table8[Category No],Table8[Chapter List],FALSE)</f>
        <v>0</v>
      </c>
      <c r="D819" s="32"/>
      <c r="E819" s="34"/>
    </row>
    <row r="820" spans="1:5" x14ac:dyDescent="0.3">
      <c r="A820" s="32">
        <v>819</v>
      </c>
      <c r="B820" s="32"/>
      <c r="C820" s="32" t="b">
        <f>_xlfn.XLOOKUP(Table6101112[[#This Row],[Category No]],Table8[Category No],Table8[Chapter List],FALSE)</f>
        <v>0</v>
      </c>
      <c r="D820" s="32"/>
      <c r="E820" s="34"/>
    </row>
    <row r="821" spans="1:5" x14ac:dyDescent="0.3">
      <c r="A821" s="32">
        <v>820</v>
      </c>
      <c r="B821" s="32"/>
      <c r="C821" s="32" t="b">
        <f>_xlfn.XLOOKUP(Table6101112[[#This Row],[Category No]],Table8[Category No],Table8[Chapter List],FALSE)</f>
        <v>0</v>
      </c>
      <c r="D821" s="32"/>
      <c r="E821" s="34"/>
    </row>
    <row r="822" spans="1:5" x14ac:dyDescent="0.3">
      <c r="A822" s="32">
        <v>821</v>
      </c>
      <c r="B822" s="32"/>
      <c r="C822" s="32" t="b">
        <f>_xlfn.XLOOKUP(Table6101112[[#This Row],[Category No]],Table8[Category No],Table8[Chapter List],FALSE)</f>
        <v>0</v>
      </c>
      <c r="D822" s="32"/>
      <c r="E822" s="34"/>
    </row>
    <row r="823" spans="1:5" x14ac:dyDescent="0.3">
      <c r="A823" s="32">
        <v>822</v>
      </c>
      <c r="B823" s="32"/>
      <c r="C823" s="32" t="b">
        <f>_xlfn.XLOOKUP(Table6101112[[#This Row],[Category No]],Table8[Category No],Table8[Chapter List],FALSE)</f>
        <v>0</v>
      </c>
      <c r="D823" s="32"/>
      <c r="E823" s="34"/>
    </row>
    <row r="824" spans="1:5" x14ac:dyDescent="0.3">
      <c r="A824" s="32">
        <v>823</v>
      </c>
      <c r="B824" s="32"/>
      <c r="C824" s="32" t="b">
        <f>_xlfn.XLOOKUP(Table6101112[[#This Row],[Category No]],Table8[Category No],Table8[Chapter List],FALSE)</f>
        <v>0</v>
      </c>
      <c r="D824" s="32"/>
      <c r="E824" s="34"/>
    </row>
    <row r="825" spans="1:5" x14ac:dyDescent="0.3">
      <c r="A825" s="32">
        <v>824</v>
      </c>
      <c r="B825" s="32"/>
      <c r="C825" s="32" t="b">
        <f>_xlfn.XLOOKUP(Table6101112[[#This Row],[Category No]],Table8[Category No],Table8[Chapter List],FALSE)</f>
        <v>0</v>
      </c>
      <c r="D825" s="32"/>
      <c r="E825" s="34"/>
    </row>
    <row r="826" spans="1:5" x14ac:dyDescent="0.3">
      <c r="A826" s="32">
        <v>825</v>
      </c>
      <c r="B826" s="32"/>
      <c r="C826" s="32" t="b">
        <f>_xlfn.XLOOKUP(Table6101112[[#This Row],[Category No]],Table8[Category No],Table8[Chapter List],FALSE)</f>
        <v>0</v>
      </c>
      <c r="D826" s="32"/>
      <c r="E826" s="34"/>
    </row>
    <row r="827" spans="1:5" x14ac:dyDescent="0.3">
      <c r="A827" s="32">
        <v>826</v>
      </c>
      <c r="B827" s="32"/>
      <c r="C827" s="32" t="b">
        <f>_xlfn.XLOOKUP(Table6101112[[#This Row],[Category No]],Table8[Category No],Table8[Chapter List],FALSE)</f>
        <v>0</v>
      </c>
      <c r="D827" s="32"/>
      <c r="E827" s="34"/>
    </row>
    <row r="828" spans="1:5" x14ac:dyDescent="0.3">
      <c r="A828" s="32">
        <v>827</v>
      </c>
      <c r="B828" s="32"/>
      <c r="C828" s="32" t="b">
        <f>_xlfn.XLOOKUP(Table6101112[[#This Row],[Category No]],Table8[Category No],Table8[Chapter List],FALSE)</f>
        <v>0</v>
      </c>
      <c r="D828" s="32"/>
      <c r="E828" s="34"/>
    </row>
    <row r="829" spans="1:5" x14ac:dyDescent="0.3">
      <c r="A829" s="32">
        <v>828</v>
      </c>
      <c r="B829" s="32"/>
      <c r="C829" s="32" t="b">
        <f>_xlfn.XLOOKUP(Table6101112[[#This Row],[Category No]],Table8[Category No],Table8[Chapter List],FALSE)</f>
        <v>0</v>
      </c>
      <c r="D829" s="32"/>
      <c r="E829" s="34"/>
    </row>
    <row r="830" spans="1:5" x14ac:dyDescent="0.3">
      <c r="A830" s="32">
        <v>829</v>
      </c>
      <c r="B830" s="32"/>
      <c r="C830" s="32" t="b">
        <f>_xlfn.XLOOKUP(Table6101112[[#This Row],[Category No]],Table8[Category No],Table8[Chapter List],FALSE)</f>
        <v>0</v>
      </c>
      <c r="D830" s="32"/>
      <c r="E830" s="34"/>
    </row>
    <row r="831" spans="1:5" x14ac:dyDescent="0.3">
      <c r="A831" s="32">
        <v>830</v>
      </c>
      <c r="B831" s="32"/>
      <c r="C831" s="32" t="b">
        <f>_xlfn.XLOOKUP(Table6101112[[#This Row],[Category No]],Table8[Category No],Table8[Chapter List],FALSE)</f>
        <v>0</v>
      </c>
      <c r="D831" s="32"/>
      <c r="E831" s="34"/>
    </row>
    <row r="832" spans="1:5" x14ac:dyDescent="0.3">
      <c r="A832" s="32">
        <v>831</v>
      </c>
      <c r="B832" s="32"/>
      <c r="C832" s="32" t="b">
        <f>_xlfn.XLOOKUP(Table6101112[[#This Row],[Category No]],Table8[Category No],Table8[Chapter List],FALSE)</f>
        <v>0</v>
      </c>
      <c r="D832" s="32"/>
      <c r="E832" s="34"/>
    </row>
    <row r="833" spans="1:5" x14ac:dyDescent="0.3">
      <c r="A833" s="32">
        <v>832</v>
      </c>
      <c r="B833" s="32"/>
      <c r="C833" s="32" t="b">
        <f>_xlfn.XLOOKUP(Table6101112[[#This Row],[Category No]],Table8[Category No],Table8[Chapter List],FALSE)</f>
        <v>0</v>
      </c>
      <c r="D833" s="32"/>
      <c r="E833" s="34"/>
    </row>
    <row r="834" spans="1:5" x14ac:dyDescent="0.3">
      <c r="A834" s="32">
        <v>833</v>
      </c>
      <c r="B834" s="32"/>
      <c r="C834" s="32" t="b">
        <f>_xlfn.XLOOKUP(Table6101112[[#This Row],[Category No]],Table8[Category No],Table8[Chapter List],FALSE)</f>
        <v>0</v>
      </c>
      <c r="D834" s="32"/>
      <c r="E834" s="34"/>
    </row>
    <row r="835" spans="1:5" x14ac:dyDescent="0.3">
      <c r="A835" s="32">
        <v>834</v>
      </c>
      <c r="B835" s="32"/>
      <c r="C835" s="32" t="b">
        <f>_xlfn.XLOOKUP(Table6101112[[#This Row],[Category No]],Table8[Category No],Table8[Chapter List],FALSE)</f>
        <v>0</v>
      </c>
      <c r="D835" s="32"/>
      <c r="E835" s="34"/>
    </row>
    <row r="836" spans="1:5" x14ac:dyDescent="0.3">
      <c r="A836" s="32">
        <v>835</v>
      </c>
      <c r="B836" s="32"/>
      <c r="C836" s="32" t="b">
        <f>_xlfn.XLOOKUP(Table6101112[[#This Row],[Category No]],Table8[Category No],Table8[Chapter List],FALSE)</f>
        <v>0</v>
      </c>
      <c r="D836" s="32"/>
      <c r="E836" s="34"/>
    </row>
    <row r="837" spans="1:5" x14ac:dyDescent="0.3">
      <c r="A837" s="32">
        <v>836</v>
      </c>
      <c r="B837" s="32"/>
      <c r="C837" s="32" t="b">
        <f>_xlfn.XLOOKUP(Table6101112[[#This Row],[Category No]],Table8[Category No],Table8[Chapter List],FALSE)</f>
        <v>0</v>
      </c>
      <c r="D837" s="32"/>
      <c r="E837" s="34"/>
    </row>
    <row r="838" spans="1:5" x14ac:dyDescent="0.3">
      <c r="A838" s="32">
        <v>837</v>
      </c>
      <c r="B838" s="32"/>
      <c r="C838" s="32" t="b">
        <f>_xlfn.XLOOKUP(Table6101112[[#This Row],[Category No]],Table8[Category No],Table8[Chapter List],FALSE)</f>
        <v>0</v>
      </c>
      <c r="D838" s="32"/>
      <c r="E838" s="34"/>
    </row>
    <row r="839" spans="1:5" x14ac:dyDescent="0.3">
      <c r="A839" s="32">
        <v>838</v>
      </c>
      <c r="B839" s="32"/>
      <c r="C839" s="32" t="b">
        <f>_xlfn.XLOOKUP(Table6101112[[#This Row],[Category No]],Table8[Category No],Table8[Chapter List],FALSE)</f>
        <v>0</v>
      </c>
      <c r="D839" s="32"/>
      <c r="E839" s="34"/>
    </row>
    <row r="840" spans="1:5" x14ac:dyDescent="0.3">
      <c r="A840" s="32">
        <v>839</v>
      </c>
      <c r="B840" s="32"/>
      <c r="C840" s="32" t="b">
        <f>_xlfn.XLOOKUP(Table6101112[[#This Row],[Category No]],Table8[Category No],Table8[Chapter List],FALSE)</f>
        <v>0</v>
      </c>
      <c r="D840" s="32"/>
      <c r="E840" s="34"/>
    </row>
    <row r="841" spans="1:5" x14ac:dyDescent="0.3">
      <c r="A841" s="32">
        <v>840</v>
      </c>
      <c r="B841" s="32"/>
      <c r="C841" s="32" t="b">
        <f>_xlfn.XLOOKUP(Table6101112[[#This Row],[Category No]],Table8[Category No],Table8[Chapter List],FALSE)</f>
        <v>0</v>
      </c>
      <c r="D841" s="32"/>
      <c r="E841" s="34"/>
    </row>
    <row r="842" spans="1:5" x14ac:dyDescent="0.3">
      <c r="A842" s="32">
        <v>841</v>
      </c>
      <c r="B842" s="32"/>
      <c r="C842" s="32" t="b">
        <f>_xlfn.XLOOKUP(Table6101112[[#This Row],[Category No]],Table8[Category No],Table8[Chapter List],FALSE)</f>
        <v>0</v>
      </c>
      <c r="D842" s="32"/>
      <c r="E842" s="34"/>
    </row>
    <row r="843" spans="1:5" x14ac:dyDescent="0.3">
      <c r="A843" s="32">
        <v>842</v>
      </c>
      <c r="B843" s="32"/>
      <c r="C843" s="32" t="b">
        <f>_xlfn.XLOOKUP(Table6101112[[#This Row],[Category No]],Table8[Category No],Table8[Chapter List],FALSE)</f>
        <v>0</v>
      </c>
      <c r="D843" s="32"/>
      <c r="E843" s="34"/>
    </row>
    <row r="844" spans="1:5" x14ac:dyDescent="0.3">
      <c r="A844" s="32">
        <v>843</v>
      </c>
      <c r="B844" s="32"/>
      <c r="C844" s="32" t="b">
        <f>_xlfn.XLOOKUP(Table6101112[[#This Row],[Category No]],Table8[Category No],Table8[Chapter List],FALSE)</f>
        <v>0</v>
      </c>
      <c r="D844" s="32"/>
      <c r="E844" s="34"/>
    </row>
    <row r="845" spans="1:5" x14ac:dyDescent="0.3">
      <c r="A845" s="32">
        <v>844</v>
      </c>
      <c r="B845" s="32"/>
      <c r="C845" s="32" t="b">
        <f>_xlfn.XLOOKUP(Table6101112[[#This Row],[Category No]],Table8[Category No],Table8[Chapter List],FALSE)</f>
        <v>0</v>
      </c>
      <c r="D845" s="32"/>
      <c r="E845" s="34"/>
    </row>
    <row r="846" spans="1:5" x14ac:dyDescent="0.3">
      <c r="A846" s="32">
        <v>845</v>
      </c>
      <c r="B846" s="32"/>
      <c r="C846" s="32" t="b">
        <f>_xlfn.XLOOKUP(Table6101112[[#This Row],[Category No]],Table8[Category No],Table8[Chapter List],FALSE)</f>
        <v>0</v>
      </c>
      <c r="D846" s="32"/>
      <c r="E846" s="34"/>
    </row>
    <row r="847" spans="1:5" x14ac:dyDescent="0.3">
      <c r="A847" s="32">
        <v>846</v>
      </c>
      <c r="B847" s="32"/>
      <c r="C847" s="32" t="b">
        <f>_xlfn.XLOOKUP(Table6101112[[#This Row],[Category No]],Table8[Category No],Table8[Chapter List],FALSE)</f>
        <v>0</v>
      </c>
      <c r="D847" s="32"/>
      <c r="E847" s="34"/>
    </row>
    <row r="848" spans="1:5" x14ac:dyDescent="0.3">
      <c r="A848" s="32">
        <v>847</v>
      </c>
      <c r="B848" s="32"/>
      <c r="C848" s="32" t="b">
        <f>_xlfn.XLOOKUP(Table6101112[[#This Row],[Category No]],Table8[Category No],Table8[Chapter List],FALSE)</f>
        <v>0</v>
      </c>
      <c r="D848" s="32"/>
      <c r="E848" s="34"/>
    </row>
    <row r="849" spans="1:5" x14ac:dyDescent="0.3">
      <c r="A849" s="32">
        <v>848</v>
      </c>
      <c r="B849" s="32"/>
      <c r="C849" s="32" t="b">
        <f>_xlfn.XLOOKUP(Table6101112[[#This Row],[Category No]],Table8[Category No],Table8[Chapter List],FALSE)</f>
        <v>0</v>
      </c>
      <c r="D849" s="32"/>
      <c r="E849" s="34"/>
    </row>
    <row r="850" spans="1:5" x14ac:dyDescent="0.3">
      <c r="A850" s="32">
        <v>849</v>
      </c>
      <c r="B850" s="32"/>
      <c r="C850" s="32" t="b">
        <f>_xlfn.XLOOKUP(Table6101112[[#This Row],[Category No]],Table8[Category No],Table8[Chapter List],FALSE)</f>
        <v>0</v>
      </c>
      <c r="D850" s="32"/>
      <c r="E850" s="34"/>
    </row>
    <row r="851" spans="1:5" x14ac:dyDescent="0.3">
      <c r="A851" s="32">
        <v>850</v>
      </c>
      <c r="B851" s="32"/>
      <c r="C851" s="32" t="b">
        <f>_xlfn.XLOOKUP(Table6101112[[#This Row],[Category No]],Table8[Category No],Table8[Chapter List],FALSE)</f>
        <v>0</v>
      </c>
      <c r="D851" s="32"/>
      <c r="E851" s="34"/>
    </row>
    <row r="852" spans="1:5" x14ac:dyDescent="0.3">
      <c r="A852" s="32">
        <v>851</v>
      </c>
      <c r="B852" s="32"/>
      <c r="C852" s="32" t="b">
        <f>_xlfn.XLOOKUP(Table6101112[[#This Row],[Category No]],Table8[Category No],Table8[Chapter List],FALSE)</f>
        <v>0</v>
      </c>
      <c r="D852" s="32"/>
      <c r="E852" s="34"/>
    </row>
    <row r="853" spans="1:5" x14ac:dyDescent="0.3">
      <c r="A853" s="32">
        <v>852</v>
      </c>
      <c r="B853" s="32"/>
      <c r="C853" s="32" t="b">
        <f>_xlfn.XLOOKUP(Table6101112[[#This Row],[Category No]],Table8[Category No],Table8[Chapter List],FALSE)</f>
        <v>0</v>
      </c>
      <c r="D853" s="32"/>
      <c r="E853" s="34"/>
    </row>
    <row r="854" spans="1:5" x14ac:dyDescent="0.3">
      <c r="A854" s="32">
        <v>853</v>
      </c>
      <c r="B854" s="32"/>
      <c r="C854" s="32" t="b">
        <f>_xlfn.XLOOKUP(Table6101112[[#This Row],[Category No]],Table8[Category No],Table8[Chapter List],FALSE)</f>
        <v>0</v>
      </c>
      <c r="D854" s="32"/>
      <c r="E854" s="34"/>
    </row>
    <row r="855" spans="1:5" x14ac:dyDescent="0.3">
      <c r="A855" s="32">
        <v>854</v>
      </c>
      <c r="B855" s="32"/>
      <c r="C855" s="32" t="b">
        <f>_xlfn.XLOOKUP(Table6101112[[#This Row],[Category No]],Table8[Category No],Table8[Chapter List],FALSE)</f>
        <v>0</v>
      </c>
      <c r="D855" s="32"/>
      <c r="E855" s="34"/>
    </row>
    <row r="856" spans="1:5" x14ac:dyDescent="0.3">
      <c r="A856" s="32">
        <v>855</v>
      </c>
      <c r="B856" s="32"/>
      <c r="C856" s="32" t="b">
        <f>_xlfn.XLOOKUP(Table6101112[[#This Row],[Category No]],Table8[Category No],Table8[Chapter List],FALSE)</f>
        <v>0</v>
      </c>
      <c r="D856" s="32"/>
      <c r="E856" s="34"/>
    </row>
    <row r="857" spans="1:5" x14ac:dyDescent="0.3">
      <c r="A857" s="32">
        <v>856</v>
      </c>
      <c r="B857" s="32"/>
      <c r="C857" s="32" t="b">
        <f>_xlfn.XLOOKUP(Table6101112[[#This Row],[Category No]],Table8[Category No],Table8[Chapter List],FALSE)</f>
        <v>0</v>
      </c>
      <c r="D857" s="32"/>
      <c r="E857" s="34"/>
    </row>
    <row r="858" spans="1:5" x14ac:dyDescent="0.3">
      <c r="A858" s="32">
        <v>857</v>
      </c>
      <c r="B858" s="32"/>
      <c r="C858" s="32" t="b">
        <f>_xlfn.XLOOKUP(Table6101112[[#This Row],[Category No]],Table8[Category No],Table8[Chapter List],FALSE)</f>
        <v>0</v>
      </c>
      <c r="D858" s="32"/>
      <c r="E858" s="34"/>
    </row>
    <row r="859" spans="1:5" x14ac:dyDescent="0.3">
      <c r="A859" s="32">
        <v>858</v>
      </c>
      <c r="B859" s="32"/>
      <c r="C859" s="32" t="b">
        <f>_xlfn.XLOOKUP(Table6101112[[#This Row],[Category No]],Table8[Category No],Table8[Chapter List],FALSE)</f>
        <v>0</v>
      </c>
      <c r="D859" s="32"/>
      <c r="E859" s="34"/>
    </row>
    <row r="860" spans="1:5" x14ac:dyDescent="0.3">
      <c r="A860" s="32">
        <v>859</v>
      </c>
      <c r="B860" s="32"/>
      <c r="C860" s="32" t="b">
        <f>_xlfn.XLOOKUP(Table6101112[[#This Row],[Category No]],Table8[Category No],Table8[Chapter List],FALSE)</f>
        <v>0</v>
      </c>
      <c r="D860" s="32"/>
      <c r="E860" s="34"/>
    </row>
    <row r="861" spans="1:5" x14ac:dyDescent="0.3">
      <c r="A861" s="32">
        <v>860</v>
      </c>
      <c r="B861" s="32"/>
      <c r="C861" s="32" t="b">
        <f>_xlfn.XLOOKUP(Table6101112[[#This Row],[Category No]],Table8[Category No],Table8[Chapter List],FALSE)</f>
        <v>0</v>
      </c>
      <c r="D861" s="32"/>
      <c r="E861" s="34"/>
    </row>
    <row r="862" spans="1:5" x14ac:dyDescent="0.3">
      <c r="A862" s="32">
        <v>861</v>
      </c>
      <c r="B862" s="32"/>
      <c r="C862" s="32" t="b">
        <f>_xlfn.XLOOKUP(Table6101112[[#This Row],[Category No]],Table8[Category No],Table8[Chapter List],FALSE)</f>
        <v>0</v>
      </c>
      <c r="D862" s="32"/>
      <c r="E862" s="34"/>
    </row>
    <row r="863" spans="1:5" x14ac:dyDescent="0.3">
      <c r="A863" s="32">
        <v>862</v>
      </c>
      <c r="B863" s="32"/>
      <c r="C863" s="32" t="b">
        <f>_xlfn.XLOOKUP(Table6101112[[#This Row],[Category No]],Table8[Category No],Table8[Chapter List],FALSE)</f>
        <v>0</v>
      </c>
      <c r="D863" s="32"/>
      <c r="E863" s="34"/>
    </row>
    <row r="864" spans="1:5" x14ac:dyDescent="0.3">
      <c r="A864" s="32">
        <v>863</v>
      </c>
      <c r="B864" s="32"/>
      <c r="C864" s="32" t="b">
        <f>_xlfn.XLOOKUP(Table6101112[[#This Row],[Category No]],Table8[Category No],Table8[Chapter List],FALSE)</f>
        <v>0</v>
      </c>
      <c r="D864" s="32"/>
      <c r="E864" s="34"/>
    </row>
    <row r="865" spans="1:5" x14ac:dyDescent="0.3">
      <c r="A865" s="32">
        <v>864</v>
      </c>
      <c r="B865" s="32"/>
      <c r="C865" s="32" t="b">
        <f>_xlfn.XLOOKUP(Table6101112[[#This Row],[Category No]],Table8[Category No],Table8[Chapter List],FALSE)</f>
        <v>0</v>
      </c>
      <c r="D865" s="32"/>
      <c r="E865" s="34"/>
    </row>
    <row r="866" spans="1:5" x14ac:dyDescent="0.3">
      <c r="A866" s="32">
        <v>865</v>
      </c>
      <c r="B866" s="32"/>
      <c r="C866" s="32" t="b">
        <f>_xlfn.XLOOKUP(Table6101112[[#This Row],[Category No]],Table8[Category No],Table8[Chapter List],FALSE)</f>
        <v>0</v>
      </c>
      <c r="D866" s="32"/>
      <c r="E866" s="34"/>
    </row>
    <row r="867" spans="1:5" x14ac:dyDescent="0.3">
      <c r="A867" s="32">
        <v>866</v>
      </c>
      <c r="B867" s="32"/>
      <c r="C867" s="32" t="b">
        <f>_xlfn.XLOOKUP(Table6101112[[#This Row],[Category No]],Table8[Category No],Table8[Chapter List],FALSE)</f>
        <v>0</v>
      </c>
      <c r="D867" s="32"/>
      <c r="E867" s="34"/>
    </row>
    <row r="868" spans="1:5" x14ac:dyDescent="0.3">
      <c r="A868" s="32">
        <v>867</v>
      </c>
      <c r="B868" s="32"/>
      <c r="C868" s="32" t="b">
        <f>_xlfn.XLOOKUP(Table6101112[[#This Row],[Category No]],Table8[Category No],Table8[Chapter List],FALSE)</f>
        <v>0</v>
      </c>
      <c r="D868" s="32"/>
      <c r="E868" s="34"/>
    </row>
    <row r="869" spans="1:5" x14ac:dyDescent="0.3">
      <c r="A869" s="32">
        <v>868</v>
      </c>
      <c r="B869" s="32"/>
      <c r="C869" s="32" t="b">
        <f>_xlfn.XLOOKUP(Table6101112[[#This Row],[Category No]],Table8[Category No],Table8[Chapter List],FALSE)</f>
        <v>0</v>
      </c>
      <c r="D869" s="32"/>
      <c r="E869" s="34"/>
    </row>
    <row r="870" spans="1:5" x14ac:dyDescent="0.3">
      <c r="A870" s="32">
        <v>869</v>
      </c>
      <c r="B870" s="32"/>
      <c r="C870" s="32" t="b">
        <f>_xlfn.XLOOKUP(Table6101112[[#This Row],[Category No]],Table8[Category No],Table8[Chapter List],FALSE)</f>
        <v>0</v>
      </c>
      <c r="D870" s="32"/>
      <c r="E870" s="34"/>
    </row>
    <row r="871" spans="1:5" x14ac:dyDescent="0.3">
      <c r="A871" s="32">
        <v>870</v>
      </c>
      <c r="B871" s="32"/>
      <c r="C871" s="32" t="b">
        <f>_xlfn.XLOOKUP(Table6101112[[#This Row],[Category No]],Table8[Category No],Table8[Chapter List],FALSE)</f>
        <v>0</v>
      </c>
      <c r="D871" s="32"/>
      <c r="E871" s="34"/>
    </row>
    <row r="872" spans="1:5" x14ac:dyDescent="0.3">
      <c r="A872" s="32">
        <v>871</v>
      </c>
      <c r="B872" s="32"/>
      <c r="C872" s="32" t="b">
        <f>_xlfn.XLOOKUP(Table6101112[[#This Row],[Category No]],Table8[Category No],Table8[Chapter List],FALSE)</f>
        <v>0</v>
      </c>
      <c r="D872" s="32"/>
      <c r="E872" s="34"/>
    </row>
    <row r="873" spans="1:5" x14ac:dyDescent="0.3">
      <c r="A873" s="32">
        <v>872</v>
      </c>
      <c r="B873" s="32"/>
      <c r="C873" s="32" t="b">
        <f>_xlfn.XLOOKUP(Table6101112[[#This Row],[Category No]],Table8[Category No],Table8[Chapter List],FALSE)</f>
        <v>0</v>
      </c>
      <c r="D873" s="32"/>
      <c r="E873" s="34"/>
    </row>
    <row r="874" spans="1:5" x14ac:dyDescent="0.3">
      <c r="A874" s="32">
        <v>873</v>
      </c>
      <c r="B874" s="32"/>
      <c r="C874" s="32" t="b">
        <f>_xlfn.XLOOKUP(Table6101112[[#This Row],[Category No]],Table8[Category No],Table8[Chapter List],FALSE)</f>
        <v>0</v>
      </c>
      <c r="D874" s="32"/>
      <c r="E874" s="34"/>
    </row>
    <row r="875" spans="1:5" x14ac:dyDescent="0.3">
      <c r="A875" s="32">
        <v>874</v>
      </c>
      <c r="B875" s="32"/>
      <c r="C875" s="32" t="b">
        <f>_xlfn.XLOOKUP(Table6101112[[#This Row],[Category No]],Table8[Category No],Table8[Chapter List],FALSE)</f>
        <v>0</v>
      </c>
      <c r="D875" s="32"/>
      <c r="E875" s="34"/>
    </row>
    <row r="876" spans="1:5" x14ac:dyDescent="0.3">
      <c r="A876" s="32">
        <v>875</v>
      </c>
      <c r="B876" s="32"/>
      <c r="C876" s="32" t="b">
        <f>_xlfn.XLOOKUP(Table6101112[[#This Row],[Category No]],Table8[Category No],Table8[Chapter List],FALSE)</f>
        <v>0</v>
      </c>
      <c r="D876" s="32"/>
      <c r="E876" s="34"/>
    </row>
    <row r="877" spans="1:5" x14ac:dyDescent="0.3">
      <c r="A877" s="32">
        <v>876</v>
      </c>
      <c r="B877" s="32"/>
      <c r="C877" s="32" t="b">
        <f>_xlfn.XLOOKUP(Table6101112[[#This Row],[Category No]],Table8[Category No],Table8[Chapter List],FALSE)</f>
        <v>0</v>
      </c>
      <c r="D877" s="32"/>
      <c r="E877" s="34"/>
    </row>
    <row r="878" spans="1:5" x14ac:dyDescent="0.3">
      <c r="A878" s="32">
        <v>877</v>
      </c>
      <c r="B878" s="32"/>
      <c r="C878" s="32" t="b">
        <f>_xlfn.XLOOKUP(Table6101112[[#This Row],[Category No]],Table8[Category No],Table8[Chapter List],FALSE)</f>
        <v>0</v>
      </c>
      <c r="D878" s="32"/>
      <c r="E878" s="34"/>
    </row>
    <row r="879" spans="1:5" x14ac:dyDescent="0.3">
      <c r="A879" s="32">
        <v>878</v>
      </c>
      <c r="B879" s="32"/>
      <c r="C879" s="32" t="b">
        <f>_xlfn.XLOOKUP(Table6101112[[#This Row],[Category No]],Table8[Category No],Table8[Chapter List],FALSE)</f>
        <v>0</v>
      </c>
      <c r="D879" s="32"/>
      <c r="E879" s="34"/>
    </row>
    <row r="880" spans="1:5" x14ac:dyDescent="0.3">
      <c r="A880" s="32">
        <v>879</v>
      </c>
      <c r="B880" s="32"/>
      <c r="C880" s="32" t="b">
        <f>_xlfn.XLOOKUP(Table6101112[[#This Row],[Category No]],Table8[Category No],Table8[Chapter List],FALSE)</f>
        <v>0</v>
      </c>
      <c r="D880" s="32"/>
      <c r="E880" s="34"/>
    </row>
    <row r="881" spans="1:5" x14ac:dyDescent="0.3">
      <c r="A881" s="32">
        <v>880</v>
      </c>
      <c r="B881" s="32"/>
      <c r="C881" s="32" t="b">
        <f>_xlfn.XLOOKUP(Table6101112[[#This Row],[Category No]],Table8[Category No],Table8[Chapter List],FALSE)</f>
        <v>0</v>
      </c>
      <c r="D881" s="32"/>
      <c r="E881" s="34"/>
    </row>
    <row r="882" spans="1:5" x14ac:dyDescent="0.3">
      <c r="A882" s="32">
        <v>881</v>
      </c>
      <c r="B882" s="32"/>
      <c r="C882" s="32" t="b">
        <f>_xlfn.XLOOKUP(Table6101112[[#This Row],[Category No]],Table8[Category No],Table8[Chapter List],FALSE)</f>
        <v>0</v>
      </c>
      <c r="D882" s="32"/>
      <c r="E882" s="34"/>
    </row>
    <row r="883" spans="1:5" x14ac:dyDescent="0.3">
      <c r="A883" s="32">
        <v>882</v>
      </c>
      <c r="B883" s="32"/>
      <c r="C883" s="32" t="b">
        <f>_xlfn.XLOOKUP(Table6101112[[#This Row],[Category No]],Table8[Category No],Table8[Chapter List],FALSE)</f>
        <v>0</v>
      </c>
      <c r="D883" s="32"/>
      <c r="E883" s="34"/>
    </row>
    <row r="884" spans="1:5" x14ac:dyDescent="0.3">
      <c r="A884" s="32">
        <v>883</v>
      </c>
      <c r="B884" s="32"/>
      <c r="C884" s="32" t="b">
        <f>_xlfn.XLOOKUP(Table6101112[[#This Row],[Category No]],Table8[Category No],Table8[Chapter List],FALSE)</f>
        <v>0</v>
      </c>
      <c r="D884" s="32"/>
      <c r="E884" s="34"/>
    </row>
    <row r="885" spans="1:5" x14ac:dyDescent="0.3">
      <c r="A885" s="32">
        <v>884</v>
      </c>
      <c r="B885" s="32"/>
      <c r="C885" s="32" t="b">
        <f>_xlfn.XLOOKUP(Table6101112[[#This Row],[Category No]],Table8[Category No],Table8[Chapter List],FALSE)</f>
        <v>0</v>
      </c>
      <c r="D885" s="32"/>
      <c r="E885" s="34"/>
    </row>
    <row r="886" spans="1:5" x14ac:dyDescent="0.3">
      <c r="A886" s="32">
        <v>885</v>
      </c>
      <c r="B886" s="32"/>
      <c r="C886" s="32" t="b">
        <f>_xlfn.XLOOKUP(Table6101112[[#This Row],[Category No]],Table8[Category No],Table8[Chapter List],FALSE)</f>
        <v>0</v>
      </c>
      <c r="D886" s="32"/>
      <c r="E886" s="34"/>
    </row>
    <row r="887" spans="1:5" x14ac:dyDescent="0.3">
      <c r="A887" s="32">
        <v>886</v>
      </c>
      <c r="B887" s="32"/>
      <c r="C887" s="32" t="b">
        <f>_xlfn.XLOOKUP(Table6101112[[#This Row],[Category No]],Table8[Category No],Table8[Chapter List],FALSE)</f>
        <v>0</v>
      </c>
      <c r="D887" s="32"/>
      <c r="E887" s="34"/>
    </row>
    <row r="888" spans="1:5" x14ac:dyDescent="0.3">
      <c r="A888" s="32">
        <v>887</v>
      </c>
      <c r="B888" s="32"/>
      <c r="C888" s="32" t="b">
        <f>_xlfn.XLOOKUP(Table6101112[[#This Row],[Category No]],Table8[Category No],Table8[Chapter List],FALSE)</f>
        <v>0</v>
      </c>
      <c r="D888" s="32"/>
      <c r="E888" s="34"/>
    </row>
    <row r="889" spans="1:5" x14ac:dyDescent="0.3">
      <c r="A889" s="32">
        <v>888</v>
      </c>
      <c r="B889" s="32"/>
      <c r="C889" s="32" t="b">
        <f>_xlfn.XLOOKUP(Table6101112[[#This Row],[Category No]],Table8[Category No],Table8[Chapter List],FALSE)</f>
        <v>0</v>
      </c>
      <c r="D889" s="32"/>
      <c r="E889" s="34"/>
    </row>
    <row r="890" spans="1:5" x14ac:dyDescent="0.3">
      <c r="A890" s="32">
        <v>889</v>
      </c>
      <c r="B890" s="32"/>
      <c r="C890" s="32" t="b">
        <f>_xlfn.XLOOKUP(Table6101112[[#This Row],[Category No]],Table8[Category No],Table8[Chapter List],FALSE)</f>
        <v>0</v>
      </c>
      <c r="D890" s="32"/>
      <c r="E890" s="34"/>
    </row>
    <row r="891" spans="1:5" x14ac:dyDescent="0.3">
      <c r="A891" s="32">
        <v>890</v>
      </c>
      <c r="B891" s="32"/>
      <c r="C891" s="32" t="b">
        <f>_xlfn.XLOOKUP(Table6101112[[#This Row],[Category No]],Table8[Category No],Table8[Chapter List],FALSE)</f>
        <v>0</v>
      </c>
      <c r="D891" s="32"/>
      <c r="E891" s="34"/>
    </row>
    <row r="892" spans="1:5" x14ac:dyDescent="0.3">
      <c r="A892" s="32">
        <v>891</v>
      </c>
      <c r="B892" s="32"/>
      <c r="C892" s="32" t="b">
        <f>_xlfn.XLOOKUP(Table6101112[[#This Row],[Category No]],Table8[Category No],Table8[Chapter List],FALSE)</f>
        <v>0</v>
      </c>
      <c r="D892" s="32"/>
      <c r="E892" s="34"/>
    </row>
    <row r="893" spans="1:5" x14ac:dyDescent="0.3">
      <c r="A893" s="32">
        <v>892</v>
      </c>
      <c r="B893" s="32"/>
      <c r="C893" s="32" t="b">
        <f>_xlfn.XLOOKUP(Table6101112[[#This Row],[Category No]],Table8[Category No],Table8[Chapter List],FALSE)</f>
        <v>0</v>
      </c>
      <c r="D893" s="32"/>
      <c r="E893" s="34"/>
    </row>
    <row r="894" spans="1:5" x14ac:dyDescent="0.3">
      <c r="A894" s="32">
        <v>893</v>
      </c>
      <c r="B894" s="32"/>
      <c r="C894" s="32" t="b">
        <f>_xlfn.XLOOKUP(Table6101112[[#This Row],[Category No]],Table8[Category No],Table8[Chapter List],FALSE)</f>
        <v>0</v>
      </c>
      <c r="D894" s="32"/>
      <c r="E894" s="34"/>
    </row>
    <row r="895" spans="1:5" x14ac:dyDescent="0.3">
      <c r="A895" s="32">
        <v>894</v>
      </c>
      <c r="B895" s="32"/>
      <c r="C895" s="32" t="b">
        <f>_xlfn.XLOOKUP(Table6101112[[#This Row],[Category No]],Table8[Category No],Table8[Chapter List],FALSE)</f>
        <v>0</v>
      </c>
      <c r="D895" s="32"/>
      <c r="E895" s="34"/>
    </row>
    <row r="896" spans="1:5" x14ac:dyDescent="0.3">
      <c r="A896" s="32">
        <v>895</v>
      </c>
      <c r="B896" s="32"/>
      <c r="C896" s="32" t="b">
        <f>_xlfn.XLOOKUP(Table6101112[[#This Row],[Category No]],Table8[Category No],Table8[Chapter List],FALSE)</f>
        <v>0</v>
      </c>
      <c r="D896" s="32"/>
      <c r="E896" s="34"/>
    </row>
    <row r="897" spans="1:5" x14ac:dyDescent="0.3">
      <c r="A897" s="32">
        <v>896</v>
      </c>
      <c r="B897" s="32"/>
      <c r="C897" s="32" t="b">
        <f>_xlfn.XLOOKUP(Table6101112[[#This Row],[Category No]],Table8[Category No],Table8[Chapter List],FALSE)</f>
        <v>0</v>
      </c>
      <c r="D897" s="32"/>
      <c r="E897" s="34"/>
    </row>
    <row r="898" spans="1:5" x14ac:dyDescent="0.3">
      <c r="A898" s="32">
        <v>897</v>
      </c>
      <c r="B898" s="32"/>
      <c r="C898" s="32" t="b">
        <f>_xlfn.XLOOKUP(Table6101112[[#This Row],[Category No]],Table8[Category No],Table8[Chapter List],FALSE)</f>
        <v>0</v>
      </c>
      <c r="D898" s="32"/>
      <c r="E898" s="34"/>
    </row>
    <row r="899" spans="1:5" x14ac:dyDescent="0.3">
      <c r="A899" s="32">
        <v>898</v>
      </c>
      <c r="B899" s="32"/>
      <c r="C899" s="32" t="b">
        <f>_xlfn.XLOOKUP(Table6101112[[#This Row],[Category No]],Table8[Category No],Table8[Chapter List],FALSE)</f>
        <v>0</v>
      </c>
      <c r="D899" s="32"/>
      <c r="E899" s="34"/>
    </row>
    <row r="900" spans="1:5" x14ac:dyDescent="0.3">
      <c r="A900" s="32">
        <v>899</v>
      </c>
      <c r="B900" s="32"/>
      <c r="C900" s="32" t="b">
        <f>_xlfn.XLOOKUP(Table6101112[[#This Row],[Category No]],Table8[Category No],Table8[Chapter List],FALSE)</f>
        <v>0</v>
      </c>
      <c r="D900" s="32"/>
      <c r="E900" s="34"/>
    </row>
    <row r="901" spans="1:5" x14ac:dyDescent="0.3">
      <c r="A901" s="32">
        <v>900</v>
      </c>
      <c r="B901" s="32"/>
      <c r="C901" s="32" t="b">
        <f>_xlfn.XLOOKUP(Table6101112[[#This Row],[Category No]],Table8[Category No],Table8[Chapter List],FALSE)</f>
        <v>0</v>
      </c>
      <c r="D901" s="32"/>
      <c r="E901" s="34"/>
    </row>
    <row r="902" spans="1:5" x14ac:dyDescent="0.3">
      <c r="A902" s="32">
        <v>901</v>
      </c>
      <c r="B902" s="32"/>
      <c r="C902" s="32" t="b">
        <f>_xlfn.XLOOKUP(Table6101112[[#This Row],[Category No]],Table8[Category No],Table8[Chapter List],FALSE)</f>
        <v>0</v>
      </c>
      <c r="D902" s="32"/>
      <c r="E902" s="34"/>
    </row>
    <row r="903" spans="1:5" x14ac:dyDescent="0.3">
      <c r="A903" s="32">
        <v>902</v>
      </c>
      <c r="B903" s="32"/>
      <c r="C903" s="32" t="b">
        <f>_xlfn.XLOOKUP(Table6101112[[#This Row],[Category No]],Table8[Category No],Table8[Chapter List],FALSE)</f>
        <v>0</v>
      </c>
      <c r="D903" s="32"/>
      <c r="E903" s="34"/>
    </row>
    <row r="904" spans="1:5" x14ac:dyDescent="0.3">
      <c r="A904" s="32">
        <v>903</v>
      </c>
      <c r="B904" s="32"/>
      <c r="C904" s="32" t="b">
        <f>_xlfn.XLOOKUP(Table6101112[[#This Row],[Category No]],Table8[Category No],Table8[Chapter List],FALSE)</f>
        <v>0</v>
      </c>
      <c r="D904" s="32"/>
      <c r="E904" s="34"/>
    </row>
    <row r="905" spans="1:5" x14ac:dyDescent="0.3">
      <c r="A905" s="32">
        <v>904</v>
      </c>
      <c r="B905" s="32"/>
      <c r="C905" s="32" t="b">
        <f>_xlfn.XLOOKUP(Table6101112[[#This Row],[Category No]],Table8[Category No],Table8[Chapter List],FALSE)</f>
        <v>0</v>
      </c>
      <c r="D905" s="32"/>
      <c r="E905" s="34"/>
    </row>
    <row r="906" spans="1:5" x14ac:dyDescent="0.3">
      <c r="A906" s="32">
        <v>905</v>
      </c>
      <c r="B906" s="32"/>
      <c r="C906" s="32" t="b">
        <f>_xlfn.XLOOKUP(Table6101112[[#This Row],[Category No]],Table8[Category No],Table8[Chapter List],FALSE)</f>
        <v>0</v>
      </c>
      <c r="D906" s="32"/>
      <c r="E906" s="34"/>
    </row>
    <row r="907" spans="1:5" x14ac:dyDescent="0.3">
      <c r="A907" s="32">
        <v>906</v>
      </c>
      <c r="B907" s="32"/>
      <c r="C907" s="32" t="b">
        <f>_xlfn.XLOOKUP(Table6101112[[#This Row],[Category No]],Table8[Category No],Table8[Chapter List],FALSE)</f>
        <v>0</v>
      </c>
      <c r="D907" s="32"/>
      <c r="E907" s="34"/>
    </row>
    <row r="908" spans="1:5" x14ac:dyDescent="0.3">
      <c r="A908" s="32">
        <v>907</v>
      </c>
      <c r="B908" s="32"/>
      <c r="C908" s="32" t="b">
        <f>_xlfn.XLOOKUP(Table6101112[[#This Row],[Category No]],Table8[Category No],Table8[Chapter List],FALSE)</f>
        <v>0</v>
      </c>
      <c r="D908" s="32"/>
      <c r="E908" s="34"/>
    </row>
    <row r="909" spans="1:5" x14ac:dyDescent="0.3">
      <c r="A909" s="32">
        <v>908</v>
      </c>
      <c r="B909" s="32"/>
      <c r="C909" s="32" t="b">
        <f>_xlfn.XLOOKUP(Table6101112[[#This Row],[Category No]],Table8[Category No],Table8[Chapter List],FALSE)</f>
        <v>0</v>
      </c>
      <c r="D909" s="32"/>
      <c r="E909" s="34"/>
    </row>
    <row r="910" spans="1:5" x14ac:dyDescent="0.3">
      <c r="A910" s="32">
        <v>909</v>
      </c>
      <c r="B910" s="32"/>
      <c r="C910" s="32" t="b">
        <f>_xlfn.XLOOKUP(Table6101112[[#This Row],[Category No]],Table8[Category No],Table8[Chapter List],FALSE)</f>
        <v>0</v>
      </c>
      <c r="D910" s="32"/>
      <c r="E910" s="34"/>
    </row>
    <row r="911" spans="1:5" x14ac:dyDescent="0.3">
      <c r="A911" s="32">
        <v>910</v>
      </c>
      <c r="B911" s="32"/>
      <c r="C911" s="32" t="b">
        <f>_xlfn.XLOOKUP(Table6101112[[#This Row],[Category No]],Table8[Category No],Table8[Chapter List],FALSE)</f>
        <v>0</v>
      </c>
      <c r="D911" s="32"/>
      <c r="E911" s="34"/>
    </row>
    <row r="912" spans="1:5" x14ac:dyDescent="0.3">
      <c r="A912" s="32">
        <v>911</v>
      </c>
      <c r="B912" s="32"/>
      <c r="C912" s="32" t="b">
        <f>_xlfn.XLOOKUP(Table6101112[[#This Row],[Category No]],Table8[Category No],Table8[Chapter List],FALSE)</f>
        <v>0</v>
      </c>
      <c r="D912" s="32"/>
      <c r="E912" s="34"/>
    </row>
    <row r="913" spans="1:5" x14ac:dyDescent="0.3">
      <c r="A913" s="32">
        <v>912</v>
      </c>
      <c r="B913" s="32"/>
      <c r="C913" s="32" t="b">
        <f>_xlfn.XLOOKUP(Table6101112[[#This Row],[Category No]],Table8[Category No],Table8[Chapter List],FALSE)</f>
        <v>0</v>
      </c>
      <c r="D913" s="32"/>
      <c r="E913" s="34"/>
    </row>
    <row r="914" spans="1:5" x14ac:dyDescent="0.3">
      <c r="A914" s="32">
        <v>913</v>
      </c>
      <c r="B914" s="32"/>
      <c r="C914" s="32" t="b">
        <f>_xlfn.XLOOKUP(Table6101112[[#This Row],[Category No]],Table8[Category No],Table8[Chapter List],FALSE)</f>
        <v>0</v>
      </c>
      <c r="D914" s="32"/>
      <c r="E914" s="34"/>
    </row>
    <row r="915" spans="1:5" x14ac:dyDescent="0.3">
      <c r="A915" s="32">
        <v>914</v>
      </c>
      <c r="B915" s="32"/>
      <c r="C915" s="32" t="b">
        <f>_xlfn.XLOOKUP(Table6101112[[#This Row],[Category No]],Table8[Category No],Table8[Chapter List],FALSE)</f>
        <v>0</v>
      </c>
      <c r="D915" s="32"/>
      <c r="E915" s="34"/>
    </row>
    <row r="916" spans="1:5" x14ac:dyDescent="0.3">
      <c r="A916" s="32">
        <v>915</v>
      </c>
      <c r="B916" s="32"/>
      <c r="C916" s="32" t="b">
        <f>_xlfn.XLOOKUP(Table6101112[[#This Row],[Category No]],Table8[Category No],Table8[Chapter List],FALSE)</f>
        <v>0</v>
      </c>
      <c r="D916" s="32"/>
      <c r="E916" s="34"/>
    </row>
    <row r="917" spans="1:5" x14ac:dyDescent="0.3">
      <c r="A917" s="32">
        <v>916</v>
      </c>
      <c r="B917" s="32"/>
      <c r="C917" s="32" t="b">
        <f>_xlfn.XLOOKUP(Table6101112[[#This Row],[Category No]],Table8[Category No],Table8[Chapter List],FALSE)</f>
        <v>0</v>
      </c>
      <c r="D917" s="32"/>
      <c r="E917" s="34"/>
    </row>
    <row r="918" spans="1:5" x14ac:dyDescent="0.3">
      <c r="A918" s="32">
        <v>917</v>
      </c>
      <c r="B918" s="32"/>
      <c r="C918" s="32" t="b">
        <f>_xlfn.XLOOKUP(Table6101112[[#This Row],[Category No]],Table8[Category No],Table8[Chapter List],FALSE)</f>
        <v>0</v>
      </c>
      <c r="D918" s="32"/>
      <c r="E918" s="34"/>
    </row>
    <row r="919" spans="1:5" x14ac:dyDescent="0.3">
      <c r="A919" s="32">
        <v>918</v>
      </c>
      <c r="B919" s="32"/>
      <c r="C919" s="32" t="b">
        <f>_xlfn.XLOOKUP(Table6101112[[#This Row],[Category No]],Table8[Category No],Table8[Chapter List],FALSE)</f>
        <v>0</v>
      </c>
      <c r="D919" s="32"/>
      <c r="E919" s="34"/>
    </row>
    <row r="920" spans="1:5" x14ac:dyDescent="0.3">
      <c r="A920" s="32">
        <v>919</v>
      </c>
      <c r="B920" s="32"/>
      <c r="C920" s="32" t="b">
        <f>_xlfn.XLOOKUP(Table6101112[[#This Row],[Category No]],Table8[Category No],Table8[Chapter List],FALSE)</f>
        <v>0</v>
      </c>
      <c r="D920" s="32"/>
      <c r="E920" s="34"/>
    </row>
    <row r="921" spans="1:5" x14ac:dyDescent="0.3">
      <c r="A921" s="32">
        <v>920</v>
      </c>
      <c r="B921" s="32"/>
      <c r="C921" s="32" t="b">
        <f>_xlfn.XLOOKUP(Table6101112[[#This Row],[Category No]],Table8[Category No],Table8[Chapter List],FALSE)</f>
        <v>0</v>
      </c>
      <c r="D921" s="32"/>
      <c r="E921" s="34"/>
    </row>
    <row r="922" spans="1:5" x14ac:dyDescent="0.3">
      <c r="A922" s="32">
        <v>921</v>
      </c>
      <c r="B922" s="32"/>
      <c r="C922" s="32" t="b">
        <f>_xlfn.XLOOKUP(Table6101112[[#This Row],[Category No]],Table8[Category No],Table8[Chapter List],FALSE)</f>
        <v>0</v>
      </c>
      <c r="D922" s="32"/>
      <c r="E922" s="34"/>
    </row>
    <row r="923" spans="1:5" x14ac:dyDescent="0.3">
      <c r="A923" s="32">
        <v>922</v>
      </c>
      <c r="B923" s="32"/>
      <c r="C923" s="32" t="b">
        <f>_xlfn.XLOOKUP(Table6101112[[#This Row],[Category No]],Table8[Category No],Table8[Chapter List],FALSE)</f>
        <v>0</v>
      </c>
      <c r="D923" s="32"/>
      <c r="E923" s="34"/>
    </row>
    <row r="924" spans="1:5" x14ac:dyDescent="0.3">
      <c r="A924" s="32">
        <v>923</v>
      </c>
      <c r="B924" s="32"/>
      <c r="C924" s="32" t="b">
        <f>_xlfn.XLOOKUP(Table6101112[[#This Row],[Category No]],Table8[Category No],Table8[Chapter List],FALSE)</f>
        <v>0</v>
      </c>
      <c r="D924" s="32"/>
      <c r="E924" s="34"/>
    </row>
    <row r="925" spans="1:5" x14ac:dyDescent="0.3">
      <c r="A925" s="32">
        <v>924</v>
      </c>
      <c r="B925" s="32"/>
      <c r="C925" s="32" t="b">
        <f>_xlfn.XLOOKUP(Table6101112[[#This Row],[Category No]],Table8[Category No],Table8[Chapter List],FALSE)</f>
        <v>0</v>
      </c>
      <c r="D925" s="32"/>
      <c r="E925" s="34"/>
    </row>
    <row r="926" spans="1:5" x14ac:dyDescent="0.3">
      <c r="A926" s="32">
        <v>925</v>
      </c>
      <c r="B926" s="32"/>
      <c r="C926" s="32" t="b">
        <f>_xlfn.XLOOKUP(Table6101112[[#This Row],[Category No]],Table8[Category No],Table8[Chapter List],FALSE)</f>
        <v>0</v>
      </c>
      <c r="D926" s="32"/>
      <c r="E926" s="34"/>
    </row>
    <row r="927" spans="1:5" x14ac:dyDescent="0.3">
      <c r="A927" s="32">
        <v>926</v>
      </c>
      <c r="B927" s="32"/>
      <c r="C927" s="32" t="b">
        <f>_xlfn.XLOOKUP(Table6101112[[#This Row],[Category No]],Table8[Category No],Table8[Chapter List],FALSE)</f>
        <v>0</v>
      </c>
      <c r="D927" s="32"/>
      <c r="E927" s="34"/>
    </row>
    <row r="928" spans="1:5" x14ac:dyDescent="0.3">
      <c r="A928" s="32">
        <v>927</v>
      </c>
      <c r="B928" s="32"/>
      <c r="C928" s="32" t="b">
        <f>_xlfn.XLOOKUP(Table6101112[[#This Row],[Category No]],Table8[Category No],Table8[Chapter List],FALSE)</f>
        <v>0</v>
      </c>
      <c r="D928" s="32"/>
      <c r="E928" s="34"/>
    </row>
    <row r="929" spans="1:5" x14ac:dyDescent="0.3">
      <c r="A929" s="32">
        <v>928</v>
      </c>
      <c r="B929" s="32"/>
      <c r="C929" s="32" t="b">
        <f>_xlfn.XLOOKUP(Table6101112[[#This Row],[Category No]],Table8[Category No],Table8[Chapter List],FALSE)</f>
        <v>0</v>
      </c>
      <c r="D929" s="32"/>
      <c r="E929" s="34"/>
    </row>
    <row r="930" spans="1:5" x14ac:dyDescent="0.3">
      <c r="A930" s="32">
        <v>929</v>
      </c>
      <c r="B930" s="32"/>
      <c r="C930" s="32" t="b">
        <f>_xlfn.XLOOKUP(Table6101112[[#This Row],[Category No]],Table8[Category No],Table8[Chapter List],FALSE)</f>
        <v>0</v>
      </c>
      <c r="D930" s="32"/>
      <c r="E930" s="34"/>
    </row>
    <row r="931" spans="1:5" x14ac:dyDescent="0.3">
      <c r="A931" s="32">
        <v>930</v>
      </c>
      <c r="B931" s="32"/>
      <c r="C931" s="32" t="b">
        <f>_xlfn.XLOOKUP(Table6101112[[#This Row],[Category No]],Table8[Category No],Table8[Chapter List],FALSE)</f>
        <v>0</v>
      </c>
      <c r="D931" s="32"/>
      <c r="E931" s="34"/>
    </row>
    <row r="932" spans="1:5" x14ac:dyDescent="0.3">
      <c r="A932" s="32">
        <v>931</v>
      </c>
      <c r="B932" s="32"/>
      <c r="C932" s="32" t="b">
        <f>_xlfn.XLOOKUP(Table6101112[[#This Row],[Category No]],Table8[Category No],Table8[Chapter List],FALSE)</f>
        <v>0</v>
      </c>
      <c r="D932" s="32"/>
      <c r="E932" s="34"/>
    </row>
    <row r="933" spans="1:5" x14ac:dyDescent="0.3">
      <c r="A933" s="32">
        <v>932</v>
      </c>
      <c r="B933" s="32"/>
      <c r="C933" s="32" t="b">
        <f>_xlfn.XLOOKUP(Table6101112[[#This Row],[Category No]],Table8[Category No],Table8[Chapter List],FALSE)</f>
        <v>0</v>
      </c>
      <c r="D933" s="32"/>
      <c r="E933" s="34"/>
    </row>
    <row r="934" spans="1:5" x14ac:dyDescent="0.3">
      <c r="A934" s="32">
        <v>933</v>
      </c>
      <c r="B934" s="32"/>
      <c r="C934" s="32" t="b">
        <f>_xlfn.XLOOKUP(Table6101112[[#This Row],[Category No]],Table8[Category No],Table8[Chapter List],FALSE)</f>
        <v>0</v>
      </c>
      <c r="D934" s="32"/>
      <c r="E934" s="34"/>
    </row>
    <row r="935" spans="1:5" x14ac:dyDescent="0.3">
      <c r="A935" s="32">
        <v>934</v>
      </c>
      <c r="B935" s="32"/>
      <c r="C935" s="32" t="b">
        <f>_xlfn.XLOOKUP(Table6101112[[#This Row],[Category No]],Table8[Category No],Table8[Chapter List],FALSE)</f>
        <v>0</v>
      </c>
      <c r="D935" s="32"/>
      <c r="E935" s="34"/>
    </row>
    <row r="936" spans="1:5" x14ac:dyDescent="0.3">
      <c r="A936" s="32">
        <v>935</v>
      </c>
      <c r="B936" s="32"/>
      <c r="C936" s="32" t="b">
        <f>_xlfn.XLOOKUP(Table6101112[[#This Row],[Category No]],Table8[Category No],Table8[Chapter List],FALSE)</f>
        <v>0</v>
      </c>
      <c r="D936" s="32"/>
      <c r="E936" s="34"/>
    </row>
    <row r="937" spans="1:5" x14ac:dyDescent="0.3">
      <c r="A937" s="32">
        <v>936</v>
      </c>
      <c r="B937" s="32"/>
      <c r="C937" s="32" t="b">
        <f>_xlfn.XLOOKUP(Table6101112[[#This Row],[Category No]],Table8[Category No],Table8[Chapter List],FALSE)</f>
        <v>0</v>
      </c>
      <c r="D937" s="32"/>
      <c r="E937" s="34"/>
    </row>
    <row r="938" spans="1:5" x14ac:dyDescent="0.3">
      <c r="A938" s="32">
        <v>937</v>
      </c>
      <c r="B938" s="32"/>
      <c r="C938" s="32" t="b">
        <f>_xlfn.XLOOKUP(Table6101112[[#This Row],[Category No]],Table8[Category No],Table8[Chapter List],FALSE)</f>
        <v>0</v>
      </c>
      <c r="D938" s="32"/>
      <c r="E938" s="34"/>
    </row>
    <row r="939" spans="1:5" x14ac:dyDescent="0.3">
      <c r="A939" s="32">
        <v>938</v>
      </c>
      <c r="B939" s="32"/>
      <c r="C939" s="32" t="b">
        <f>_xlfn.XLOOKUP(Table6101112[[#This Row],[Category No]],Table8[Category No],Table8[Chapter List],FALSE)</f>
        <v>0</v>
      </c>
      <c r="D939" s="32"/>
      <c r="E939" s="34"/>
    </row>
    <row r="940" spans="1:5" x14ac:dyDescent="0.3">
      <c r="A940" s="32">
        <v>939</v>
      </c>
      <c r="B940" s="32"/>
      <c r="C940" s="32" t="b">
        <f>_xlfn.XLOOKUP(Table6101112[[#This Row],[Category No]],Table8[Category No],Table8[Chapter List],FALSE)</f>
        <v>0</v>
      </c>
      <c r="D940" s="32"/>
      <c r="E940" s="34"/>
    </row>
    <row r="941" spans="1:5" x14ac:dyDescent="0.3">
      <c r="A941" s="32">
        <v>940</v>
      </c>
      <c r="B941" s="32"/>
      <c r="C941" s="32" t="b">
        <f>_xlfn.XLOOKUP(Table6101112[[#This Row],[Category No]],Table8[Category No],Table8[Chapter List],FALSE)</f>
        <v>0</v>
      </c>
      <c r="D941" s="32"/>
      <c r="E941" s="34"/>
    </row>
    <row r="942" spans="1:5" x14ac:dyDescent="0.3">
      <c r="A942" s="32">
        <v>941</v>
      </c>
      <c r="B942" s="32"/>
      <c r="C942" s="32" t="b">
        <f>_xlfn.XLOOKUP(Table6101112[[#This Row],[Category No]],Table8[Category No],Table8[Chapter List],FALSE)</f>
        <v>0</v>
      </c>
      <c r="D942" s="32"/>
      <c r="E942" s="34"/>
    </row>
    <row r="943" spans="1:5" x14ac:dyDescent="0.3">
      <c r="A943" s="32">
        <v>942</v>
      </c>
      <c r="B943" s="32"/>
      <c r="C943" s="32" t="b">
        <f>_xlfn.XLOOKUP(Table6101112[[#This Row],[Category No]],Table8[Category No],Table8[Chapter List],FALSE)</f>
        <v>0</v>
      </c>
      <c r="D943" s="32"/>
      <c r="E943" s="34"/>
    </row>
    <row r="944" spans="1:5" x14ac:dyDescent="0.3">
      <c r="A944" s="32">
        <v>943</v>
      </c>
      <c r="B944" s="32"/>
      <c r="C944" s="32" t="b">
        <f>_xlfn.XLOOKUP(Table6101112[[#This Row],[Category No]],Table8[Category No],Table8[Chapter List],FALSE)</f>
        <v>0</v>
      </c>
      <c r="D944" s="32"/>
      <c r="E944" s="34"/>
    </row>
    <row r="945" spans="1:5" x14ac:dyDescent="0.3">
      <c r="A945" s="32">
        <v>944</v>
      </c>
      <c r="B945" s="32"/>
      <c r="C945" s="32" t="b">
        <f>_xlfn.XLOOKUP(Table6101112[[#This Row],[Category No]],Table8[Category No],Table8[Chapter List],FALSE)</f>
        <v>0</v>
      </c>
      <c r="D945" s="32"/>
      <c r="E945" s="34"/>
    </row>
    <row r="946" spans="1:5" x14ac:dyDescent="0.3">
      <c r="A946" s="32">
        <v>945</v>
      </c>
      <c r="B946" s="32"/>
      <c r="C946" s="32" t="b">
        <f>_xlfn.XLOOKUP(Table6101112[[#This Row],[Category No]],Table8[Category No],Table8[Chapter List],FALSE)</f>
        <v>0</v>
      </c>
      <c r="D946" s="32"/>
      <c r="E946" s="34"/>
    </row>
    <row r="947" spans="1:5" x14ac:dyDescent="0.3">
      <c r="A947" s="32">
        <v>946</v>
      </c>
      <c r="B947" s="32"/>
      <c r="C947" s="32" t="b">
        <f>_xlfn.XLOOKUP(Table6101112[[#This Row],[Category No]],Table8[Category No],Table8[Chapter List],FALSE)</f>
        <v>0</v>
      </c>
      <c r="D947" s="32"/>
      <c r="E947" s="34"/>
    </row>
    <row r="948" spans="1:5" x14ac:dyDescent="0.3">
      <c r="A948" s="32">
        <v>947</v>
      </c>
      <c r="B948" s="32"/>
      <c r="C948" s="32" t="b">
        <f>_xlfn.XLOOKUP(Table6101112[[#This Row],[Category No]],Table8[Category No],Table8[Chapter List],FALSE)</f>
        <v>0</v>
      </c>
      <c r="D948" s="32"/>
      <c r="E948" s="34"/>
    </row>
    <row r="949" spans="1:5" x14ac:dyDescent="0.3">
      <c r="A949" s="32">
        <v>948</v>
      </c>
      <c r="B949" s="32"/>
      <c r="C949" s="32" t="b">
        <f>_xlfn.XLOOKUP(Table6101112[[#This Row],[Category No]],Table8[Category No],Table8[Chapter List],FALSE)</f>
        <v>0</v>
      </c>
      <c r="D949" s="32"/>
      <c r="E949" s="34"/>
    </row>
    <row r="950" spans="1:5" x14ac:dyDescent="0.3">
      <c r="A950" s="32">
        <v>949</v>
      </c>
      <c r="B950" s="32"/>
      <c r="C950" s="32" t="b">
        <f>_xlfn.XLOOKUP(Table6101112[[#This Row],[Category No]],Table8[Category No],Table8[Chapter List],FALSE)</f>
        <v>0</v>
      </c>
      <c r="D950" s="32"/>
      <c r="E950" s="34"/>
    </row>
    <row r="951" spans="1:5" x14ac:dyDescent="0.3">
      <c r="A951" s="32">
        <v>950</v>
      </c>
      <c r="B951" s="32"/>
      <c r="C951" s="32" t="b">
        <f>_xlfn.XLOOKUP(Table6101112[[#This Row],[Category No]],Table8[Category No],Table8[Chapter List],FALSE)</f>
        <v>0</v>
      </c>
      <c r="D951" s="32"/>
      <c r="E951" s="34"/>
    </row>
    <row r="952" spans="1:5" x14ac:dyDescent="0.3">
      <c r="A952" s="32">
        <v>951</v>
      </c>
      <c r="B952" s="32"/>
      <c r="C952" s="32" t="b">
        <f>_xlfn.XLOOKUP(Table6101112[[#This Row],[Category No]],Table8[Category No],Table8[Chapter List],FALSE)</f>
        <v>0</v>
      </c>
      <c r="D952" s="32"/>
      <c r="E952" s="34"/>
    </row>
    <row r="953" spans="1:5" x14ac:dyDescent="0.3">
      <c r="A953" s="32">
        <v>952</v>
      </c>
      <c r="B953" s="32"/>
      <c r="C953" s="32" t="b">
        <f>_xlfn.XLOOKUP(Table6101112[[#This Row],[Category No]],Table8[Category No],Table8[Chapter List],FALSE)</f>
        <v>0</v>
      </c>
      <c r="D953" s="32"/>
      <c r="E953" s="34"/>
    </row>
    <row r="954" spans="1:5" x14ac:dyDescent="0.3">
      <c r="A954" s="32">
        <v>953</v>
      </c>
      <c r="B954" s="32"/>
      <c r="C954" s="32" t="b">
        <f>_xlfn.XLOOKUP(Table6101112[[#This Row],[Category No]],Table8[Category No],Table8[Chapter List],FALSE)</f>
        <v>0</v>
      </c>
      <c r="D954" s="32"/>
      <c r="E954" s="34"/>
    </row>
    <row r="955" spans="1:5" x14ac:dyDescent="0.3">
      <c r="A955" s="32">
        <v>954</v>
      </c>
      <c r="B955" s="32"/>
      <c r="C955" s="32" t="b">
        <f>_xlfn.XLOOKUP(Table6101112[[#This Row],[Category No]],Table8[Category No],Table8[Chapter List],FALSE)</f>
        <v>0</v>
      </c>
      <c r="D955" s="32"/>
      <c r="E955" s="34"/>
    </row>
    <row r="956" spans="1:5" x14ac:dyDescent="0.3">
      <c r="A956" s="32">
        <v>955</v>
      </c>
      <c r="B956" s="32"/>
      <c r="C956" s="32" t="b">
        <f>_xlfn.XLOOKUP(Table6101112[[#This Row],[Category No]],Table8[Category No],Table8[Chapter List],FALSE)</f>
        <v>0</v>
      </c>
      <c r="D956" s="32"/>
      <c r="E956" s="34"/>
    </row>
    <row r="957" spans="1:5" x14ac:dyDescent="0.3">
      <c r="A957" s="32">
        <v>956</v>
      </c>
      <c r="B957" s="32"/>
      <c r="C957" s="32" t="b">
        <f>_xlfn.XLOOKUP(Table6101112[[#This Row],[Category No]],Table8[Category No],Table8[Chapter List],FALSE)</f>
        <v>0</v>
      </c>
      <c r="D957" s="32"/>
      <c r="E957" s="34"/>
    </row>
    <row r="958" spans="1:5" x14ac:dyDescent="0.3">
      <c r="A958" s="32">
        <v>957</v>
      </c>
      <c r="B958" s="32"/>
      <c r="C958" s="32" t="b">
        <f>_xlfn.XLOOKUP(Table6101112[[#This Row],[Category No]],Table8[Category No],Table8[Chapter List],FALSE)</f>
        <v>0</v>
      </c>
      <c r="D958" s="32"/>
      <c r="E958" s="34"/>
    </row>
    <row r="959" spans="1:5" x14ac:dyDescent="0.3">
      <c r="A959" s="32">
        <v>958</v>
      </c>
      <c r="B959" s="32"/>
      <c r="C959" s="32" t="b">
        <f>_xlfn.XLOOKUP(Table6101112[[#This Row],[Category No]],Table8[Category No],Table8[Chapter List],FALSE)</f>
        <v>0</v>
      </c>
      <c r="D959" s="32"/>
      <c r="E959" s="34"/>
    </row>
    <row r="960" spans="1:5" x14ac:dyDescent="0.3">
      <c r="A960" s="32">
        <v>959</v>
      </c>
      <c r="B960" s="32"/>
      <c r="C960" s="32" t="b">
        <f>_xlfn.XLOOKUP(Table6101112[[#This Row],[Category No]],Table8[Category No],Table8[Chapter List],FALSE)</f>
        <v>0</v>
      </c>
      <c r="D960" s="32"/>
      <c r="E960" s="34"/>
    </row>
    <row r="961" spans="1:5" x14ac:dyDescent="0.3">
      <c r="A961" s="32">
        <v>960</v>
      </c>
      <c r="B961" s="32"/>
      <c r="C961" s="32" t="b">
        <f>_xlfn.XLOOKUP(Table6101112[[#This Row],[Category No]],Table8[Category No],Table8[Chapter List],FALSE)</f>
        <v>0</v>
      </c>
      <c r="D961" s="32"/>
      <c r="E961" s="34"/>
    </row>
    <row r="962" spans="1:5" x14ac:dyDescent="0.3">
      <c r="A962" s="32">
        <v>961</v>
      </c>
      <c r="B962" s="32"/>
      <c r="C962" s="32" t="b">
        <f>_xlfn.XLOOKUP(Table6101112[[#This Row],[Category No]],Table8[Category No],Table8[Chapter List],FALSE)</f>
        <v>0</v>
      </c>
      <c r="D962" s="32"/>
      <c r="E962" s="34"/>
    </row>
    <row r="963" spans="1:5" x14ac:dyDescent="0.3">
      <c r="A963" s="32">
        <v>962</v>
      </c>
      <c r="B963" s="32"/>
      <c r="C963" s="32" t="b">
        <f>_xlfn.XLOOKUP(Table6101112[[#This Row],[Category No]],Table8[Category No],Table8[Chapter List],FALSE)</f>
        <v>0</v>
      </c>
      <c r="D963" s="32"/>
      <c r="E963" s="34"/>
    </row>
    <row r="964" spans="1:5" x14ac:dyDescent="0.3">
      <c r="A964" s="32">
        <v>963</v>
      </c>
      <c r="B964" s="32"/>
      <c r="C964" s="32" t="b">
        <f>_xlfn.XLOOKUP(Table6101112[[#This Row],[Category No]],Table8[Category No],Table8[Chapter List],FALSE)</f>
        <v>0</v>
      </c>
      <c r="D964" s="32"/>
      <c r="E964" s="34"/>
    </row>
    <row r="965" spans="1:5" x14ac:dyDescent="0.3">
      <c r="A965" s="32">
        <v>964</v>
      </c>
      <c r="B965" s="32"/>
      <c r="C965" s="32" t="b">
        <f>_xlfn.XLOOKUP(Table6101112[[#This Row],[Category No]],Table8[Category No],Table8[Chapter List],FALSE)</f>
        <v>0</v>
      </c>
      <c r="D965" s="32"/>
      <c r="E965" s="34"/>
    </row>
    <row r="966" spans="1:5" x14ac:dyDescent="0.3">
      <c r="A966" s="32">
        <v>965</v>
      </c>
      <c r="B966" s="32"/>
      <c r="C966" s="32" t="b">
        <f>_xlfn.XLOOKUP(Table6101112[[#This Row],[Category No]],Table8[Category No],Table8[Chapter List],FALSE)</f>
        <v>0</v>
      </c>
      <c r="D966" s="32"/>
      <c r="E966" s="34"/>
    </row>
    <row r="967" spans="1:5" x14ac:dyDescent="0.3">
      <c r="A967" s="32">
        <v>966</v>
      </c>
      <c r="B967" s="32"/>
      <c r="C967" s="32" t="b">
        <f>_xlfn.XLOOKUP(Table6101112[[#This Row],[Category No]],Table8[Category No],Table8[Chapter List],FALSE)</f>
        <v>0</v>
      </c>
      <c r="D967" s="32"/>
      <c r="E967" s="34"/>
    </row>
    <row r="968" spans="1:5" x14ac:dyDescent="0.3">
      <c r="A968" s="32">
        <v>967</v>
      </c>
      <c r="B968" s="32"/>
      <c r="C968" s="32" t="b">
        <f>_xlfn.XLOOKUP(Table6101112[[#This Row],[Category No]],Table8[Category No],Table8[Chapter List],FALSE)</f>
        <v>0</v>
      </c>
      <c r="D968" s="32"/>
      <c r="E968" s="34"/>
    </row>
    <row r="969" spans="1:5" x14ac:dyDescent="0.3">
      <c r="A969" s="32">
        <v>968</v>
      </c>
      <c r="B969" s="32"/>
      <c r="C969" s="32" t="b">
        <f>_xlfn.XLOOKUP(Table6101112[[#This Row],[Category No]],Table8[Category No],Table8[Chapter List],FALSE)</f>
        <v>0</v>
      </c>
      <c r="D969" s="32"/>
      <c r="E969" s="34"/>
    </row>
    <row r="970" spans="1:5" x14ac:dyDescent="0.3">
      <c r="A970" s="32">
        <v>969</v>
      </c>
      <c r="B970" s="32"/>
      <c r="C970" s="32" t="b">
        <f>_xlfn.XLOOKUP(Table6101112[[#This Row],[Category No]],Table8[Category No],Table8[Chapter List],FALSE)</f>
        <v>0</v>
      </c>
      <c r="D970" s="32"/>
      <c r="E970" s="34"/>
    </row>
    <row r="971" spans="1:5" x14ac:dyDescent="0.3">
      <c r="A971" s="32">
        <v>970</v>
      </c>
      <c r="B971" s="32"/>
      <c r="C971" s="32" t="b">
        <f>_xlfn.XLOOKUP(Table6101112[[#This Row],[Category No]],Table8[Category No],Table8[Chapter List],FALSE)</f>
        <v>0</v>
      </c>
      <c r="D971" s="32"/>
      <c r="E971" s="34"/>
    </row>
    <row r="972" spans="1:5" x14ac:dyDescent="0.3">
      <c r="A972" s="32">
        <v>971</v>
      </c>
      <c r="B972" s="32"/>
      <c r="C972" s="32" t="b">
        <f>_xlfn.XLOOKUP(Table6101112[[#This Row],[Category No]],Table8[Category No],Table8[Chapter List],FALSE)</f>
        <v>0</v>
      </c>
      <c r="D972" s="32"/>
      <c r="E972" s="34"/>
    </row>
    <row r="973" spans="1:5" x14ac:dyDescent="0.3">
      <c r="A973" s="32">
        <v>972</v>
      </c>
      <c r="B973" s="32"/>
      <c r="C973" s="32" t="b">
        <f>_xlfn.XLOOKUP(Table6101112[[#This Row],[Category No]],Table8[Category No],Table8[Chapter List],FALSE)</f>
        <v>0</v>
      </c>
      <c r="D973" s="32"/>
      <c r="E973" s="34"/>
    </row>
    <row r="974" spans="1:5" x14ac:dyDescent="0.3">
      <c r="A974" s="32">
        <v>973</v>
      </c>
      <c r="B974" s="32"/>
      <c r="C974" s="32" t="b">
        <f>_xlfn.XLOOKUP(Table6101112[[#This Row],[Category No]],Table8[Category No],Table8[Chapter List],FALSE)</f>
        <v>0</v>
      </c>
      <c r="D974" s="32"/>
      <c r="E974" s="34"/>
    </row>
    <row r="975" spans="1:5" x14ac:dyDescent="0.3">
      <c r="A975" s="32">
        <v>974</v>
      </c>
      <c r="B975" s="32"/>
      <c r="C975" s="32" t="b">
        <f>_xlfn.XLOOKUP(Table6101112[[#This Row],[Category No]],Table8[Category No],Table8[Chapter List],FALSE)</f>
        <v>0</v>
      </c>
      <c r="D975" s="32"/>
      <c r="E975" s="34"/>
    </row>
    <row r="976" spans="1:5" x14ac:dyDescent="0.3">
      <c r="A976" s="32">
        <v>975</v>
      </c>
      <c r="B976" s="32"/>
      <c r="C976" s="32" t="b">
        <f>_xlfn.XLOOKUP(Table6101112[[#This Row],[Category No]],Table8[Category No],Table8[Chapter List],FALSE)</f>
        <v>0</v>
      </c>
      <c r="D976" s="32"/>
      <c r="E976" s="34"/>
    </row>
    <row r="977" spans="1:5" x14ac:dyDescent="0.3">
      <c r="A977" s="32">
        <v>976</v>
      </c>
      <c r="B977" s="32"/>
      <c r="C977" s="32" t="b">
        <f>_xlfn.XLOOKUP(Table6101112[[#This Row],[Category No]],Table8[Category No],Table8[Chapter List],FALSE)</f>
        <v>0</v>
      </c>
      <c r="D977" s="32"/>
      <c r="E977" s="34"/>
    </row>
    <row r="978" spans="1:5" x14ac:dyDescent="0.3">
      <c r="A978" s="32">
        <v>977</v>
      </c>
      <c r="B978" s="32"/>
      <c r="C978" s="32" t="b">
        <f>_xlfn.XLOOKUP(Table6101112[[#This Row],[Category No]],Table8[Category No],Table8[Chapter List],FALSE)</f>
        <v>0</v>
      </c>
      <c r="D978" s="32"/>
      <c r="E978" s="34"/>
    </row>
    <row r="979" spans="1:5" x14ac:dyDescent="0.3">
      <c r="A979" s="32">
        <v>978</v>
      </c>
      <c r="B979" s="32"/>
      <c r="C979" s="32" t="b">
        <f>_xlfn.XLOOKUP(Table6101112[[#This Row],[Category No]],Table8[Category No],Table8[Chapter List],FALSE)</f>
        <v>0</v>
      </c>
      <c r="D979" s="32"/>
      <c r="E979" s="34"/>
    </row>
    <row r="980" spans="1:5" x14ac:dyDescent="0.3">
      <c r="A980" s="32">
        <v>979</v>
      </c>
      <c r="B980" s="32"/>
      <c r="C980" s="32" t="b">
        <f>_xlfn.XLOOKUP(Table6101112[[#This Row],[Category No]],Table8[Category No],Table8[Chapter List],FALSE)</f>
        <v>0</v>
      </c>
      <c r="D980" s="32"/>
      <c r="E980" s="34"/>
    </row>
    <row r="981" spans="1:5" x14ac:dyDescent="0.3">
      <c r="A981" s="32">
        <v>980</v>
      </c>
      <c r="B981" s="32"/>
      <c r="C981" s="32" t="b">
        <f>_xlfn.XLOOKUP(Table6101112[[#This Row],[Category No]],Table8[Category No],Table8[Chapter List],FALSE)</f>
        <v>0</v>
      </c>
      <c r="D981" s="32"/>
      <c r="E981" s="34"/>
    </row>
    <row r="982" spans="1:5" x14ac:dyDescent="0.3">
      <c r="A982" s="32">
        <v>981</v>
      </c>
      <c r="B982" s="32"/>
      <c r="C982" s="32" t="b">
        <f>_xlfn.XLOOKUP(Table6101112[[#This Row],[Category No]],Table8[Category No],Table8[Chapter List],FALSE)</f>
        <v>0</v>
      </c>
      <c r="D982" s="32"/>
      <c r="E982" s="34"/>
    </row>
    <row r="983" spans="1:5" x14ac:dyDescent="0.3">
      <c r="A983" s="32">
        <v>982</v>
      </c>
      <c r="B983" s="32"/>
      <c r="C983" s="32" t="b">
        <f>_xlfn.XLOOKUP(Table6101112[[#This Row],[Category No]],Table8[Category No],Table8[Chapter List],FALSE)</f>
        <v>0</v>
      </c>
      <c r="D983" s="32"/>
      <c r="E983" s="34"/>
    </row>
    <row r="984" spans="1:5" x14ac:dyDescent="0.3">
      <c r="A984" s="32">
        <v>983</v>
      </c>
      <c r="B984" s="32"/>
      <c r="C984" s="32" t="b">
        <f>_xlfn.XLOOKUP(Table6101112[[#This Row],[Category No]],Table8[Category No],Table8[Chapter List],FALSE)</f>
        <v>0</v>
      </c>
      <c r="D984" s="32"/>
      <c r="E984" s="34"/>
    </row>
    <row r="985" spans="1:5" x14ac:dyDescent="0.3">
      <c r="A985" s="32">
        <v>984</v>
      </c>
      <c r="B985" s="32"/>
      <c r="C985" s="32" t="b">
        <f>_xlfn.XLOOKUP(Table6101112[[#This Row],[Category No]],Table8[Category No],Table8[Chapter List],FALSE)</f>
        <v>0</v>
      </c>
      <c r="D985" s="32"/>
      <c r="E985" s="34"/>
    </row>
    <row r="986" spans="1:5" x14ac:dyDescent="0.3">
      <c r="A986" s="32">
        <v>985</v>
      </c>
      <c r="B986" s="32"/>
      <c r="C986" s="32" t="b">
        <f>_xlfn.XLOOKUP(Table6101112[[#This Row],[Category No]],Table8[Category No],Table8[Chapter List],FALSE)</f>
        <v>0</v>
      </c>
      <c r="D986" s="32"/>
      <c r="E986" s="34"/>
    </row>
    <row r="987" spans="1:5" x14ac:dyDescent="0.3">
      <c r="A987" s="32">
        <v>986</v>
      </c>
      <c r="B987" s="32"/>
      <c r="C987" s="32" t="b">
        <f>_xlfn.XLOOKUP(Table6101112[[#This Row],[Category No]],Table8[Category No],Table8[Chapter List],FALSE)</f>
        <v>0</v>
      </c>
      <c r="D987" s="32"/>
      <c r="E987" s="34"/>
    </row>
    <row r="988" spans="1:5" x14ac:dyDescent="0.3">
      <c r="A988" s="32">
        <v>987</v>
      </c>
      <c r="B988" s="32"/>
      <c r="C988" s="32" t="b">
        <f>_xlfn.XLOOKUP(Table6101112[[#This Row],[Category No]],Table8[Category No],Table8[Chapter List],FALSE)</f>
        <v>0</v>
      </c>
      <c r="D988" s="32"/>
      <c r="E988" s="34"/>
    </row>
    <row r="989" spans="1:5" x14ac:dyDescent="0.3">
      <c r="A989" s="32">
        <v>988</v>
      </c>
      <c r="B989" s="32"/>
      <c r="C989" s="32" t="b">
        <f>_xlfn.XLOOKUP(Table6101112[[#This Row],[Category No]],Table8[Category No],Table8[Chapter List],FALSE)</f>
        <v>0</v>
      </c>
      <c r="D989" s="32"/>
      <c r="E989" s="34"/>
    </row>
    <row r="990" spans="1:5" x14ac:dyDescent="0.3">
      <c r="A990" s="32">
        <v>989</v>
      </c>
      <c r="B990" s="32"/>
      <c r="C990" s="32" t="b">
        <f>_xlfn.XLOOKUP(Table6101112[[#This Row],[Category No]],Table8[Category No],Table8[Chapter List],FALSE)</f>
        <v>0</v>
      </c>
      <c r="D990" s="32"/>
      <c r="E990" s="34"/>
    </row>
    <row r="991" spans="1:5" x14ac:dyDescent="0.3">
      <c r="A991" s="32">
        <v>990</v>
      </c>
      <c r="B991" s="32"/>
      <c r="C991" s="32" t="b">
        <f>_xlfn.XLOOKUP(Table6101112[[#This Row],[Category No]],Table8[Category No],Table8[Chapter List],FALSE)</f>
        <v>0</v>
      </c>
      <c r="D991" s="32"/>
      <c r="E991" s="34"/>
    </row>
    <row r="992" spans="1:5" x14ac:dyDescent="0.3">
      <c r="A992" s="32">
        <v>991</v>
      </c>
      <c r="B992" s="32"/>
      <c r="C992" s="32" t="b">
        <f>_xlfn.XLOOKUP(Table6101112[[#This Row],[Category No]],Table8[Category No],Table8[Chapter List],FALSE)</f>
        <v>0</v>
      </c>
      <c r="D992" s="32"/>
      <c r="E992" s="34"/>
    </row>
    <row r="993" spans="1:5" x14ac:dyDescent="0.3">
      <c r="A993" s="32">
        <v>992</v>
      </c>
      <c r="B993" s="32"/>
      <c r="C993" s="32" t="b">
        <f>_xlfn.XLOOKUP(Table6101112[[#This Row],[Category No]],Table8[Category No],Table8[Chapter List],FALSE)</f>
        <v>0</v>
      </c>
      <c r="D993" s="32"/>
      <c r="E993" s="34"/>
    </row>
    <row r="994" spans="1:5" x14ac:dyDescent="0.3">
      <c r="A994" s="32">
        <v>993</v>
      </c>
      <c r="B994" s="32"/>
      <c r="C994" s="32" t="b">
        <f>_xlfn.XLOOKUP(Table6101112[[#This Row],[Category No]],Table8[Category No],Table8[Chapter List],FALSE)</f>
        <v>0</v>
      </c>
      <c r="D994" s="32"/>
      <c r="E994" s="34"/>
    </row>
    <row r="995" spans="1:5" x14ac:dyDescent="0.3">
      <c r="A995" s="32">
        <v>994</v>
      </c>
      <c r="B995" s="32"/>
      <c r="C995" s="32" t="b">
        <f>_xlfn.XLOOKUP(Table6101112[[#This Row],[Category No]],Table8[Category No],Table8[Chapter List],FALSE)</f>
        <v>0</v>
      </c>
      <c r="D995" s="32"/>
      <c r="E995" s="34"/>
    </row>
    <row r="996" spans="1:5" x14ac:dyDescent="0.3">
      <c r="A996" s="32">
        <v>995</v>
      </c>
      <c r="B996" s="32"/>
      <c r="C996" s="32" t="b">
        <f>_xlfn.XLOOKUP(Table6101112[[#This Row],[Category No]],Table8[Category No],Table8[Chapter List],FALSE)</f>
        <v>0</v>
      </c>
      <c r="D996" s="32"/>
      <c r="E996" s="34"/>
    </row>
    <row r="997" spans="1:5" x14ac:dyDescent="0.3">
      <c r="A997" s="32">
        <v>996</v>
      </c>
      <c r="B997" s="32"/>
      <c r="C997" s="32" t="b">
        <f>_xlfn.XLOOKUP(Table6101112[[#This Row],[Category No]],Table8[Category No],Table8[Chapter List],FALSE)</f>
        <v>0</v>
      </c>
      <c r="D997" s="32"/>
      <c r="E997" s="34"/>
    </row>
    <row r="998" spans="1:5" x14ac:dyDescent="0.3">
      <c r="A998" s="32">
        <v>997</v>
      </c>
      <c r="B998" s="32"/>
      <c r="C998" s="32" t="b">
        <f>_xlfn.XLOOKUP(Table6101112[[#This Row],[Category No]],Table8[Category No],Table8[Chapter List],FALSE)</f>
        <v>0</v>
      </c>
      <c r="D998" s="32"/>
      <c r="E998" s="34"/>
    </row>
    <row r="999" spans="1:5" x14ac:dyDescent="0.3">
      <c r="A999" s="32">
        <v>998</v>
      </c>
      <c r="B999" s="32"/>
      <c r="C999" s="32" t="b">
        <f>_xlfn.XLOOKUP(Table6101112[[#This Row],[Category No]],Table8[Category No],Table8[Chapter List],FALSE)</f>
        <v>0</v>
      </c>
      <c r="D999" s="32"/>
      <c r="E999" s="34"/>
    </row>
    <row r="1000" spans="1:5" x14ac:dyDescent="0.3">
      <c r="A1000" s="32">
        <v>999</v>
      </c>
      <c r="B1000" s="32"/>
      <c r="C1000" s="32" t="b">
        <f>_xlfn.XLOOKUP(Table6101112[[#This Row],[Category No]],Table8[Category No],Table8[Chapter List],FALSE)</f>
        <v>0</v>
      </c>
      <c r="D1000" s="32"/>
      <c r="E1000" s="34"/>
    </row>
  </sheetData>
  <mergeCells count="5">
    <mergeCell ref="F7:F8"/>
    <mergeCell ref="F22:F24"/>
    <mergeCell ref="F25:F26"/>
    <mergeCell ref="F27:F29"/>
    <mergeCell ref="F30:F31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306C-3021-4B81-B144-AB92D86C7549}">
  <dimension ref="A1:G1009"/>
  <sheetViews>
    <sheetView topLeftCell="A423" zoomScaleNormal="100" workbookViewId="0">
      <selection activeCell="F448" sqref="F448"/>
    </sheetView>
  </sheetViews>
  <sheetFormatPr defaultRowHeight="13.8" x14ac:dyDescent="0.3"/>
  <cols>
    <col min="1" max="1" width="9.33203125" style="37" bestFit="1" customWidth="1"/>
    <col min="2" max="2" width="14.21875" style="37" bestFit="1" customWidth="1"/>
    <col min="3" max="3" width="21.77734375" style="37" customWidth="1"/>
    <col min="4" max="4" width="40.109375" style="37" bestFit="1" customWidth="1"/>
    <col min="5" max="5" width="17.109375" style="37" bestFit="1" customWidth="1"/>
    <col min="6" max="6" width="73.88671875" style="37" bestFit="1" customWidth="1"/>
    <col min="7" max="7" width="22.88671875" style="37" bestFit="1" customWidth="1"/>
    <col min="8" max="16384" width="8.88671875" style="37"/>
  </cols>
  <sheetData>
    <row r="1" spans="1:6" x14ac:dyDescent="0.3">
      <c r="A1" s="35" t="s">
        <v>1</v>
      </c>
      <c r="B1" s="36" t="s">
        <v>125</v>
      </c>
      <c r="C1" s="36" t="s">
        <v>126</v>
      </c>
      <c r="D1" s="36" t="s">
        <v>133</v>
      </c>
      <c r="E1" s="36" t="s">
        <v>694</v>
      </c>
      <c r="F1" s="36" t="s">
        <v>135</v>
      </c>
    </row>
    <row r="2" spans="1:6" x14ac:dyDescent="0.3">
      <c r="A2" s="32">
        <v>1</v>
      </c>
      <c r="B2" s="32" t="s">
        <v>61</v>
      </c>
      <c r="C2" s="32" t="str">
        <f>_xlfn.XLOOKUP(Table610111213[[#This Row],[Category No]],Table8[Category No],Table8[Chapter List],FALSE)</f>
        <v>Indus Valley Civilization</v>
      </c>
      <c r="D2" s="34" t="s">
        <v>1117</v>
      </c>
      <c r="E2" s="34" t="s">
        <v>695</v>
      </c>
      <c r="F2" s="34" t="s">
        <v>284</v>
      </c>
    </row>
    <row r="3" spans="1:6" x14ac:dyDescent="0.3">
      <c r="A3" s="32">
        <v>2</v>
      </c>
      <c r="B3" s="32" t="s">
        <v>61</v>
      </c>
      <c r="C3" s="32" t="str">
        <f>_xlfn.XLOOKUP(Table610111213[[#This Row],[Category No]],Table8[Category No],Table8[Chapter List],FALSE)</f>
        <v>Indus Valley Civilization</v>
      </c>
      <c r="D3" s="34" t="s">
        <v>1118</v>
      </c>
      <c r="E3" s="34" t="s">
        <v>695</v>
      </c>
      <c r="F3" s="34" t="s">
        <v>285</v>
      </c>
    </row>
    <row r="4" spans="1:6" x14ac:dyDescent="0.3">
      <c r="A4" s="32">
        <v>3</v>
      </c>
      <c r="B4" s="32" t="s">
        <v>61</v>
      </c>
      <c r="C4" s="32" t="str">
        <f>_xlfn.XLOOKUP(Table610111213[[#This Row],[Category No]],Table8[Category No],Table8[Chapter List],FALSE)</f>
        <v>Indus Valley Civilization</v>
      </c>
      <c r="D4" s="34" t="s">
        <v>1119</v>
      </c>
      <c r="E4" s="34" t="s">
        <v>695</v>
      </c>
      <c r="F4" s="34" t="s">
        <v>286</v>
      </c>
    </row>
    <row r="5" spans="1:6" ht="27.6" x14ac:dyDescent="0.3">
      <c r="A5" s="32">
        <v>4</v>
      </c>
      <c r="B5" s="32" t="s">
        <v>61</v>
      </c>
      <c r="C5" s="32" t="str">
        <f>_xlfn.XLOOKUP(Table610111213[[#This Row],[Category No]],Table8[Category No],Table8[Chapter List],FALSE)</f>
        <v>Indus Valley Civilization</v>
      </c>
      <c r="D5" s="34" t="s">
        <v>1120</v>
      </c>
      <c r="E5" s="34" t="s">
        <v>695</v>
      </c>
      <c r="F5" s="33" t="s">
        <v>287</v>
      </c>
    </row>
    <row r="6" spans="1:6" x14ac:dyDescent="0.3">
      <c r="A6" s="32">
        <v>5</v>
      </c>
      <c r="B6" s="32" t="s">
        <v>62</v>
      </c>
      <c r="C6" s="32" t="str">
        <f>_xlfn.XLOOKUP(Table610111213[[#This Row],[Category No]],Table8[Category No],Table8[Chapter List],FALSE)</f>
        <v>Rig Vedic Period</v>
      </c>
      <c r="D6" s="34" t="s">
        <v>299</v>
      </c>
      <c r="E6" s="34" t="s">
        <v>695</v>
      </c>
      <c r="F6" s="34" t="s">
        <v>300</v>
      </c>
    </row>
    <row r="7" spans="1:6" x14ac:dyDescent="0.3">
      <c r="A7" s="32">
        <v>6</v>
      </c>
      <c r="B7" s="32" t="s">
        <v>62</v>
      </c>
      <c r="C7" s="32" t="str">
        <f>_xlfn.XLOOKUP(Table610111213[[#This Row],[Category No]],Table8[Category No],Table8[Chapter List],FALSE)</f>
        <v>Rig Vedic Period</v>
      </c>
      <c r="D7" s="34" t="s">
        <v>301</v>
      </c>
      <c r="E7" s="34" t="s">
        <v>695</v>
      </c>
      <c r="F7" s="34" t="s">
        <v>302</v>
      </c>
    </row>
    <row r="8" spans="1:6" x14ac:dyDescent="0.3">
      <c r="A8" s="32">
        <v>7</v>
      </c>
      <c r="B8" s="32" t="s">
        <v>62</v>
      </c>
      <c r="C8" s="32" t="str">
        <f>_xlfn.XLOOKUP(Table610111213[[#This Row],[Category No]],Table8[Category No],Table8[Chapter List],FALSE)</f>
        <v>Rig Vedic Period</v>
      </c>
      <c r="D8" s="34" t="s">
        <v>303</v>
      </c>
      <c r="E8" s="34" t="s">
        <v>695</v>
      </c>
      <c r="F8" s="34" t="s">
        <v>304</v>
      </c>
    </row>
    <row r="9" spans="1:6" x14ac:dyDescent="0.3">
      <c r="A9" s="32">
        <v>8</v>
      </c>
      <c r="B9" s="32" t="s">
        <v>62</v>
      </c>
      <c r="C9" s="32" t="str">
        <f>_xlfn.XLOOKUP(Table610111213[[#This Row],[Category No]],Table8[Category No],Table8[Chapter List],FALSE)</f>
        <v>Rig Vedic Period</v>
      </c>
      <c r="D9" s="34" t="s">
        <v>306</v>
      </c>
      <c r="E9" s="34" t="s">
        <v>695</v>
      </c>
      <c r="F9" s="34" t="s">
        <v>307</v>
      </c>
    </row>
    <row r="10" spans="1:6" x14ac:dyDescent="0.3">
      <c r="A10" s="32">
        <v>9</v>
      </c>
      <c r="B10" s="32" t="s">
        <v>62</v>
      </c>
      <c r="C10" s="32" t="str">
        <f>_xlfn.XLOOKUP(Table610111213[[#This Row],[Category No]],Table8[Category No],Table8[Chapter List],FALSE)</f>
        <v>Rig Vedic Period</v>
      </c>
      <c r="D10" s="34" t="s">
        <v>308</v>
      </c>
      <c r="E10" s="34" t="s">
        <v>695</v>
      </c>
      <c r="F10" s="34" t="s">
        <v>309</v>
      </c>
    </row>
    <row r="11" spans="1:6" x14ac:dyDescent="0.3">
      <c r="A11" s="32">
        <v>10</v>
      </c>
      <c r="B11" s="32" t="s">
        <v>62</v>
      </c>
      <c r="C11" s="32" t="str">
        <f>_xlfn.XLOOKUP(Table610111213[[#This Row],[Category No]],Table8[Category No],Table8[Chapter List],FALSE)</f>
        <v>Rig Vedic Period</v>
      </c>
      <c r="D11" s="34" t="s">
        <v>310</v>
      </c>
      <c r="E11" s="34" t="s">
        <v>695</v>
      </c>
      <c r="F11" s="34" t="s">
        <v>311</v>
      </c>
    </row>
    <row r="12" spans="1:6" x14ac:dyDescent="0.3">
      <c r="A12" s="32">
        <v>11</v>
      </c>
      <c r="B12" s="32" t="s">
        <v>62</v>
      </c>
      <c r="C12" s="32" t="str">
        <f>_xlfn.XLOOKUP(Table610111213[[#This Row],[Category No]],Table8[Category No],Table8[Chapter List],FALSE)</f>
        <v>Rig Vedic Period</v>
      </c>
      <c r="D12" s="34" t="s">
        <v>312</v>
      </c>
      <c r="E12" s="34" t="s">
        <v>695</v>
      </c>
      <c r="F12" s="34" t="s">
        <v>313</v>
      </c>
    </row>
    <row r="13" spans="1:6" x14ac:dyDescent="0.3">
      <c r="A13" s="32">
        <v>12</v>
      </c>
      <c r="B13" s="32" t="s">
        <v>62</v>
      </c>
      <c r="C13" s="32" t="str">
        <f>_xlfn.XLOOKUP(Table610111213[[#This Row],[Category No]],Table8[Category No],Table8[Chapter List],FALSE)</f>
        <v>Rig Vedic Period</v>
      </c>
      <c r="D13" s="34" t="s">
        <v>314</v>
      </c>
      <c r="E13" s="34" t="s">
        <v>695</v>
      </c>
      <c r="F13" s="34" t="s">
        <v>315</v>
      </c>
    </row>
    <row r="14" spans="1:6" x14ac:dyDescent="0.3">
      <c r="A14" s="32">
        <v>13</v>
      </c>
      <c r="B14" s="32" t="s">
        <v>62</v>
      </c>
      <c r="C14" s="32" t="str">
        <f>_xlfn.XLOOKUP(Table610111213[[#This Row],[Category No]],Table8[Category No],Table8[Chapter List],FALSE)</f>
        <v>Rig Vedic Period</v>
      </c>
      <c r="D14" s="34" t="s">
        <v>316</v>
      </c>
      <c r="E14" s="34" t="s">
        <v>695</v>
      </c>
      <c r="F14" s="34" t="s">
        <v>315</v>
      </c>
    </row>
    <row r="15" spans="1:6" x14ac:dyDescent="0.3">
      <c r="A15" s="32">
        <v>14</v>
      </c>
      <c r="B15" s="32" t="s">
        <v>62</v>
      </c>
      <c r="C15" s="32" t="str">
        <f>_xlfn.XLOOKUP(Table610111213[[#This Row],[Category No]],Table8[Category No],Table8[Chapter List],FALSE)</f>
        <v>Rig Vedic Period</v>
      </c>
      <c r="D15" s="34" t="s">
        <v>317</v>
      </c>
      <c r="E15" s="34" t="s">
        <v>695</v>
      </c>
      <c r="F15" s="34"/>
    </row>
    <row r="16" spans="1:6" x14ac:dyDescent="0.3">
      <c r="A16" s="32">
        <v>15</v>
      </c>
      <c r="B16" s="32" t="s">
        <v>62</v>
      </c>
      <c r="C16" s="32" t="str">
        <f>_xlfn.XLOOKUP(Table610111213[[#This Row],[Category No]],Table8[Category No],Table8[Chapter List],FALSE)</f>
        <v>Rig Vedic Period</v>
      </c>
      <c r="D16" s="34" t="s">
        <v>318</v>
      </c>
      <c r="E16" s="34" t="s">
        <v>695</v>
      </c>
      <c r="F16" s="34"/>
    </row>
    <row r="17" spans="1:6" x14ac:dyDescent="0.3">
      <c r="A17" s="32">
        <v>16</v>
      </c>
      <c r="B17" s="32" t="s">
        <v>62</v>
      </c>
      <c r="C17" s="32" t="str">
        <f>_xlfn.XLOOKUP(Table610111213[[#This Row],[Category No]],Table8[Category No],Table8[Chapter List],FALSE)</f>
        <v>Rig Vedic Period</v>
      </c>
      <c r="D17" s="34" t="s">
        <v>319</v>
      </c>
      <c r="E17" s="34" t="s">
        <v>695</v>
      </c>
      <c r="F17" s="34"/>
    </row>
    <row r="18" spans="1:6" x14ac:dyDescent="0.3">
      <c r="A18" s="32">
        <v>17</v>
      </c>
      <c r="B18" s="32" t="s">
        <v>62</v>
      </c>
      <c r="C18" s="32" t="str">
        <f>_xlfn.XLOOKUP(Table610111213[[#This Row],[Category No]],Table8[Category No],Table8[Chapter List],FALSE)</f>
        <v>Rig Vedic Period</v>
      </c>
      <c r="D18" s="34" t="s">
        <v>320</v>
      </c>
      <c r="E18" s="34" t="s">
        <v>695</v>
      </c>
      <c r="F18" s="34"/>
    </row>
    <row r="19" spans="1:6" x14ac:dyDescent="0.3">
      <c r="A19" s="32">
        <v>18</v>
      </c>
      <c r="B19" s="32" t="s">
        <v>62</v>
      </c>
      <c r="C19" s="32" t="str">
        <f>_xlfn.XLOOKUP(Table610111213[[#This Row],[Category No]],Table8[Category No],Table8[Chapter List],FALSE)</f>
        <v>Rig Vedic Period</v>
      </c>
      <c r="D19" s="34" t="s">
        <v>321</v>
      </c>
      <c r="E19" s="34" t="s">
        <v>695</v>
      </c>
      <c r="F19" s="34" t="s">
        <v>323</v>
      </c>
    </row>
    <row r="20" spans="1:6" x14ac:dyDescent="0.3">
      <c r="A20" s="32">
        <v>19</v>
      </c>
      <c r="B20" s="32" t="s">
        <v>62</v>
      </c>
      <c r="C20" s="32" t="str">
        <f>_xlfn.XLOOKUP(Table610111213[[#This Row],[Category No]],Table8[Category No],Table8[Chapter List],FALSE)</f>
        <v>Rig Vedic Period</v>
      </c>
      <c r="D20" s="34" t="s">
        <v>322</v>
      </c>
      <c r="E20" s="34" t="s">
        <v>695</v>
      </c>
      <c r="F20" s="34" t="s">
        <v>323</v>
      </c>
    </row>
    <row r="21" spans="1:6" x14ac:dyDescent="0.3">
      <c r="A21" s="32">
        <v>20</v>
      </c>
      <c r="B21" s="32" t="s">
        <v>62</v>
      </c>
      <c r="C21" s="32" t="str">
        <f>_xlfn.XLOOKUP(Table610111213[[#This Row],[Category No]],Table8[Category No],Table8[Chapter List],FALSE)</f>
        <v>Rig Vedic Period</v>
      </c>
      <c r="D21" s="34" t="s">
        <v>497</v>
      </c>
      <c r="E21" s="34" t="s">
        <v>697</v>
      </c>
      <c r="F21" s="34" t="s">
        <v>498</v>
      </c>
    </row>
    <row r="22" spans="1:6" x14ac:dyDescent="0.3">
      <c r="A22" s="32">
        <v>21</v>
      </c>
      <c r="B22" s="32" t="s">
        <v>62</v>
      </c>
      <c r="C22" s="32" t="str">
        <f>_xlfn.XLOOKUP(Table610111213[[#This Row],[Category No]],Table8[Category No],Table8[Chapter List],FALSE)</f>
        <v>Rig Vedic Period</v>
      </c>
      <c r="D22" s="34" t="s">
        <v>364</v>
      </c>
      <c r="E22" s="34" t="s">
        <v>697</v>
      </c>
      <c r="F22" s="34" t="s">
        <v>365</v>
      </c>
    </row>
    <row r="23" spans="1:6" x14ac:dyDescent="0.3">
      <c r="A23" s="32">
        <v>22</v>
      </c>
      <c r="B23" s="32" t="s">
        <v>62</v>
      </c>
      <c r="C23" s="32" t="str">
        <f>_xlfn.XLOOKUP(Table610111213[[#This Row],[Category No]],Table8[Category No],Table8[Chapter List],FALSE)</f>
        <v>Rig Vedic Period</v>
      </c>
      <c r="D23" s="34" t="s">
        <v>366</v>
      </c>
      <c r="E23" s="34" t="s">
        <v>697</v>
      </c>
      <c r="F23" s="34" t="s">
        <v>367</v>
      </c>
    </row>
    <row r="24" spans="1:6" x14ac:dyDescent="0.3">
      <c r="A24" s="32">
        <v>23</v>
      </c>
      <c r="B24" s="32" t="s">
        <v>62</v>
      </c>
      <c r="C24" s="32" t="str">
        <f>_xlfn.XLOOKUP(Table610111213[[#This Row],[Category No]],Table8[Category No],Table8[Chapter List],FALSE)</f>
        <v>Rig Vedic Period</v>
      </c>
      <c r="D24" s="34" t="s">
        <v>368</v>
      </c>
      <c r="E24" s="34" t="s">
        <v>697</v>
      </c>
      <c r="F24" s="34" t="s">
        <v>323</v>
      </c>
    </row>
    <row r="25" spans="1:6" x14ac:dyDescent="0.3">
      <c r="A25" s="32">
        <v>24</v>
      </c>
      <c r="B25" s="32" t="s">
        <v>62</v>
      </c>
      <c r="C25" s="32" t="str">
        <f>_xlfn.XLOOKUP(Table610111213[[#This Row],[Category No]],Table8[Category No],Table8[Chapter List],FALSE)</f>
        <v>Rig Vedic Period</v>
      </c>
      <c r="D25" s="34" t="s">
        <v>369</v>
      </c>
      <c r="E25" s="34" t="s">
        <v>697</v>
      </c>
      <c r="F25" s="34" t="s">
        <v>370</v>
      </c>
    </row>
    <row r="26" spans="1:6" x14ac:dyDescent="0.3">
      <c r="A26" s="32">
        <v>25</v>
      </c>
      <c r="B26" s="32" t="s">
        <v>62</v>
      </c>
      <c r="C26" s="32" t="str">
        <f>_xlfn.XLOOKUP(Table610111213[[#This Row],[Category No]],Table8[Category No],Table8[Chapter List],FALSE)</f>
        <v>Rig Vedic Period</v>
      </c>
      <c r="D26" s="34" t="s">
        <v>371</v>
      </c>
      <c r="E26" s="34" t="s">
        <v>697</v>
      </c>
      <c r="F26" s="34" t="s">
        <v>372</v>
      </c>
    </row>
    <row r="27" spans="1:6" x14ac:dyDescent="0.3">
      <c r="A27" s="32">
        <v>26</v>
      </c>
      <c r="B27" s="32" t="s">
        <v>62</v>
      </c>
      <c r="C27" s="32" t="str">
        <f>_xlfn.XLOOKUP(Table610111213[[#This Row],[Category No]],Table8[Category No],Table8[Chapter List],FALSE)</f>
        <v>Rig Vedic Period</v>
      </c>
      <c r="D27" s="34" t="s">
        <v>373</v>
      </c>
      <c r="E27" s="34" t="s">
        <v>697</v>
      </c>
      <c r="F27" s="34" t="s">
        <v>374</v>
      </c>
    </row>
    <row r="28" spans="1:6" x14ac:dyDescent="0.3">
      <c r="A28" s="32">
        <v>27</v>
      </c>
      <c r="B28" s="32" t="s">
        <v>62</v>
      </c>
      <c r="C28" s="32" t="str">
        <f>_xlfn.XLOOKUP(Table610111213[[#This Row],[Category No]],Table8[Category No],Table8[Chapter List],FALSE)</f>
        <v>Rig Vedic Period</v>
      </c>
      <c r="D28" s="34" t="s">
        <v>375</v>
      </c>
      <c r="E28" s="34" t="s">
        <v>697</v>
      </c>
      <c r="F28" s="34" t="s">
        <v>376</v>
      </c>
    </row>
    <row r="29" spans="1:6" x14ac:dyDescent="0.3">
      <c r="A29" s="32">
        <v>28</v>
      </c>
      <c r="B29" s="32" t="s">
        <v>62</v>
      </c>
      <c r="C29" s="32" t="str">
        <f>_xlfn.XLOOKUP(Table610111213[[#This Row],[Category No]],Table8[Category No],Table8[Chapter List],FALSE)</f>
        <v>Rig Vedic Period</v>
      </c>
      <c r="D29" s="34" t="s">
        <v>377</v>
      </c>
      <c r="E29" s="34" t="s">
        <v>697</v>
      </c>
      <c r="F29" s="34" t="s">
        <v>378</v>
      </c>
    </row>
    <row r="30" spans="1:6" x14ac:dyDescent="0.3">
      <c r="A30" s="32">
        <v>29</v>
      </c>
      <c r="B30" s="32" t="s">
        <v>62</v>
      </c>
      <c r="C30" s="32" t="str">
        <f>_xlfn.XLOOKUP(Table610111213[[#This Row],[Category No]],Table8[Category No],Table8[Chapter List],FALSE)</f>
        <v>Rig Vedic Period</v>
      </c>
      <c r="D30" s="34" t="s">
        <v>379</v>
      </c>
      <c r="E30" s="34" t="s">
        <v>697</v>
      </c>
      <c r="F30" s="34" t="s">
        <v>380</v>
      </c>
    </row>
    <row r="31" spans="1:6" x14ac:dyDescent="0.3">
      <c r="A31" s="32">
        <v>30</v>
      </c>
      <c r="B31" s="32" t="s">
        <v>62</v>
      </c>
      <c r="C31" s="32" t="str">
        <f>_xlfn.XLOOKUP(Table610111213[[#This Row],[Category No]],Table8[Category No],Table8[Chapter List],FALSE)</f>
        <v>Rig Vedic Period</v>
      </c>
      <c r="D31" s="34" t="s">
        <v>381</v>
      </c>
      <c r="E31" s="34" t="s">
        <v>697</v>
      </c>
      <c r="F31" s="34" t="s">
        <v>382</v>
      </c>
    </row>
    <row r="32" spans="1:6" x14ac:dyDescent="0.3">
      <c r="A32" s="32">
        <v>31</v>
      </c>
      <c r="B32" s="32" t="s">
        <v>62</v>
      </c>
      <c r="C32" s="32" t="str">
        <f>_xlfn.XLOOKUP(Table610111213[[#This Row],[Category No]],Table8[Category No],Table8[Chapter List],FALSE)</f>
        <v>Rig Vedic Period</v>
      </c>
      <c r="D32" s="34" t="s">
        <v>383</v>
      </c>
      <c r="E32" s="34" t="s">
        <v>697</v>
      </c>
      <c r="F32" s="34" t="s">
        <v>384</v>
      </c>
    </row>
    <row r="33" spans="1:7" x14ac:dyDescent="0.3">
      <c r="A33" s="32">
        <v>32</v>
      </c>
      <c r="B33" s="32" t="s">
        <v>62</v>
      </c>
      <c r="C33" s="32" t="str">
        <f>_xlfn.XLOOKUP(Table610111213[[#This Row],[Category No]],Table8[Category No],Table8[Chapter List],FALSE)</f>
        <v>Rig Vedic Period</v>
      </c>
      <c r="D33" s="34" t="s">
        <v>411</v>
      </c>
      <c r="E33" s="34" t="s">
        <v>697</v>
      </c>
      <c r="F33" s="34" t="s">
        <v>412</v>
      </c>
    </row>
    <row r="34" spans="1:7" x14ac:dyDescent="0.3">
      <c r="A34" s="32">
        <v>33</v>
      </c>
      <c r="B34" s="32" t="s">
        <v>62</v>
      </c>
      <c r="C34" s="32" t="str">
        <f>_xlfn.XLOOKUP(Table610111213[[#This Row],[Category No]],Table8[Category No],Table8[Chapter List],FALSE)</f>
        <v>Rig Vedic Period</v>
      </c>
      <c r="D34" s="34" t="s">
        <v>460</v>
      </c>
      <c r="E34" s="34" t="s">
        <v>697</v>
      </c>
      <c r="F34" s="34" t="s">
        <v>461</v>
      </c>
    </row>
    <row r="35" spans="1:7" x14ac:dyDescent="0.3">
      <c r="A35" s="32">
        <v>34</v>
      </c>
      <c r="B35" s="32" t="s">
        <v>62</v>
      </c>
      <c r="C35" s="32" t="str">
        <f>_xlfn.XLOOKUP(Table610111213[[#This Row],[Category No]],Table8[Category No],Table8[Chapter List],FALSE)</f>
        <v>Rig Vedic Period</v>
      </c>
      <c r="D35" s="34" t="s">
        <v>462</v>
      </c>
      <c r="E35" s="34" t="s">
        <v>697</v>
      </c>
      <c r="F35" s="34" t="s">
        <v>463</v>
      </c>
    </row>
    <row r="36" spans="1:7" x14ac:dyDescent="0.3">
      <c r="A36" s="32">
        <v>35</v>
      </c>
      <c r="B36" s="32" t="s">
        <v>62</v>
      </c>
      <c r="C36" s="32" t="str">
        <f>_xlfn.XLOOKUP(Table610111213[[#This Row],[Category No]],Table8[Category No],Table8[Chapter List],FALSE)</f>
        <v>Rig Vedic Period</v>
      </c>
      <c r="D36" s="34" t="s">
        <v>514</v>
      </c>
      <c r="E36" s="34" t="s">
        <v>697</v>
      </c>
      <c r="F36" s="34" t="s">
        <v>515</v>
      </c>
      <c r="G36" s="64" t="s">
        <v>530</v>
      </c>
    </row>
    <row r="37" spans="1:7" x14ac:dyDescent="0.3">
      <c r="A37" s="32">
        <v>36</v>
      </c>
      <c r="B37" s="32" t="s">
        <v>62</v>
      </c>
      <c r="C37" s="32" t="str">
        <f>_xlfn.XLOOKUP(Table610111213[[#This Row],[Category No]],Table8[Category No],Table8[Chapter List],FALSE)</f>
        <v>Rig Vedic Period</v>
      </c>
      <c r="D37" s="34" t="s">
        <v>516</v>
      </c>
      <c r="E37" s="34" t="s">
        <v>697</v>
      </c>
      <c r="F37" s="34" t="s">
        <v>517</v>
      </c>
      <c r="G37" s="64"/>
    </row>
    <row r="38" spans="1:7" x14ac:dyDescent="0.3">
      <c r="A38" s="32">
        <v>37</v>
      </c>
      <c r="B38" s="32" t="s">
        <v>62</v>
      </c>
      <c r="C38" s="32" t="str">
        <f>_xlfn.XLOOKUP(Table610111213[[#This Row],[Category No]],Table8[Category No],Table8[Chapter List],FALSE)</f>
        <v>Rig Vedic Period</v>
      </c>
      <c r="D38" s="34" t="s">
        <v>518</v>
      </c>
      <c r="E38" s="34" t="s">
        <v>697</v>
      </c>
      <c r="F38" s="34" t="s">
        <v>519</v>
      </c>
      <c r="G38" s="64"/>
    </row>
    <row r="39" spans="1:7" x14ac:dyDescent="0.3">
      <c r="A39" s="32">
        <v>38</v>
      </c>
      <c r="B39" s="32" t="s">
        <v>62</v>
      </c>
      <c r="C39" s="32" t="str">
        <f>_xlfn.XLOOKUP(Table610111213[[#This Row],[Category No]],Table8[Category No],Table8[Chapter List],FALSE)</f>
        <v>Rig Vedic Period</v>
      </c>
      <c r="D39" s="34" t="s">
        <v>520</v>
      </c>
      <c r="E39" s="34" t="s">
        <v>697</v>
      </c>
      <c r="F39" s="34" t="s">
        <v>521</v>
      </c>
      <c r="G39" s="64"/>
    </row>
    <row r="40" spans="1:7" x14ac:dyDescent="0.3">
      <c r="A40" s="32">
        <v>39</v>
      </c>
      <c r="B40" s="32" t="s">
        <v>62</v>
      </c>
      <c r="C40" s="32" t="str">
        <f>_xlfn.XLOOKUP(Table610111213[[#This Row],[Category No]],Table8[Category No],Table8[Chapter List],FALSE)</f>
        <v>Rig Vedic Period</v>
      </c>
      <c r="D40" s="34" t="s">
        <v>522</v>
      </c>
      <c r="E40" s="34" t="s">
        <v>697</v>
      </c>
      <c r="F40" s="34" t="s">
        <v>523</v>
      </c>
      <c r="G40" s="64"/>
    </row>
    <row r="41" spans="1:7" x14ac:dyDescent="0.3">
      <c r="A41" s="32">
        <v>40</v>
      </c>
      <c r="B41" s="32" t="s">
        <v>62</v>
      </c>
      <c r="C41" s="32" t="str">
        <f>_xlfn.XLOOKUP(Table610111213[[#This Row],[Category No]],Table8[Category No],Table8[Chapter List],FALSE)</f>
        <v>Rig Vedic Period</v>
      </c>
      <c r="D41" s="34" t="s">
        <v>524</v>
      </c>
      <c r="E41" s="34" t="s">
        <v>697</v>
      </c>
      <c r="F41" s="34" t="s">
        <v>525</v>
      </c>
      <c r="G41" s="64"/>
    </row>
    <row r="42" spans="1:7" x14ac:dyDescent="0.3">
      <c r="A42" s="32">
        <v>41</v>
      </c>
      <c r="B42" s="32" t="s">
        <v>62</v>
      </c>
      <c r="C42" s="32" t="str">
        <f>_xlfn.XLOOKUP(Table610111213[[#This Row],[Category No]],Table8[Category No],Table8[Chapter List],FALSE)</f>
        <v>Rig Vedic Period</v>
      </c>
      <c r="D42" s="34" t="s">
        <v>526</v>
      </c>
      <c r="E42" s="34" t="s">
        <v>697</v>
      </c>
      <c r="F42" s="34" t="s">
        <v>527</v>
      </c>
      <c r="G42" s="64"/>
    </row>
    <row r="43" spans="1:7" x14ac:dyDescent="0.3">
      <c r="A43" s="32">
        <v>42</v>
      </c>
      <c r="B43" s="32" t="s">
        <v>62</v>
      </c>
      <c r="C43" s="32" t="str">
        <f>_xlfn.XLOOKUP(Table610111213[[#This Row],[Category No]],Table8[Category No],Table8[Chapter List],FALSE)</f>
        <v>Rig Vedic Period</v>
      </c>
      <c r="D43" s="34" t="s">
        <v>528</v>
      </c>
      <c r="E43" s="34" t="s">
        <v>697</v>
      </c>
      <c r="F43" s="34" t="s">
        <v>529</v>
      </c>
      <c r="G43" s="64"/>
    </row>
    <row r="44" spans="1:7" x14ac:dyDescent="0.3">
      <c r="A44" s="32">
        <v>43</v>
      </c>
      <c r="B44" s="32" t="s">
        <v>62</v>
      </c>
      <c r="C44" s="32" t="str">
        <f>_xlfn.XLOOKUP(Table610111213[[#This Row],[Category No]],Table8[Category No],Table8[Chapter List],FALSE)</f>
        <v>Rig Vedic Period</v>
      </c>
      <c r="D44" s="34" t="s">
        <v>531</v>
      </c>
      <c r="E44" s="34" t="s">
        <v>697</v>
      </c>
      <c r="F44" s="34" t="s">
        <v>532</v>
      </c>
      <c r="G44" s="64" t="s">
        <v>539</v>
      </c>
    </row>
    <row r="45" spans="1:7" x14ac:dyDescent="0.3">
      <c r="A45" s="32">
        <v>44</v>
      </c>
      <c r="B45" s="32" t="s">
        <v>62</v>
      </c>
      <c r="C45" s="32" t="str">
        <f>_xlfn.XLOOKUP(Table610111213[[#This Row],[Category No]],Table8[Category No],Table8[Chapter List],FALSE)</f>
        <v>Rig Vedic Period</v>
      </c>
      <c r="D45" s="34" t="s">
        <v>533</v>
      </c>
      <c r="E45" s="34" t="s">
        <v>697</v>
      </c>
      <c r="F45" s="34" t="s">
        <v>534</v>
      </c>
      <c r="G45" s="64"/>
    </row>
    <row r="46" spans="1:7" x14ac:dyDescent="0.3">
      <c r="A46" s="32">
        <v>45</v>
      </c>
      <c r="B46" s="32" t="s">
        <v>62</v>
      </c>
      <c r="C46" s="32" t="str">
        <f>_xlfn.XLOOKUP(Table610111213[[#This Row],[Category No]],Table8[Category No],Table8[Chapter List],FALSE)</f>
        <v>Rig Vedic Period</v>
      </c>
      <c r="D46" s="34" t="s">
        <v>535</v>
      </c>
      <c r="E46" s="34" t="s">
        <v>697</v>
      </c>
      <c r="F46" s="34" t="s">
        <v>536</v>
      </c>
      <c r="G46" s="64"/>
    </row>
    <row r="47" spans="1:7" x14ac:dyDescent="0.3">
      <c r="A47" s="32">
        <v>46</v>
      </c>
      <c r="B47" s="32" t="s">
        <v>62</v>
      </c>
      <c r="C47" s="32" t="str">
        <f>_xlfn.XLOOKUP(Table610111213[[#This Row],[Category No]],Table8[Category No],Table8[Chapter List],FALSE)</f>
        <v>Rig Vedic Period</v>
      </c>
      <c r="D47" s="34" t="s">
        <v>537</v>
      </c>
      <c r="E47" s="34" t="s">
        <v>697</v>
      </c>
      <c r="F47" s="34" t="s">
        <v>538</v>
      </c>
      <c r="G47" s="64"/>
    </row>
    <row r="48" spans="1:7" x14ac:dyDescent="0.3">
      <c r="A48" s="32">
        <v>47</v>
      </c>
      <c r="B48" s="32" t="s">
        <v>62</v>
      </c>
      <c r="C48" s="32" t="str">
        <f>_xlfn.XLOOKUP(Table610111213[[#This Row],[Category No]],Table8[Category No],Table8[Chapter List],FALSE)</f>
        <v>Rig Vedic Period</v>
      </c>
      <c r="D48" s="34" t="s">
        <v>368</v>
      </c>
      <c r="E48" s="34" t="s">
        <v>697</v>
      </c>
      <c r="F48" s="34" t="s">
        <v>323</v>
      </c>
      <c r="G48" s="65" t="s">
        <v>1302</v>
      </c>
    </row>
    <row r="49" spans="1:7" x14ac:dyDescent="0.3">
      <c r="A49" s="32">
        <v>48</v>
      </c>
      <c r="B49" s="32" t="s">
        <v>62</v>
      </c>
      <c r="C49" s="32" t="str">
        <f>_xlfn.XLOOKUP(Table610111213[[#This Row],[Category No]],Table8[Category No],Table8[Chapter List],FALSE)</f>
        <v>Rig Vedic Period</v>
      </c>
      <c r="D49" s="34" t="s">
        <v>543</v>
      </c>
      <c r="E49" s="34" t="s">
        <v>697</v>
      </c>
      <c r="F49" s="34" t="s">
        <v>544</v>
      </c>
      <c r="G49" s="66"/>
    </row>
    <row r="50" spans="1:7" x14ac:dyDescent="0.3">
      <c r="A50" s="32">
        <v>49</v>
      </c>
      <c r="B50" s="32" t="s">
        <v>62</v>
      </c>
      <c r="C50" s="32" t="str">
        <f>_xlfn.XLOOKUP(Table610111213[[#This Row],[Category No]],Table8[Category No],Table8[Chapter List],FALSE)</f>
        <v>Rig Vedic Period</v>
      </c>
      <c r="D50" s="34" t="s">
        <v>545</v>
      </c>
      <c r="E50" s="34" t="s">
        <v>697</v>
      </c>
      <c r="F50" s="34" t="s">
        <v>546</v>
      </c>
      <c r="G50" s="66"/>
    </row>
    <row r="51" spans="1:7" x14ac:dyDescent="0.3">
      <c r="A51" s="32">
        <v>50</v>
      </c>
      <c r="B51" s="32" t="s">
        <v>62</v>
      </c>
      <c r="C51" s="32" t="str">
        <f>_xlfn.XLOOKUP(Table610111213[[#This Row],[Category No]],Table8[Category No],Table8[Chapter List],FALSE)</f>
        <v>Rig Vedic Period</v>
      </c>
      <c r="D51" s="34" t="s">
        <v>547</v>
      </c>
      <c r="E51" s="34" t="s">
        <v>697</v>
      </c>
      <c r="F51" s="34" t="s">
        <v>517</v>
      </c>
      <c r="G51" s="66"/>
    </row>
    <row r="52" spans="1:7" x14ac:dyDescent="0.3">
      <c r="A52" s="32">
        <v>51</v>
      </c>
      <c r="B52" s="32" t="s">
        <v>62</v>
      </c>
      <c r="C52" s="32" t="str">
        <f>_xlfn.XLOOKUP(Table610111213[[#This Row],[Category No]],Table8[Category No],Table8[Chapter List],FALSE)</f>
        <v>Rig Vedic Period</v>
      </c>
      <c r="D52" s="34" t="s">
        <v>548</v>
      </c>
      <c r="E52" s="34" t="s">
        <v>697</v>
      </c>
      <c r="F52" s="34" t="s">
        <v>549</v>
      </c>
      <c r="G52" s="66"/>
    </row>
    <row r="53" spans="1:7" x14ac:dyDescent="0.3">
      <c r="A53" s="32">
        <v>52</v>
      </c>
      <c r="B53" s="32" t="s">
        <v>62</v>
      </c>
      <c r="C53" s="32" t="str">
        <f>_xlfn.XLOOKUP(Table610111213[[#This Row],[Category No]],Table8[Category No],Table8[Chapter List],FALSE)</f>
        <v>Rig Vedic Period</v>
      </c>
      <c r="D53" s="34" t="s">
        <v>375</v>
      </c>
      <c r="E53" s="34" t="s">
        <v>697</v>
      </c>
      <c r="F53" s="34" t="s">
        <v>550</v>
      </c>
      <c r="G53" s="66"/>
    </row>
    <row r="54" spans="1:7" x14ac:dyDescent="0.3">
      <c r="A54" s="32">
        <v>53</v>
      </c>
      <c r="B54" s="32" t="s">
        <v>62</v>
      </c>
      <c r="C54" s="32" t="str">
        <f>_xlfn.XLOOKUP(Table610111213[[#This Row],[Category No]],Table8[Category No],Table8[Chapter List],FALSE)</f>
        <v>Rig Vedic Period</v>
      </c>
      <c r="D54" s="34" t="s">
        <v>551</v>
      </c>
      <c r="E54" s="34" t="s">
        <v>697</v>
      </c>
      <c r="F54" s="34" t="s">
        <v>552</v>
      </c>
      <c r="G54" s="66"/>
    </row>
    <row r="55" spans="1:7" x14ac:dyDescent="0.3">
      <c r="A55" s="32">
        <v>54</v>
      </c>
      <c r="B55" s="32" t="s">
        <v>62</v>
      </c>
      <c r="C55" s="32" t="str">
        <f>_xlfn.XLOOKUP(Table610111213[[#This Row],[Category No]],Table8[Category No],Table8[Chapter List],FALSE)</f>
        <v>Rig Vedic Period</v>
      </c>
      <c r="D55" s="34" t="s">
        <v>553</v>
      </c>
      <c r="E55" s="34" t="s">
        <v>697</v>
      </c>
      <c r="F55" s="34" t="s">
        <v>554</v>
      </c>
      <c r="G55" s="66"/>
    </row>
    <row r="56" spans="1:7" x14ac:dyDescent="0.3">
      <c r="A56" s="32">
        <v>55</v>
      </c>
      <c r="B56" s="32" t="s">
        <v>62</v>
      </c>
      <c r="C56" s="32" t="str">
        <f>_xlfn.XLOOKUP(Table610111213[[#This Row],[Category No]],Table8[Category No],Table8[Chapter List],FALSE)</f>
        <v>Rig Vedic Period</v>
      </c>
      <c r="D56" s="34" t="s">
        <v>555</v>
      </c>
      <c r="E56" s="34" t="s">
        <v>697</v>
      </c>
      <c r="F56" s="34" t="s">
        <v>521</v>
      </c>
      <c r="G56" s="66"/>
    </row>
    <row r="57" spans="1:7" x14ac:dyDescent="0.3">
      <c r="A57" s="32">
        <v>56</v>
      </c>
      <c r="B57" s="32" t="s">
        <v>62</v>
      </c>
      <c r="C57" s="32" t="str">
        <f>_xlfn.XLOOKUP(Table610111213[[#This Row],[Category No]],Table8[Category No],Table8[Chapter List],FALSE)</f>
        <v>Rig Vedic Period</v>
      </c>
      <c r="D57" s="34" t="s">
        <v>556</v>
      </c>
      <c r="E57" s="34" t="s">
        <v>697</v>
      </c>
      <c r="F57" s="34" t="s">
        <v>557</v>
      </c>
      <c r="G57" s="66"/>
    </row>
    <row r="58" spans="1:7" x14ac:dyDescent="0.3">
      <c r="A58" s="32">
        <v>57</v>
      </c>
      <c r="B58" s="32" t="s">
        <v>62</v>
      </c>
      <c r="C58" s="32" t="str">
        <f>_xlfn.XLOOKUP(Table610111213[[#This Row],[Category No]],Table8[Category No],Table8[Chapter List],FALSE)</f>
        <v>Rig Vedic Period</v>
      </c>
      <c r="D58" s="34" t="s">
        <v>558</v>
      </c>
      <c r="E58" s="34" t="s">
        <v>697</v>
      </c>
      <c r="F58" s="34" t="s">
        <v>559</v>
      </c>
      <c r="G58" s="66"/>
    </row>
    <row r="59" spans="1:7" x14ac:dyDescent="0.3">
      <c r="A59" s="32">
        <v>58</v>
      </c>
      <c r="B59" s="32" t="s">
        <v>62</v>
      </c>
      <c r="C59" s="32" t="str">
        <f>_xlfn.XLOOKUP(Table610111213[[#This Row],[Category No]],Table8[Category No],Table8[Chapter List],FALSE)</f>
        <v>Rig Vedic Period</v>
      </c>
      <c r="D59" s="34" t="s">
        <v>514</v>
      </c>
      <c r="E59" s="34" t="s">
        <v>697</v>
      </c>
      <c r="F59" s="34" t="s">
        <v>560</v>
      </c>
      <c r="G59" s="66"/>
    </row>
    <row r="60" spans="1:7" x14ac:dyDescent="0.3">
      <c r="A60" s="32">
        <v>59</v>
      </c>
      <c r="B60" s="32" t="s">
        <v>62</v>
      </c>
      <c r="C60" s="32" t="str">
        <f>_xlfn.XLOOKUP(Table610111213[[#This Row],[Category No]],Table8[Category No],Table8[Chapter List],FALSE)</f>
        <v>Rig Vedic Period</v>
      </c>
      <c r="D60" s="34" t="s">
        <v>561</v>
      </c>
      <c r="E60" s="34" t="s">
        <v>697</v>
      </c>
      <c r="F60" s="34" t="s">
        <v>562</v>
      </c>
    </row>
    <row r="61" spans="1:7" x14ac:dyDescent="0.3">
      <c r="A61" s="32">
        <v>60</v>
      </c>
      <c r="B61" s="32" t="s">
        <v>62</v>
      </c>
      <c r="C61" s="32" t="str">
        <f>_xlfn.XLOOKUP(Table610111213[[#This Row],[Category No]],Table8[Category No],Table8[Chapter List],FALSE)</f>
        <v>Rig Vedic Period</v>
      </c>
      <c r="D61" s="34" t="s">
        <v>563</v>
      </c>
      <c r="E61" s="34" t="s">
        <v>697</v>
      </c>
      <c r="F61" s="34" t="s">
        <v>564</v>
      </c>
    </row>
    <row r="62" spans="1:7" x14ac:dyDescent="0.3">
      <c r="A62" s="32">
        <v>61</v>
      </c>
      <c r="B62" s="32" t="s">
        <v>62</v>
      </c>
      <c r="C62" s="32" t="str">
        <f>_xlfn.XLOOKUP(Table610111213[[#This Row],[Category No]],Table8[Category No],Table8[Chapter List],FALSE)</f>
        <v>Rig Vedic Period</v>
      </c>
      <c r="D62" s="34" t="s">
        <v>565</v>
      </c>
      <c r="E62" s="34" t="s">
        <v>697</v>
      </c>
      <c r="F62" s="34" t="s">
        <v>566</v>
      </c>
    </row>
    <row r="63" spans="1:7" x14ac:dyDescent="0.3">
      <c r="A63" s="32">
        <v>62</v>
      </c>
      <c r="B63" s="32" t="s">
        <v>62</v>
      </c>
      <c r="C63" s="32" t="str">
        <f>_xlfn.XLOOKUP(Table610111213[[#This Row],[Category No]],Table8[Category No],Table8[Chapter List],FALSE)</f>
        <v>Rig Vedic Period</v>
      </c>
      <c r="D63" s="34" t="s">
        <v>567</v>
      </c>
      <c r="E63" s="34" t="s">
        <v>697</v>
      </c>
      <c r="F63" s="34" t="s">
        <v>568</v>
      </c>
    </row>
    <row r="64" spans="1:7" x14ac:dyDescent="0.3">
      <c r="A64" s="32">
        <v>63</v>
      </c>
      <c r="B64" s="32" t="s">
        <v>62</v>
      </c>
      <c r="C64" s="32" t="str">
        <f>_xlfn.XLOOKUP(Table610111213[[#This Row],[Category No]],Table8[Category No],Table8[Chapter List],FALSE)</f>
        <v>Rig Vedic Period</v>
      </c>
      <c r="D64" s="34" t="s">
        <v>631</v>
      </c>
      <c r="E64" s="34" t="s">
        <v>697</v>
      </c>
      <c r="F64" s="34" t="s">
        <v>632</v>
      </c>
    </row>
    <row r="65" spans="1:6" x14ac:dyDescent="0.3">
      <c r="A65" s="32">
        <v>64</v>
      </c>
      <c r="B65" s="32" t="s">
        <v>62</v>
      </c>
      <c r="C65" s="32" t="str">
        <f>_xlfn.XLOOKUP(Table610111213[[#This Row],[Category No]],Table8[Category No],Table8[Chapter List],FALSE)</f>
        <v>Rig Vedic Period</v>
      </c>
      <c r="D65" s="34" t="s">
        <v>633</v>
      </c>
      <c r="E65" s="34" t="s">
        <v>697</v>
      </c>
      <c r="F65" s="34" t="s">
        <v>634</v>
      </c>
    </row>
    <row r="66" spans="1:6" x14ac:dyDescent="0.3">
      <c r="A66" s="32">
        <v>65</v>
      </c>
      <c r="B66" s="32" t="s">
        <v>62</v>
      </c>
      <c r="C66" s="32" t="str">
        <f>_xlfn.XLOOKUP(Table610111213[[#This Row],[Category No]],Table8[Category No],Table8[Chapter List],FALSE)</f>
        <v>Rig Vedic Period</v>
      </c>
      <c r="D66" s="34" t="s">
        <v>635</v>
      </c>
      <c r="E66" s="34" t="s">
        <v>695</v>
      </c>
      <c r="F66" s="34" t="s">
        <v>636</v>
      </c>
    </row>
    <row r="67" spans="1:6" x14ac:dyDescent="0.3">
      <c r="A67" s="32">
        <v>66</v>
      </c>
      <c r="B67" s="32" t="s">
        <v>62</v>
      </c>
      <c r="C67" s="32" t="str">
        <f>_xlfn.XLOOKUP(Table610111213[[#This Row],[Category No]],Table8[Category No],Table8[Chapter List],FALSE)</f>
        <v>Rig Vedic Period</v>
      </c>
      <c r="D67" s="34" t="s">
        <v>637</v>
      </c>
      <c r="E67" s="34" t="s">
        <v>695</v>
      </c>
      <c r="F67" s="34" t="s">
        <v>638</v>
      </c>
    </row>
    <row r="68" spans="1:6" x14ac:dyDescent="0.3">
      <c r="A68" s="32">
        <v>67</v>
      </c>
      <c r="B68" s="32" t="s">
        <v>62</v>
      </c>
      <c r="C68" s="32" t="str">
        <f>_xlfn.XLOOKUP(Table610111213[[#This Row],[Category No]],Table8[Category No],Table8[Chapter List],FALSE)</f>
        <v>Rig Vedic Period</v>
      </c>
      <c r="D68" s="34" t="s">
        <v>639</v>
      </c>
      <c r="E68" s="34" t="s">
        <v>695</v>
      </c>
      <c r="F68" s="34" t="s">
        <v>640</v>
      </c>
    </row>
    <row r="69" spans="1:6" x14ac:dyDescent="0.3">
      <c r="A69" s="32">
        <v>68</v>
      </c>
      <c r="B69" s="32" t="s">
        <v>63</v>
      </c>
      <c r="C69" s="32" t="str">
        <f>_xlfn.XLOOKUP(Table610111213[[#This Row],[Category No]],Table8[Category No],Table8[Chapter List],FALSE)</f>
        <v>Later Vedic Period</v>
      </c>
      <c r="D69" s="34" t="s">
        <v>497</v>
      </c>
      <c r="E69" s="34" t="s">
        <v>697</v>
      </c>
      <c r="F69" s="34" t="s">
        <v>498</v>
      </c>
    </row>
    <row r="70" spans="1:6" x14ac:dyDescent="0.3">
      <c r="A70" s="32">
        <v>69</v>
      </c>
      <c r="B70" s="32" t="s">
        <v>63</v>
      </c>
      <c r="C70" s="32" t="str">
        <f>_xlfn.XLOOKUP(Table610111213[[#This Row],[Category No]],Table8[Category No],Table8[Chapter List],FALSE)</f>
        <v>Later Vedic Period</v>
      </c>
      <c r="D70" s="34" t="s">
        <v>631</v>
      </c>
      <c r="E70" s="34" t="s">
        <v>695</v>
      </c>
      <c r="F70" s="34" t="s">
        <v>632</v>
      </c>
    </row>
    <row r="71" spans="1:6" x14ac:dyDescent="0.3">
      <c r="A71" s="32">
        <v>70</v>
      </c>
      <c r="B71" s="32" t="s">
        <v>64</v>
      </c>
      <c r="C71" s="32" t="str">
        <f>_xlfn.XLOOKUP(Table610111213[[#This Row],[Category No]],Table8[Category No],Table8[Chapter List],FALSE)</f>
        <v>Evolution of Jainism and Buddhism</v>
      </c>
      <c r="D71" s="34" t="s">
        <v>698</v>
      </c>
      <c r="E71" s="34"/>
      <c r="F71" s="34" t="s">
        <v>699</v>
      </c>
    </row>
    <row r="72" spans="1:6" x14ac:dyDescent="0.3">
      <c r="A72" s="32">
        <v>71</v>
      </c>
      <c r="B72" s="32" t="s">
        <v>64</v>
      </c>
      <c r="C72" s="32" t="str">
        <f>_xlfn.XLOOKUP(Table610111213[[#This Row],[Category No]],Table8[Category No],Table8[Chapter List],FALSE)</f>
        <v>Evolution of Jainism and Buddhism</v>
      </c>
      <c r="D72" s="34" t="s">
        <v>700</v>
      </c>
      <c r="E72" s="34"/>
      <c r="F72" s="34" t="s">
        <v>701</v>
      </c>
    </row>
    <row r="73" spans="1:6" x14ac:dyDescent="0.3">
      <c r="A73" s="32">
        <v>72</v>
      </c>
      <c r="B73" s="32" t="s">
        <v>64</v>
      </c>
      <c r="C73" s="32" t="str">
        <f>_xlfn.XLOOKUP(Table610111213[[#This Row],[Category No]],Table8[Category No],Table8[Chapter List],FALSE)</f>
        <v>Evolution of Jainism and Buddhism</v>
      </c>
      <c r="D73" s="34" t="s">
        <v>702</v>
      </c>
      <c r="E73" s="34"/>
      <c r="F73" s="34" t="s">
        <v>703</v>
      </c>
    </row>
    <row r="74" spans="1:6" x14ac:dyDescent="0.3">
      <c r="A74" s="32">
        <v>73</v>
      </c>
      <c r="B74" s="32" t="s">
        <v>64</v>
      </c>
      <c r="C74" s="32" t="str">
        <f>_xlfn.XLOOKUP(Table610111213[[#This Row],[Category No]],Table8[Category No],Table8[Chapter List],FALSE)</f>
        <v>Evolution of Jainism and Buddhism</v>
      </c>
      <c r="D74" s="34" t="s">
        <v>704</v>
      </c>
      <c r="E74" s="34" t="s">
        <v>695</v>
      </c>
      <c r="F74" s="34" t="s">
        <v>705</v>
      </c>
    </row>
    <row r="75" spans="1:6" x14ac:dyDescent="0.3">
      <c r="A75" s="32">
        <v>74</v>
      </c>
      <c r="B75" s="32" t="s">
        <v>64</v>
      </c>
      <c r="C75" s="32" t="str">
        <f>_xlfn.XLOOKUP(Table610111213[[#This Row],[Category No]],Table8[Category No],Table8[Chapter List],FALSE)</f>
        <v>Evolution of Jainism and Buddhism</v>
      </c>
      <c r="D75" s="34" t="s">
        <v>706</v>
      </c>
      <c r="E75" s="34" t="s">
        <v>695</v>
      </c>
      <c r="F75" s="34" t="s">
        <v>707</v>
      </c>
    </row>
    <row r="76" spans="1:6" x14ac:dyDescent="0.3">
      <c r="A76" s="32">
        <v>75</v>
      </c>
      <c r="B76" s="32" t="s">
        <v>64</v>
      </c>
      <c r="C76" s="32" t="str">
        <f>_xlfn.XLOOKUP(Table610111213[[#This Row],[Category No]],Table8[Category No],Table8[Chapter List],FALSE)</f>
        <v>Evolution of Jainism and Buddhism</v>
      </c>
      <c r="D76" s="34" t="s">
        <v>708</v>
      </c>
      <c r="E76" s="34" t="s">
        <v>695</v>
      </c>
      <c r="F76" s="34" t="s">
        <v>709</v>
      </c>
    </row>
    <row r="77" spans="1:6" x14ac:dyDescent="0.3">
      <c r="A77" s="32">
        <v>76</v>
      </c>
      <c r="B77" s="32" t="s">
        <v>64</v>
      </c>
      <c r="C77" s="32" t="str">
        <f>_xlfn.XLOOKUP(Table610111213[[#This Row],[Category No]],Table8[Category No],Table8[Chapter List],FALSE)</f>
        <v>Evolution of Jainism and Buddhism</v>
      </c>
      <c r="D77" s="34" t="s">
        <v>710</v>
      </c>
      <c r="E77" s="34" t="s">
        <v>695</v>
      </c>
      <c r="F77" s="34" t="s">
        <v>711</v>
      </c>
    </row>
    <row r="78" spans="1:6" x14ac:dyDescent="0.3">
      <c r="A78" s="32">
        <v>77</v>
      </c>
      <c r="B78" s="32" t="s">
        <v>64</v>
      </c>
      <c r="C78" s="32" t="str">
        <f>_xlfn.XLOOKUP(Table610111213[[#This Row],[Category No]],Table8[Category No],Table8[Chapter List],FALSE)</f>
        <v>Evolution of Jainism and Buddhism</v>
      </c>
      <c r="D78" s="34" t="s">
        <v>712</v>
      </c>
      <c r="E78" s="34" t="s">
        <v>695</v>
      </c>
      <c r="F78" s="34" t="s">
        <v>713</v>
      </c>
    </row>
    <row r="79" spans="1:6" x14ac:dyDescent="0.3">
      <c r="A79" s="32">
        <v>78</v>
      </c>
      <c r="B79" s="32" t="s">
        <v>64</v>
      </c>
      <c r="C79" s="32" t="str">
        <f>_xlfn.XLOOKUP(Table610111213[[#This Row],[Category No]],Table8[Category No],Table8[Chapter List],FALSE)</f>
        <v>Evolution of Jainism and Buddhism</v>
      </c>
      <c r="D79" s="34" t="s">
        <v>714</v>
      </c>
      <c r="E79" s="34" t="s">
        <v>695</v>
      </c>
      <c r="F79" s="34" t="s">
        <v>715</v>
      </c>
    </row>
    <row r="80" spans="1:6" ht="27.6" x14ac:dyDescent="0.3">
      <c r="A80" s="32">
        <v>79</v>
      </c>
      <c r="B80" s="32" t="s">
        <v>64</v>
      </c>
      <c r="C80" s="32" t="str">
        <f>_xlfn.XLOOKUP(Table610111213[[#This Row],[Category No]],Table8[Category No],Table8[Chapter List],FALSE)</f>
        <v>Evolution of Jainism and Buddhism</v>
      </c>
      <c r="D80" s="34" t="s">
        <v>716</v>
      </c>
      <c r="E80" s="34" t="s">
        <v>695</v>
      </c>
      <c r="F80" s="33" t="s">
        <v>717</v>
      </c>
    </row>
    <row r="81" spans="1:6" x14ac:dyDescent="0.3">
      <c r="A81" s="32">
        <v>80</v>
      </c>
      <c r="B81" s="32" t="s">
        <v>64</v>
      </c>
      <c r="C81" s="32" t="str">
        <f>_xlfn.XLOOKUP(Table610111213[[#This Row],[Category No]],Table8[Category No],Table8[Chapter List],FALSE)</f>
        <v>Evolution of Jainism and Buddhism</v>
      </c>
      <c r="D81" s="34" t="s">
        <v>718</v>
      </c>
      <c r="E81" s="34" t="s">
        <v>695</v>
      </c>
      <c r="F81" s="34" t="s">
        <v>719</v>
      </c>
    </row>
    <row r="82" spans="1:6" x14ac:dyDescent="0.3">
      <c r="A82" s="32">
        <v>81</v>
      </c>
      <c r="B82" s="32" t="s">
        <v>64</v>
      </c>
      <c r="C82" s="32" t="str">
        <f>_xlfn.XLOOKUP(Table610111213[[#This Row],[Category No]],Table8[Category No],Table8[Chapter List],FALSE)</f>
        <v>Evolution of Jainism and Buddhism</v>
      </c>
      <c r="D82" s="34" t="s">
        <v>720</v>
      </c>
      <c r="E82" s="34" t="s">
        <v>695</v>
      </c>
      <c r="F82" s="34" t="s">
        <v>721</v>
      </c>
    </row>
    <row r="83" spans="1:6" x14ac:dyDescent="0.3">
      <c r="A83" s="32">
        <v>82</v>
      </c>
      <c r="B83" s="32" t="s">
        <v>64</v>
      </c>
      <c r="C83" s="32" t="str">
        <f>_xlfn.XLOOKUP(Table610111213[[#This Row],[Category No]],Table8[Category No],Table8[Chapter List],FALSE)</f>
        <v>Evolution of Jainism and Buddhism</v>
      </c>
      <c r="D83" s="34" t="s">
        <v>722</v>
      </c>
      <c r="E83" s="34" t="s">
        <v>695</v>
      </c>
      <c r="F83" s="34" t="s">
        <v>723</v>
      </c>
    </row>
    <row r="84" spans="1:6" x14ac:dyDescent="0.3">
      <c r="A84" s="32">
        <v>83</v>
      </c>
      <c r="B84" s="32" t="s">
        <v>64</v>
      </c>
      <c r="C84" s="32" t="str">
        <f>_xlfn.XLOOKUP(Table610111213[[#This Row],[Category No]],Table8[Category No],Table8[Chapter List],FALSE)</f>
        <v>Evolution of Jainism and Buddhism</v>
      </c>
      <c r="D84" s="34" t="s">
        <v>724</v>
      </c>
      <c r="E84" s="34" t="s">
        <v>695</v>
      </c>
      <c r="F84" s="34" t="s">
        <v>725</v>
      </c>
    </row>
    <row r="85" spans="1:6" x14ac:dyDescent="0.3">
      <c r="A85" s="32">
        <v>84</v>
      </c>
      <c r="B85" s="32" t="s">
        <v>64</v>
      </c>
      <c r="C85" s="32" t="str">
        <f>_xlfn.XLOOKUP(Table610111213[[#This Row],[Category No]],Table8[Category No],Table8[Chapter List],FALSE)</f>
        <v>Evolution of Jainism and Buddhism</v>
      </c>
      <c r="D85" s="34" t="s">
        <v>726</v>
      </c>
      <c r="E85" s="34" t="s">
        <v>695</v>
      </c>
      <c r="F85" s="34" t="s">
        <v>727</v>
      </c>
    </row>
    <row r="86" spans="1:6" x14ac:dyDescent="0.3">
      <c r="A86" s="32">
        <v>85</v>
      </c>
      <c r="B86" s="32" t="s">
        <v>64</v>
      </c>
      <c r="C86" s="32" t="str">
        <f>_xlfn.XLOOKUP(Table610111213[[#This Row],[Category No]],Table8[Category No],Table8[Chapter List],FALSE)</f>
        <v>Evolution of Jainism and Buddhism</v>
      </c>
      <c r="D86" s="34" t="s">
        <v>728</v>
      </c>
      <c r="E86" s="34" t="s">
        <v>695</v>
      </c>
      <c r="F86" s="34" t="s">
        <v>729</v>
      </c>
    </row>
    <row r="87" spans="1:6" x14ac:dyDescent="0.3">
      <c r="A87" s="32">
        <v>86</v>
      </c>
      <c r="B87" s="32" t="s">
        <v>64</v>
      </c>
      <c r="C87" s="32" t="str">
        <f>_xlfn.XLOOKUP(Table610111213[[#This Row],[Category No]],Table8[Category No],Table8[Chapter List],FALSE)</f>
        <v>Evolution of Jainism and Buddhism</v>
      </c>
      <c r="D87" s="34" t="s">
        <v>730</v>
      </c>
      <c r="E87" s="34" t="s">
        <v>695</v>
      </c>
      <c r="F87" s="34" t="s">
        <v>731</v>
      </c>
    </row>
    <row r="88" spans="1:6" x14ac:dyDescent="0.3">
      <c r="A88" s="32">
        <v>87</v>
      </c>
      <c r="B88" s="32" t="s">
        <v>64</v>
      </c>
      <c r="C88" s="32" t="str">
        <f>_xlfn.XLOOKUP(Table610111213[[#This Row],[Category No]],Table8[Category No],Table8[Chapter List],FALSE)</f>
        <v>Evolution of Jainism and Buddhism</v>
      </c>
      <c r="D88" s="34" t="s">
        <v>732</v>
      </c>
      <c r="E88" s="34" t="s">
        <v>695</v>
      </c>
      <c r="F88" s="34" t="s">
        <v>733</v>
      </c>
    </row>
    <row r="89" spans="1:6" x14ac:dyDescent="0.3">
      <c r="A89" s="32">
        <v>88</v>
      </c>
      <c r="B89" s="32" t="s">
        <v>64</v>
      </c>
      <c r="C89" s="32" t="str">
        <f>_xlfn.XLOOKUP(Table610111213[[#This Row],[Category No]],Table8[Category No],Table8[Chapter List],FALSE)</f>
        <v>Evolution of Jainism and Buddhism</v>
      </c>
      <c r="D89" s="34" t="s">
        <v>734</v>
      </c>
      <c r="E89" s="34" t="s">
        <v>695</v>
      </c>
      <c r="F89" s="34" t="s">
        <v>735</v>
      </c>
    </row>
    <row r="90" spans="1:6" x14ac:dyDescent="0.3">
      <c r="A90" s="32">
        <v>89</v>
      </c>
      <c r="B90" s="32" t="s">
        <v>64</v>
      </c>
      <c r="C90" s="32" t="str">
        <f>_xlfn.XLOOKUP(Table610111213[[#This Row],[Category No]],Table8[Category No],Table8[Chapter List],FALSE)</f>
        <v>Evolution of Jainism and Buddhism</v>
      </c>
      <c r="D90" s="34" t="s">
        <v>736</v>
      </c>
      <c r="E90" s="34" t="s">
        <v>695</v>
      </c>
      <c r="F90" s="34" t="s">
        <v>737</v>
      </c>
    </row>
    <row r="91" spans="1:6" x14ac:dyDescent="0.3">
      <c r="A91" s="32">
        <v>90</v>
      </c>
      <c r="B91" s="32" t="s">
        <v>64</v>
      </c>
      <c r="C91" s="32" t="str">
        <f>_xlfn.XLOOKUP(Table610111213[[#This Row],[Category No]],Table8[Category No],Table8[Chapter List],FALSE)</f>
        <v>Evolution of Jainism and Buddhism</v>
      </c>
      <c r="D91" s="34" t="s">
        <v>738</v>
      </c>
      <c r="E91" s="34" t="s">
        <v>695</v>
      </c>
      <c r="F91" s="34" t="s">
        <v>739</v>
      </c>
    </row>
    <row r="92" spans="1:6" x14ac:dyDescent="0.3">
      <c r="A92" s="32">
        <v>91</v>
      </c>
      <c r="B92" s="32" t="s">
        <v>64</v>
      </c>
      <c r="C92" s="32" t="str">
        <f>_xlfn.XLOOKUP(Table610111213[[#This Row],[Category No]],Table8[Category No],Table8[Chapter List],FALSE)</f>
        <v>Evolution of Jainism and Buddhism</v>
      </c>
      <c r="D92" s="34" t="s">
        <v>740</v>
      </c>
      <c r="E92" s="34" t="s">
        <v>695</v>
      </c>
      <c r="F92" s="34" t="s">
        <v>739</v>
      </c>
    </row>
    <row r="93" spans="1:6" x14ac:dyDescent="0.3">
      <c r="A93" s="32">
        <v>92</v>
      </c>
      <c r="B93" s="32" t="s">
        <v>64</v>
      </c>
      <c r="C93" s="32" t="str">
        <f>_xlfn.XLOOKUP(Table610111213[[#This Row],[Category No]],Table8[Category No],Table8[Chapter List],FALSE)</f>
        <v>Evolution of Jainism and Buddhism</v>
      </c>
      <c r="D93" s="34" t="s">
        <v>741</v>
      </c>
      <c r="E93" s="34" t="s">
        <v>695</v>
      </c>
      <c r="F93" s="34" t="s">
        <v>742</v>
      </c>
    </row>
    <row r="94" spans="1:6" x14ac:dyDescent="0.3">
      <c r="A94" s="32">
        <v>93</v>
      </c>
      <c r="B94" s="32" t="s">
        <v>64</v>
      </c>
      <c r="C94" s="32" t="str">
        <f>_xlfn.XLOOKUP(Table610111213[[#This Row],[Category No]],Table8[Category No],Table8[Chapter List],FALSE)</f>
        <v>Evolution of Jainism and Buddhism</v>
      </c>
      <c r="D94" s="34" t="s">
        <v>743</v>
      </c>
      <c r="E94" s="34" t="s">
        <v>695</v>
      </c>
      <c r="F94" s="34" t="s">
        <v>746</v>
      </c>
    </row>
    <row r="95" spans="1:6" x14ac:dyDescent="0.3">
      <c r="A95" s="32">
        <v>94</v>
      </c>
      <c r="B95" s="32" t="s">
        <v>64</v>
      </c>
      <c r="C95" s="32" t="str">
        <f>_xlfn.XLOOKUP(Table610111213[[#This Row],[Category No]],Table8[Category No],Table8[Chapter List],FALSE)</f>
        <v>Evolution of Jainism and Buddhism</v>
      </c>
      <c r="D95" s="34" t="s">
        <v>744</v>
      </c>
      <c r="E95" s="34" t="s">
        <v>695</v>
      </c>
      <c r="F95" s="34" t="s">
        <v>746</v>
      </c>
    </row>
    <row r="96" spans="1:6" x14ac:dyDescent="0.3">
      <c r="A96" s="32">
        <v>95</v>
      </c>
      <c r="B96" s="32" t="s">
        <v>64</v>
      </c>
      <c r="C96" s="32" t="str">
        <f>_xlfn.XLOOKUP(Table610111213[[#This Row],[Category No]],Table8[Category No],Table8[Chapter List],FALSE)</f>
        <v>Evolution of Jainism and Buddhism</v>
      </c>
      <c r="D96" s="34" t="s">
        <v>745</v>
      </c>
      <c r="E96" s="34" t="s">
        <v>695</v>
      </c>
      <c r="F96" s="34" t="s">
        <v>746</v>
      </c>
    </row>
    <row r="97" spans="1:6" x14ac:dyDescent="0.3">
      <c r="A97" s="32">
        <v>96</v>
      </c>
      <c r="B97" s="32" t="s">
        <v>64</v>
      </c>
      <c r="C97" s="32" t="str">
        <f>_xlfn.XLOOKUP(Table610111213[[#This Row],[Category No]],Table8[Category No],Table8[Chapter List],FALSE)</f>
        <v>Evolution of Jainism and Buddhism</v>
      </c>
      <c r="D97" s="34" t="s">
        <v>747</v>
      </c>
      <c r="E97" s="34" t="s">
        <v>697</v>
      </c>
      <c r="F97" s="34" t="s">
        <v>748</v>
      </c>
    </row>
    <row r="98" spans="1:6" x14ac:dyDescent="0.3">
      <c r="A98" s="32">
        <v>97</v>
      </c>
      <c r="B98" s="32" t="s">
        <v>64</v>
      </c>
      <c r="C98" s="32" t="str">
        <f>_xlfn.XLOOKUP(Table610111213[[#This Row],[Category No]],Table8[Category No],Table8[Chapter List],FALSE)</f>
        <v>Evolution of Jainism and Buddhism</v>
      </c>
      <c r="D98" s="34" t="s">
        <v>749</v>
      </c>
      <c r="E98" s="34" t="s">
        <v>697</v>
      </c>
      <c r="F98" s="34" t="s">
        <v>750</v>
      </c>
    </row>
    <row r="99" spans="1:6" x14ac:dyDescent="0.3">
      <c r="A99" s="32">
        <v>98</v>
      </c>
      <c r="B99" s="32" t="s">
        <v>64</v>
      </c>
      <c r="C99" s="32" t="str">
        <f>_xlfn.XLOOKUP(Table610111213[[#This Row],[Category No]],Table8[Category No],Table8[Chapter List],FALSE)</f>
        <v>Evolution of Jainism and Buddhism</v>
      </c>
      <c r="D99" s="34" t="s">
        <v>751</v>
      </c>
      <c r="E99" s="34" t="s">
        <v>697</v>
      </c>
      <c r="F99" s="34" t="s">
        <v>752</v>
      </c>
    </row>
    <row r="100" spans="1:6" x14ac:dyDescent="0.3">
      <c r="A100" s="32">
        <v>99</v>
      </c>
      <c r="B100" s="32" t="s">
        <v>64</v>
      </c>
      <c r="C100" s="32" t="str">
        <f>_xlfn.XLOOKUP(Table610111213[[#This Row],[Category No]],Table8[Category No],Table8[Chapter List],FALSE)</f>
        <v>Evolution of Jainism and Buddhism</v>
      </c>
      <c r="D100" s="34" t="s">
        <v>753</v>
      </c>
      <c r="E100" s="34" t="s">
        <v>697</v>
      </c>
      <c r="F100" s="34" t="s">
        <v>754</v>
      </c>
    </row>
    <row r="101" spans="1:6" x14ac:dyDescent="0.3">
      <c r="A101" s="32">
        <v>100</v>
      </c>
      <c r="B101" s="32" t="s">
        <v>64</v>
      </c>
      <c r="C101" s="32" t="str">
        <f>_xlfn.XLOOKUP(Table610111213[[#This Row],[Category No]],Table8[Category No],Table8[Chapter List],FALSE)</f>
        <v>Evolution of Jainism and Buddhism</v>
      </c>
      <c r="D101" s="34" t="s">
        <v>755</v>
      </c>
      <c r="E101" s="34" t="s">
        <v>697</v>
      </c>
      <c r="F101" s="34" t="s">
        <v>756</v>
      </c>
    </row>
    <row r="102" spans="1:6" x14ac:dyDescent="0.3">
      <c r="A102" s="32">
        <v>101</v>
      </c>
      <c r="B102" s="32" t="s">
        <v>64</v>
      </c>
      <c r="C102" s="32" t="str">
        <f>_xlfn.XLOOKUP(Table610111213[[#This Row],[Category No]],Table8[Category No],Table8[Chapter List],FALSE)</f>
        <v>Evolution of Jainism and Buddhism</v>
      </c>
      <c r="D102" s="34" t="s">
        <v>757</v>
      </c>
      <c r="E102" s="34" t="s">
        <v>697</v>
      </c>
      <c r="F102" s="34" t="s">
        <v>758</v>
      </c>
    </row>
    <row r="103" spans="1:6" x14ac:dyDescent="0.3">
      <c r="A103" s="32">
        <v>102</v>
      </c>
      <c r="B103" s="32" t="s">
        <v>65</v>
      </c>
      <c r="C103" s="32" t="str">
        <f>_xlfn.XLOOKUP(Table610111213[[#This Row],[Category No]],Table8[Category No],Table8[Chapter List],FALSE)</f>
        <v>MahajanapCEa, Iranian &amp; Macedonian Invasion</v>
      </c>
      <c r="D103" s="34" t="s">
        <v>970</v>
      </c>
      <c r="E103" s="34" t="s">
        <v>695</v>
      </c>
      <c r="F103" s="34" t="s">
        <v>987</v>
      </c>
    </row>
    <row r="104" spans="1:6" x14ac:dyDescent="0.3">
      <c r="A104" s="32">
        <v>103</v>
      </c>
      <c r="B104" s="32" t="s">
        <v>65</v>
      </c>
      <c r="C104" s="32" t="str">
        <f>_xlfn.XLOOKUP(Table610111213[[#This Row],[Category No]],Table8[Category No],Table8[Chapter List],FALSE)</f>
        <v>MahajanapCEa, Iranian &amp; Macedonian Invasion</v>
      </c>
      <c r="D104" s="34" t="s">
        <v>988</v>
      </c>
      <c r="E104" s="34" t="s">
        <v>695</v>
      </c>
      <c r="F104" s="34" t="s">
        <v>989</v>
      </c>
    </row>
    <row r="105" spans="1:6" x14ac:dyDescent="0.3">
      <c r="A105" s="32">
        <v>104</v>
      </c>
      <c r="B105" s="32" t="s">
        <v>65</v>
      </c>
      <c r="C105" s="32" t="str">
        <f>_xlfn.XLOOKUP(Table610111213[[#This Row],[Category No]],Table8[Category No],Table8[Chapter List],FALSE)</f>
        <v>MahajanapCEa, Iranian &amp; Macedonian Invasion</v>
      </c>
      <c r="D105" s="34" t="s">
        <v>990</v>
      </c>
      <c r="E105" s="34" t="s">
        <v>695</v>
      </c>
      <c r="F105" s="34" t="s">
        <v>991</v>
      </c>
    </row>
    <row r="106" spans="1:6" x14ac:dyDescent="0.3">
      <c r="A106" s="32">
        <v>105</v>
      </c>
      <c r="B106" s="32" t="s">
        <v>65</v>
      </c>
      <c r="C106" s="32" t="str">
        <f>_xlfn.XLOOKUP(Table610111213[[#This Row],[Category No]],Table8[Category No],Table8[Chapter List],FALSE)</f>
        <v>MahajanapCEa, Iranian &amp; Macedonian Invasion</v>
      </c>
      <c r="D106" s="34" t="s">
        <v>992</v>
      </c>
      <c r="E106" s="34" t="s">
        <v>695</v>
      </c>
      <c r="F106" s="34" t="s">
        <v>993</v>
      </c>
    </row>
    <row r="107" spans="1:6" x14ac:dyDescent="0.3">
      <c r="A107" s="32">
        <v>106</v>
      </c>
      <c r="B107" s="32" t="s">
        <v>65</v>
      </c>
      <c r="C107" s="32" t="str">
        <f>_xlfn.XLOOKUP(Table610111213[[#This Row],[Category No]],Table8[Category No],Table8[Chapter List],FALSE)</f>
        <v>MahajanapCEa, Iranian &amp; Macedonian Invasion</v>
      </c>
      <c r="D107" s="34" t="s">
        <v>994</v>
      </c>
      <c r="E107" s="34" t="s">
        <v>695</v>
      </c>
      <c r="F107" s="34" t="s">
        <v>995</v>
      </c>
    </row>
    <row r="108" spans="1:6" x14ac:dyDescent="0.3">
      <c r="A108" s="32">
        <v>107</v>
      </c>
      <c r="B108" s="32" t="s">
        <v>65</v>
      </c>
      <c r="C108" s="32" t="str">
        <f>_xlfn.XLOOKUP(Table610111213[[#This Row],[Category No]],Table8[Category No],Table8[Chapter List],FALSE)</f>
        <v>MahajanapCEa, Iranian &amp; Macedonian Invasion</v>
      </c>
      <c r="D108" s="34" t="s">
        <v>972</v>
      </c>
      <c r="E108" s="34" t="s">
        <v>695</v>
      </c>
      <c r="F108" s="34" t="s">
        <v>996</v>
      </c>
    </row>
    <row r="109" spans="1:6" x14ac:dyDescent="0.3">
      <c r="A109" s="32">
        <v>108</v>
      </c>
      <c r="B109" s="32" t="s">
        <v>65</v>
      </c>
      <c r="C109" s="32" t="str">
        <f>_xlfn.XLOOKUP(Table610111213[[#This Row],[Category No]],Table8[Category No],Table8[Chapter List],FALSE)</f>
        <v>MahajanapCEa, Iranian &amp; Macedonian Invasion</v>
      </c>
      <c r="D109" s="34" t="s">
        <v>974</v>
      </c>
      <c r="E109" s="34" t="s">
        <v>695</v>
      </c>
      <c r="F109" s="34" t="s">
        <v>997</v>
      </c>
    </row>
    <row r="110" spans="1:6" x14ac:dyDescent="0.3">
      <c r="A110" s="32">
        <v>109</v>
      </c>
      <c r="B110" s="32" t="s">
        <v>65</v>
      </c>
      <c r="C110" s="32" t="str">
        <f>_xlfn.XLOOKUP(Table610111213[[#This Row],[Category No]],Table8[Category No],Table8[Chapter List],FALSE)</f>
        <v>MahajanapCEa, Iranian &amp; Macedonian Invasion</v>
      </c>
      <c r="D110" s="34" t="s">
        <v>998</v>
      </c>
      <c r="E110" s="34" t="s">
        <v>695</v>
      </c>
      <c r="F110" s="34" t="s">
        <v>997</v>
      </c>
    </row>
    <row r="111" spans="1:6" x14ac:dyDescent="0.3">
      <c r="A111" s="32">
        <v>110</v>
      </c>
      <c r="B111" s="32" t="s">
        <v>65</v>
      </c>
      <c r="C111" s="32" t="str">
        <f>_xlfn.XLOOKUP(Table610111213[[#This Row],[Category No]],Table8[Category No],Table8[Chapter List],FALSE)</f>
        <v>MahajanapCEa, Iranian &amp; Macedonian Invasion</v>
      </c>
      <c r="D111" s="34" t="s">
        <v>982</v>
      </c>
      <c r="E111" s="34" t="s">
        <v>695</v>
      </c>
      <c r="F111" s="34" t="s">
        <v>999</v>
      </c>
    </row>
    <row r="112" spans="1:6" x14ac:dyDescent="0.3">
      <c r="A112" s="32">
        <v>111</v>
      </c>
      <c r="B112" s="32" t="s">
        <v>65</v>
      </c>
      <c r="C112" s="32" t="str">
        <f>_xlfn.XLOOKUP(Table610111213[[#This Row],[Category No]],Table8[Category No],Table8[Chapter List],FALSE)</f>
        <v>MahajanapCEa, Iranian &amp; Macedonian Invasion</v>
      </c>
      <c r="D112" s="34" t="s">
        <v>984</v>
      </c>
      <c r="E112" s="34" t="s">
        <v>695</v>
      </c>
      <c r="F112" s="34" t="s">
        <v>999</v>
      </c>
    </row>
    <row r="113" spans="1:6" x14ac:dyDescent="0.3">
      <c r="A113" s="32">
        <v>112</v>
      </c>
      <c r="B113" s="32" t="s">
        <v>65</v>
      </c>
      <c r="C113" s="32" t="str">
        <f>_xlfn.XLOOKUP(Table610111213[[#This Row],[Category No]],Table8[Category No],Table8[Chapter List],FALSE)</f>
        <v>MahajanapCEa, Iranian &amp; Macedonian Invasion</v>
      </c>
      <c r="D113" s="34" t="s">
        <v>1000</v>
      </c>
      <c r="E113" s="34" t="s">
        <v>695</v>
      </c>
      <c r="F113" s="34" t="s">
        <v>1001</v>
      </c>
    </row>
    <row r="114" spans="1:6" x14ac:dyDescent="0.3">
      <c r="A114" s="32">
        <v>113</v>
      </c>
      <c r="B114" s="32" t="s">
        <v>65</v>
      </c>
      <c r="C114" s="32" t="str">
        <f>_xlfn.XLOOKUP(Table610111213[[#This Row],[Category No]],Table8[Category No],Table8[Chapter List],FALSE)</f>
        <v>MahajanapCEa, Iranian &amp; Macedonian Invasion</v>
      </c>
      <c r="D114" s="34" t="s">
        <v>1002</v>
      </c>
      <c r="E114" s="34" t="s">
        <v>695</v>
      </c>
      <c r="F114" s="34" t="s">
        <v>1001</v>
      </c>
    </row>
    <row r="115" spans="1:6" x14ac:dyDescent="0.3">
      <c r="A115" s="32">
        <v>114</v>
      </c>
      <c r="B115" s="32" t="s">
        <v>65</v>
      </c>
      <c r="C115" s="32" t="str">
        <f>_xlfn.XLOOKUP(Table610111213[[#This Row],[Category No]],Table8[Category No],Table8[Chapter List],FALSE)</f>
        <v>MahajanapCEa, Iranian &amp; Macedonian Invasion</v>
      </c>
      <c r="D115" s="34" t="s">
        <v>1040</v>
      </c>
      <c r="E115" s="34" t="s">
        <v>695</v>
      </c>
      <c r="F115" s="34" t="s">
        <v>1056</v>
      </c>
    </row>
    <row r="116" spans="1:6" x14ac:dyDescent="0.3">
      <c r="A116" s="32">
        <v>115</v>
      </c>
      <c r="B116" s="32" t="s">
        <v>65</v>
      </c>
      <c r="C116" s="32" t="str">
        <f>_xlfn.XLOOKUP(Table610111213[[#This Row],[Category No]],Table8[Category No],Table8[Chapter List],FALSE)</f>
        <v>MahajanapCEa, Iranian &amp; Macedonian Invasion</v>
      </c>
      <c r="D116" s="34" t="s">
        <v>1042</v>
      </c>
      <c r="E116" s="34" t="s">
        <v>695</v>
      </c>
      <c r="F116" s="34" t="s">
        <v>1056</v>
      </c>
    </row>
    <row r="117" spans="1:6" x14ac:dyDescent="0.3">
      <c r="A117" s="32">
        <v>116</v>
      </c>
      <c r="B117" s="32" t="s">
        <v>65</v>
      </c>
      <c r="C117" s="32" t="str">
        <f>_xlfn.XLOOKUP(Table610111213[[#This Row],[Category No]],Table8[Category No],Table8[Chapter List],FALSE)</f>
        <v>MahajanapCEa, Iranian &amp; Macedonian Invasion</v>
      </c>
      <c r="D117" s="34" t="s">
        <v>1044</v>
      </c>
      <c r="E117" s="34" t="s">
        <v>695</v>
      </c>
      <c r="F117" s="34" t="s">
        <v>1056</v>
      </c>
    </row>
    <row r="118" spans="1:6" x14ac:dyDescent="0.3">
      <c r="A118" s="32">
        <v>117</v>
      </c>
      <c r="B118" s="32" t="s">
        <v>65</v>
      </c>
      <c r="C118" s="32" t="str">
        <f>_xlfn.XLOOKUP(Table610111213[[#This Row],[Category No]],Table8[Category No],Table8[Chapter List],FALSE)</f>
        <v>MahajanapCEa, Iranian &amp; Macedonian Invasion</v>
      </c>
      <c r="D118" s="34" t="s">
        <v>1055</v>
      </c>
      <c r="E118" s="34" t="s">
        <v>695</v>
      </c>
      <c r="F118" s="34" t="s">
        <v>1056</v>
      </c>
    </row>
    <row r="119" spans="1:6" x14ac:dyDescent="0.3">
      <c r="A119" s="32">
        <v>118</v>
      </c>
      <c r="B119" s="32" t="s">
        <v>65</v>
      </c>
      <c r="C119" s="32" t="str">
        <f>_xlfn.XLOOKUP(Table610111213[[#This Row],[Category No]],Table8[Category No],Table8[Chapter List],FALSE)</f>
        <v>MahajanapCEa, Iranian &amp; Macedonian Invasion</v>
      </c>
      <c r="D119" s="34" t="s">
        <v>1057</v>
      </c>
      <c r="E119" s="34" t="s">
        <v>695</v>
      </c>
      <c r="F119" s="34" t="s">
        <v>1058</v>
      </c>
    </row>
    <row r="120" spans="1:6" x14ac:dyDescent="0.3">
      <c r="A120" s="32">
        <v>119</v>
      </c>
      <c r="B120" s="32" t="s">
        <v>65</v>
      </c>
      <c r="C120" s="32" t="str">
        <f>_xlfn.XLOOKUP(Table610111213[[#This Row],[Category No]],Table8[Category No],Table8[Chapter List],FALSE)</f>
        <v>MahajanapCEa, Iranian &amp; Macedonian Invasion</v>
      </c>
      <c r="D120" s="34" t="s">
        <v>1059</v>
      </c>
      <c r="E120" s="34" t="s">
        <v>695</v>
      </c>
      <c r="F120" s="34" t="s">
        <v>1060</v>
      </c>
    </row>
    <row r="121" spans="1:6" x14ac:dyDescent="0.3">
      <c r="A121" s="32">
        <v>120</v>
      </c>
      <c r="B121" s="32" t="s">
        <v>65</v>
      </c>
      <c r="C121" s="32" t="str">
        <f>_xlfn.XLOOKUP(Table610111213[[#This Row],[Category No]],Table8[Category No],Table8[Chapter List],FALSE)</f>
        <v>MahajanapCEa, Iranian &amp; Macedonian Invasion</v>
      </c>
      <c r="D121" s="34" t="s">
        <v>1061</v>
      </c>
      <c r="E121" s="34" t="s">
        <v>695</v>
      </c>
      <c r="F121" s="34" t="s">
        <v>1062</v>
      </c>
    </row>
    <row r="122" spans="1:6" x14ac:dyDescent="0.3">
      <c r="A122" s="32">
        <v>121</v>
      </c>
      <c r="B122" s="32" t="s">
        <v>65</v>
      </c>
      <c r="C122" s="32" t="str">
        <f>_xlfn.XLOOKUP(Table610111213[[#This Row],[Category No]],Table8[Category No],Table8[Chapter List],FALSE)</f>
        <v>MahajanapCEa, Iranian &amp; Macedonian Invasion</v>
      </c>
      <c r="D122" s="34" t="s">
        <v>1063</v>
      </c>
      <c r="E122" s="34" t="s">
        <v>695</v>
      </c>
      <c r="F122" s="34" t="s">
        <v>1064</v>
      </c>
    </row>
    <row r="123" spans="1:6" x14ac:dyDescent="0.3">
      <c r="A123" s="32">
        <v>122</v>
      </c>
      <c r="B123" s="32" t="s">
        <v>65</v>
      </c>
      <c r="C123" s="32" t="str">
        <f>_xlfn.XLOOKUP(Table610111213[[#This Row],[Category No]],Table8[Category No],Table8[Chapter List],FALSE)</f>
        <v>MahajanapCEa, Iranian &amp; Macedonian Invasion</v>
      </c>
      <c r="D123" s="34" t="s">
        <v>1065</v>
      </c>
      <c r="E123" s="34" t="s">
        <v>695</v>
      </c>
      <c r="F123" s="34" t="s">
        <v>1066</v>
      </c>
    </row>
    <row r="124" spans="1:6" x14ac:dyDescent="0.3">
      <c r="A124" s="32">
        <v>123</v>
      </c>
      <c r="B124" s="32" t="s">
        <v>66</v>
      </c>
      <c r="C124" s="32" t="str">
        <f>_xlfn.XLOOKUP(Table610111213[[#This Row],[Category No]],Table8[Category No],Table8[Chapter List],FALSE)</f>
        <v>The Mauryan Empire</v>
      </c>
      <c r="D124" s="34" t="s">
        <v>1096</v>
      </c>
      <c r="E124" s="34" t="s">
        <v>695</v>
      </c>
      <c r="F124" s="34" t="s">
        <v>1097</v>
      </c>
    </row>
    <row r="125" spans="1:6" x14ac:dyDescent="0.3">
      <c r="A125" s="32">
        <v>124</v>
      </c>
      <c r="B125" s="32" t="s">
        <v>66</v>
      </c>
      <c r="C125" s="32" t="str">
        <f>_xlfn.XLOOKUP(Table610111213[[#This Row],[Category No]],Table8[Category No],Table8[Chapter List],FALSE)</f>
        <v>The Mauryan Empire</v>
      </c>
      <c r="D125" s="34" t="s">
        <v>1098</v>
      </c>
      <c r="E125" s="34" t="s">
        <v>695</v>
      </c>
      <c r="F125" s="34"/>
    </row>
    <row r="126" spans="1:6" x14ac:dyDescent="0.3">
      <c r="A126" s="32">
        <v>125</v>
      </c>
      <c r="B126" s="32" t="s">
        <v>66</v>
      </c>
      <c r="C126" s="32" t="str">
        <f>_xlfn.XLOOKUP(Table610111213[[#This Row],[Category No]],Table8[Category No],Table8[Chapter List],FALSE)</f>
        <v>The Mauryan Empire</v>
      </c>
      <c r="D126" s="34" t="s">
        <v>1099</v>
      </c>
      <c r="E126" s="34" t="s">
        <v>695</v>
      </c>
      <c r="F126" s="34"/>
    </row>
    <row r="127" spans="1:6" x14ac:dyDescent="0.3">
      <c r="A127" s="32">
        <v>126</v>
      </c>
      <c r="B127" s="32" t="s">
        <v>66</v>
      </c>
      <c r="C127" s="32" t="str">
        <f>_xlfn.XLOOKUP(Table610111213[[#This Row],[Category No]],Table8[Category No],Table8[Chapter List],FALSE)</f>
        <v>The Mauryan Empire</v>
      </c>
      <c r="D127" s="34" t="s">
        <v>1100</v>
      </c>
      <c r="E127" s="34" t="s">
        <v>695</v>
      </c>
      <c r="F127" s="34" t="s">
        <v>1101</v>
      </c>
    </row>
    <row r="128" spans="1:6" x14ac:dyDescent="0.3">
      <c r="A128" s="32">
        <v>127</v>
      </c>
      <c r="B128" s="32" t="s">
        <v>66</v>
      </c>
      <c r="C128" s="32" t="str">
        <f>_xlfn.XLOOKUP(Table610111213[[#This Row],[Category No]],Table8[Category No],Table8[Chapter List],FALSE)</f>
        <v>The Mauryan Empire</v>
      </c>
      <c r="D128" s="34" t="s">
        <v>1082</v>
      </c>
      <c r="E128" s="34" t="s">
        <v>695</v>
      </c>
      <c r="F128" s="34"/>
    </row>
    <row r="129" spans="1:7" x14ac:dyDescent="0.3">
      <c r="A129" s="32">
        <v>128</v>
      </c>
      <c r="B129" s="32" t="s">
        <v>66</v>
      </c>
      <c r="C129" s="32" t="str">
        <f>_xlfn.XLOOKUP(Table610111213[[#This Row],[Category No]],Table8[Category No],Table8[Chapter List],FALSE)</f>
        <v>The Mauryan Empire</v>
      </c>
      <c r="D129" s="34" t="s">
        <v>1104</v>
      </c>
      <c r="E129" s="34" t="s">
        <v>697</v>
      </c>
      <c r="F129" s="34" t="s">
        <v>1106</v>
      </c>
    </row>
    <row r="130" spans="1:7" x14ac:dyDescent="0.3">
      <c r="A130" s="32">
        <v>129</v>
      </c>
      <c r="B130" s="32" t="s">
        <v>66</v>
      </c>
      <c r="C130" s="32" t="str">
        <f>_xlfn.XLOOKUP(Table610111213[[#This Row],[Category No]],Table8[Category No],Table8[Chapter List],FALSE)</f>
        <v>The Mauryan Empire</v>
      </c>
      <c r="D130" s="34" t="s">
        <v>1105</v>
      </c>
      <c r="E130" s="34" t="s">
        <v>697</v>
      </c>
      <c r="F130" s="34" t="s">
        <v>1107</v>
      </c>
    </row>
    <row r="131" spans="1:7" x14ac:dyDescent="0.3">
      <c r="A131" s="32">
        <v>130</v>
      </c>
      <c r="B131" s="32" t="s">
        <v>66</v>
      </c>
      <c r="C131" s="32" t="str">
        <f>_xlfn.XLOOKUP(Table610111213[[#This Row],[Category No]],Table8[Category No],Table8[Chapter List],FALSE)</f>
        <v>The Mauryan Empire</v>
      </c>
      <c r="D131" s="34" t="s">
        <v>1102</v>
      </c>
      <c r="E131" s="34" t="s">
        <v>695</v>
      </c>
      <c r="F131" s="34" t="s">
        <v>1103</v>
      </c>
    </row>
    <row r="132" spans="1:7" x14ac:dyDescent="0.3">
      <c r="A132" s="32">
        <v>131</v>
      </c>
      <c r="B132" s="32" t="s">
        <v>66</v>
      </c>
      <c r="C132" s="32" t="str">
        <f>_xlfn.XLOOKUP(Table610111213[[#This Row],[Category No]],Table8[Category No],Table8[Chapter List],FALSE)</f>
        <v>The Mauryan Empire</v>
      </c>
      <c r="D132" s="34" t="s">
        <v>1108</v>
      </c>
      <c r="E132" s="34" t="s">
        <v>695</v>
      </c>
      <c r="F132" s="34" t="s">
        <v>1109</v>
      </c>
    </row>
    <row r="133" spans="1:7" x14ac:dyDescent="0.3">
      <c r="A133" s="32">
        <v>132</v>
      </c>
      <c r="B133" s="32" t="s">
        <v>66</v>
      </c>
      <c r="C133" s="32" t="str">
        <f>_xlfn.XLOOKUP(Table610111213[[#This Row],[Category No]],Table8[Category No],Table8[Chapter List],FALSE)</f>
        <v>The Mauryan Empire</v>
      </c>
      <c r="D133" s="34" t="s">
        <v>1110</v>
      </c>
      <c r="E133" s="34" t="s">
        <v>695</v>
      </c>
      <c r="F133" s="34" t="s">
        <v>1111</v>
      </c>
    </row>
    <row r="134" spans="1:7" x14ac:dyDescent="0.3">
      <c r="A134" s="32">
        <v>133</v>
      </c>
      <c r="B134" s="32" t="s">
        <v>66</v>
      </c>
      <c r="C134" s="32" t="str">
        <f>_xlfn.XLOOKUP(Table610111213[[#This Row],[Category No]],Table8[Category No],Table8[Chapter List],FALSE)</f>
        <v>The Mauryan Empire</v>
      </c>
      <c r="D134" s="34" t="s">
        <v>1112</v>
      </c>
      <c r="E134" s="34" t="s">
        <v>695</v>
      </c>
      <c r="F134" s="34" t="s">
        <v>1113</v>
      </c>
    </row>
    <row r="135" spans="1:7" x14ac:dyDescent="0.3">
      <c r="A135" s="32">
        <v>134</v>
      </c>
      <c r="B135" s="32" t="s">
        <v>66</v>
      </c>
      <c r="C135" s="32" t="str">
        <f>_xlfn.XLOOKUP(Table610111213[[#This Row],[Category No]],Table8[Category No],Table8[Chapter List],FALSE)</f>
        <v>The Mauryan Empire</v>
      </c>
      <c r="D135" s="34" t="s">
        <v>1114</v>
      </c>
      <c r="E135" s="34" t="s">
        <v>695</v>
      </c>
      <c r="F135" s="34"/>
    </row>
    <row r="136" spans="1:7" x14ac:dyDescent="0.3">
      <c r="A136" s="32">
        <v>135</v>
      </c>
      <c r="B136" s="32" t="s">
        <v>66</v>
      </c>
      <c r="C136" s="32" t="str">
        <f>_xlfn.XLOOKUP(Table610111213[[#This Row],[Category No]],Table8[Category No],Table8[Chapter List],FALSE)</f>
        <v>The Mauryan Empire</v>
      </c>
      <c r="D136" s="34" t="s">
        <v>1115</v>
      </c>
      <c r="E136" s="34" t="s">
        <v>695</v>
      </c>
      <c r="F136" s="34" t="s">
        <v>1116</v>
      </c>
    </row>
    <row r="137" spans="1:7" x14ac:dyDescent="0.3">
      <c r="A137" s="32">
        <v>136</v>
      </c>
      <c r="B137" s="32" t="s">
        <v>66</v>
      </c>
      <c r="C137" s="32" t="str">
        <f>_xlfn.XLOOKUP(Table610111213[[#This Row],[Category No]],Table8[Category No],Table8[Chapter List],FALSE)</f>
        <v>The Mauryan Empire</v>
      </c>
      <c r="D137" s="34" t="s">
        <v>1121</v>
      </c>
      <c r="E137" s="34" t="s">
        <v>697</v>
      </c>
      <c r="F137" s="34" t="s">
        <v>1122</v>
      </c>
      <c r="G137" s="67" t="s">
        <v>1128</v>
      </c>
    </row>
    <row r="138" spans="1:7" x14ac:dyDescent="0.3">
      <c r="A138" s="32">
        <v>137</v>
      </c>
      <c r="B138" s="32" t="s">
        <v>66</v>
      </c>
      <c r="C138" s="32" t="str">
        <f>_xlfn.XLOOKUP(Table610111213[[#This Row],[Category No]],Table8[Category No],Table8[Chapter List],FALSE)</f>
        <v>The Mauryan Empire</v>
      </c>
      <c r="D138" s="34" t="s">
        <v>1123</v>
      </c>
      <c r="E138" s="34" t="s">
        <v>697</v>
      </c>
      <c r="F138" s="34" t="s">
        <v>1124</v>
      </c>
      <c r="G138" s="64"/>
    </row>
    <row r="139" spans="1:7" x14ac:dyDescent="0.3">
      <c r="A139" s="32">
        <v>138</v>
      </c>
      <c r="B139" s="32" t="s">
        <v>66</v>
      </c>
      <c r="C139" s="32" t="str">
        <f>_xlfn.XLOOKUP(Table610111213[[#This Row],[Category No]],Table8[Category No],Table8[Chapter List],FALSE)</f>
        <v>The Mauryan Empire</v>
      </c>
      <c r="D139" s="34" t="s">
        <v>1125</v>
      </c>
      <c r="E139" s="34" t="s">
        <v>697</v>
      </c>
      <c r="F139" s="34"/>
      <c r="G139" s="64"/>
    </row>
    <row r="140" spans="1:7" x14ac:dyDescent="0.3">
      <c r="A140" s="32">
        <v>139</v>
      </c>
      <c r="B140" s="32" t="s">
        <v>66</v>
      </c>
      <c r="C140" s="32" t="str">
        <f>_xlfn.XLOOKUP(Table610111213[[#This Row],[Category No]],Table8[Category No],Table8[Chapter List],FALSE)</f>
        <v>The Mauryan Empire</v>
      </c>
      <c r="D140" s="34" t="s">
        <v>1126</v>
      </c>
      <c r="E140" s="34" t="s">
        <v>697</v>
      </c>
      <c r="F140" s="34"/>
      <c r="G140" s="64"/>
    </row>
    <row r="141" spans="1:7" x14ac:dyDescent="0.3">
      <c r="A141" s="32">
        <v>140</v>
      </c>
      <c r="B141" s="32" t="s">
        <v>66</v>
      </c>
      <c r="C141" s="32" t="str">
        <f>_xlfn.XLOOKUP(Table610111213[[#This Row],[Category No]],Table8[Category No],Table8[Chapter List],FALSE)</f>
        <v>The Mauryan Empire</v>
      </c>
      <c r="D141" s="34" t="s">
        <v>545</v>
      </c>
      <c r="E141" s="34" t="s">
        <v>697</v>
      </c>
      <c r="F141" s="34" t="s">
        <v>1127</v>
      </c>
      <c r="G141" s="64"/>
    </row>
    <row r="142" spans="1:7" x14ac:dyDescent="0.3">
      <c r="A142" s="32">
        <v>141</v>
      </c>
      <c r="B142" s="32" t="s">
        <v>66</v>
      </c>
      <c r="C142" s="32" t="str">
        <f>_xlfn.XLOOKUP(Table610111213[[#This Row],[Category No]],Table8[Category No],Table8[Chapter List],FALSE)</f>
        <v>The Mauryan Empire</v>
      </c>
      <c r="D142" s="34" t="s">
        <v>1129</v>
      </c>
      <c r="E142" s="34" t="s">
        <v>697</v>
      </c>
      <c r="F142" s="34" t="s">
        <v>1131</v>
      </c>
      <c r="G142" s="64" t="s">
        <v>1132</v>
      </c>
    </row>
    <row r="143" spans="1:7" x14ac:dyDescent="0.3">
      <c r="A143" s="32">
        <v>142</v>
      </c>
      <c r="B143" s="32" t="s">
        <v>66</v>
      </c>
      <c r="C143" s="32" t="str">
        <f>_xlfn.XLOOKUP(Table610111213[[#This Row],[Category No]],Table8[Category No],Table8[Chapter List],FALSE)</f>
        <v>The Mauryan Empire</v>
      </c>
      <c r="D143" s="34" t="s">
        <v>1130</v>
      </c>
      <c r="E143" s="34" t="s">
        <v>697</v>
      </c>
      <c r="F143" s="34" t="s">
        <v>554</v>
      </c>
      <c r="G143" s="64"/>
    </row>
    <row r="144" spans="1:7" x14ac:dyDescent="0.3">
      <c r="A144" s="32">
        <v>143</v>
      </c>
      <c r="B144" s="32" t="s">
        <v>66</v>
      </c>
      <c r="C144" s="32" t="str">
        <f>_xlfn.XLOOKUP(Table610111213[[#This Row],[Category No]],Table8[Category No],Table8[Chapter List],FALSE)</f>
        <v>The Mauryan Empire</v>
      </c>
      <c r="D144" s="34" t="s">
        <v>1133</v>
      </c>
      <c r="E144" s="34" t="s">
        <v>697</v>
      </c>
      <c r="F144" s="34" t="s">
        <v>1134</v>
      </c>
    </row>
    <row r="145" spans="1:7" x14ac:dyDescent="0.3">
      <c r="A145" s="32">
        <v>144</v>
      </c>
      <c r="B145" s="32" t="s">
        <v>66</v>
      </c>
      <c r="C145" s="32" t="str">
        <f>_xlfn.XLOOKUP(Table610111213[[#This Row],[Category No]],Table8[Category No],Table8[Chapter List],FALSE)</f>
        <v>The Mauryan Empire</v>
      </c>
      <c r="D145" s="34" t="s">
        <v>1135</v>
      </c>
      <c r="E145" s="34" t="s">
        <v>697</v>
      </c>
      <c r="F145" s="34" t="s">
        <v>1139</v>
      </c>
    </row>
    <row r="146" spans="1:7" x14ac:dyDescent="0.3">
      <c r="A146" s="32">
        <v>145</v>
      </c>
      <c r="B146" s="32" t="s">
        <v>66</v>
      </c>
      <c r="C146" s="32" t="str">
        <f>_xlfn.XLOOKUP(Table610111213[[#This Row],[Category No]],Table8[Category No],Table8[Chapter List],FALSE)</f>
        <v>The Mauryan Empire</v>
      </c>
      <c r="D146" s="34" t="s">
        <v>1136</v>
      </c>
      <c r="E146" s="34" t="s">
        <v>697</v>
      </c>
      <c r="F146" s="34" t="s">
        <v>1140</v>
      </c>
    </row>
    <row r="147" spans="1:7" x14ac:dyDescent="0.3">
      <c r="A147" s="32">
        <v>146</v>
      </c>
      <c r="B147" s="32" t="s">
        <v>66</v>
      </c>
      <c r="C147" s="32" t="str">
        <f>_xlfn.XLOOKUP(Table610111213[[#This Row],[Category No]],Table8[Category No],Table8[Chapter List],FALSE)</f>
        <v>The Mauryan Empire</v>
      </c>
      <c r="D147" s="34" t="s">
        <v>1137</v>
      </c>
      <c r="E147" s="34" t="s">
        <v>697</v>
      </c>
      <c r="F147" s="34" t="s">
        <v>1141</v>
      </c>
    </row>
    <row r="148" spans="1:7" x14ac:dyDescent="0.3">
      <c r="A148" s="32">
        <v>147</v>
      </c>
      <c r="B148" s="32" t="s">
        <v>66</v>
      </c>
      <c r="C148" s="32" t="str">
        <f>_xlfn.XLOOKUP(Table610111213[[#This Row],[Category No]],Table8[Category No],Table8[Chapter List],FALSE)</f>
        <v>The Mauryan Empire</v>
      </c>
      <c r="D148" s="34" t="s">
        <v>1138</v>
      </c>
      <c r="E148" s="34" t="s">
        <v>697</v>
      </c>
      <c r="F148" s="34" t="s">
        <v>1142</v>
      </c>
    </row>
    <row r="149" spans="1:7" x14ac:dyDescent="0.3">
      <c r="A149" s="32">
        <v>148</v>
      </c>
      <c r="B149" s="32" t="s">
        <v>66</v>
      </c>
      <c r="C149" s="32" t="str">
        <f>_xlfn.XLOOKUP(Table610111213[[#This Row],[Category No]],Table8[Category No],Table8[Chapter List],FALSE)</f>
        <v>The Mauryan Empire</v>
      </c>
      <c r="D149" s="34" t="s">
        <v>1143</v>
      </c>
      <c r="E149" s="34" t="s">
        <v>697</v>
      </c>
      <c r="F149" s="34" t="s">
        <v>1144</v>
      </c>
    </row>
    <row r="150" spans="1:7" x14ac:dyDescent="0.3">
      <c r="A150" s="32">
        <v>149</v>
      </c>
      <c r="B150" s="32" t="s">
        <v>66</v>
      </c>
      <c r="C150" s="32" t="str">
        <f>_xlfn.XLOOKUP(Table610111213[[#This Row],[Category No]],Table8[Category No],Table8[Chapter List],FALSE)</f>
        <v>The Mauryan Empire</v>
      </c>
      <c r="D150" s="34" t="s">
        <v>1145</v>
      </c>
      <c r="E150" s="34" t="s">
        <v>697</v>
      </c>
      <c r="F150" s="34" t="s">
        <v>1146</v>
      </c>
    </row>
    <row r="151" spans="1:7" x14ac:dyDescent="0.3">
      <c r="A151" s="32">
        <v>150</v>
      </c>
      <c r="B151" s="32" t="s">
        <v>66</v>
      </c>
      <c r="C151" s="32" t="str">
        <f>_xlfn.XLOOKUP(Table610111213[[#This Row],[Category No]],Table8[Category No],Table8[Chapter List],FALSE)</f>
        <v>The Mauryan Empire</v>
      </c>
      <c r="D151" s="34" t="s">
        <v>1147</v>
      </c>
      <c r="E151" s="34" t="s">
        <v>697</v>
      </c>
      <c r="F151" s="34" t="s">
        <v>1148</v>
      </c>
    </row>
    <row r="152" spans="1:7" x14ac:dyDescent="0.3">
      <c r="A152" s="32">
        <v>151</v>
      </c>
      <c r="B152" s="32" t="s">
        <v>66</v>
      </c>
      <c r="C152" s="32" t="str">
        <f>_xlfn.XLOOKUP(Table610111213[[#This Row],[Category No]],Table8[Category No],Table8[Chapter List],FALSE)</f>
        <v>The Mauryan Empire</v>
      </c>
      <c r="D152" s="34" t="s">
        <v>1149</v>
      </c>
      <c r="E152" s="34" t="s">
        <v>697</v>
      </c>
      <c r="F152" s="34" t="s">
        <v>1150</v>
      </c>
    </row>
    <row r="153" spans="1:7" x14ac:dyDescent="0.3">
      <c r="A153" s="32">
        <v>152</v>
      </c>
      <c r="B153" s="32" t="s">
        <v>66</v>
      </c>
      <c r="C153" s="32" t="str">
        <f>_xlfn.XLOOKUP(Table610111213[[#This Row],[Category No]],Table8[Category No],Table8[Chapter List],FALSE)</f>
        <v>The Mauryan Empire</v>
      </c>
      <c r="D153" s="34" t="s">
        <v>1151</v>
      </c>
      <c r="E153" s="34" t="s">
        <v>697</v>
      </c>
      <c r="F153" s="34" t="s">
        <v>1152</v>
      </c>
      <c r="G153" s="64" t="s">
        <v>1155</v>
      </c>
    </row>
    <row r="154" spans="1:7" x14ac:dyDescent="0.3">
      <c r="A154" s="32">
        <v>153</v>
      </c>
      <c r="B154" s="32" t="s">
        <v>66</v>
      </c>
      <c r="C154" s="32" t="str">
        <f>_xlfn.XLOOKUP(Table610111213[[#This Row],[Category No]],Table8[Category No],Table8[Chapter List],FALSE)</f>
        <v>The Mauryan Empire</v>
      </c>
      <c r="D154" s="34" t="s">
        <v>1153</v>
      </c>
      <c r="E154" s="34" t="s">
        <v>697</v>
      </c>
      <c r="F154" s="34" t="s">
        <v>1154</v>
      </c>
      <c r="G154" s="64"/>
    </row>
    <row r="155" spans="1:7" x14ac:dyDescent="0.3">
      <c r="A155" s="32">
        <v>154</v>
      </c>
      <c r="B155" s="32" t="s">
        <v>66</v>
      </c>
      <c r="C155" s="32" t="str">
        <f>_xlfn.XLOOKUP(Table610111213[[#This Row],[Category No]],Table8[Category No],Table8[Chapter List],FALSE)</f>
        <v>The Mauryan Empire</v>
      </c>
      <c r="D155" s="34" t="s">
        <v>1156</v>
      </c>
      <c r="E155" s="34" t="s">
        <v>697</v>
      </c>
      <c r="F155" s="34" t="s">
        <v>1157</v>
      </c>
    </row>
    <row r="156" spans="1:7" x14ac:dyDescent="0.3">
      <c r="A156" s="32">
        <v>155</v>
      </c>
      <c r="B156" s="32" t="s">
        <v>66</v>
      </c>
      <c r="C156" s="32" t="str">
        <f>_xlfn.XLOOKUP(Table610111213[[#This Row],[Category No]],Table8[Category No],Table8[Chapter List],FALSE)</f>
        <v>The Mauryan Empire</v>
      </c>
      <c r="D156" s="34" t="s">
        <v>1158</v>
      </c>
      <c r="E156" s="34" t="s">
        <v>697</v>
      </c>
      <c r="F156" s="34" t="s">
        <v>1159</v>
      </c>
    </row>
    <row r="157" spans="1:7" x14ac:dyDescent="0.3">
      <c r="A157" s="32">
        <v>156</v>
      </c>
      <c r="B157" s="32" t="s">
        <v>66</v>
      </c>
      <c r="C157" s="32" t="str">
        <f>_xlfn.XLOOKUP(Table610111213[[#This Row],[Category No]],Table8[Category No],Table8[Chapter List],FALSE)</f>
        <v>The Mauryan Empire</v>
      </c>
      <c r="D157" s="34" t="s">
        <v>1160</v>
      </c>
      <c r="E157" s="34" t="s">
        <v>697</v>
      </c>
      <c r="F157" s="34" t="s">
        <v>1161</v>
      </c>
    </row>
    <row r="158" spans="1:7" x14ac:dyDescent="0.3">
      <c r="A158" s="32">
        <v>157</v>
      </c>
      <c r="B158" s="32" t="s">
        <v>66</v>
      </c>
      <c r="C158" s="32" t="str">
        <f>_xlfn.XLOOKUP(Table610111213[[#This Row],[Category No]],Table8[Category No],Table8[Chapter List],FALSE)</f>
        <v>The Mauryan Empire</v>
      </c>
      <c r="D158" s="34" t="s">
        <v>1162</v>
      </c>
      <c r="E158" s="34" t="s">
        <v>697</v>
      </c>
      <c r="F158" s="34" t="s">
        <v>1163</v>
      </c>
      <c r="G158" s="64" t="s">
        <v>1172</v>
      </c>
    </row>
    <row r="159" spans="1:7" x14ac:dyDescent="0.3">
      <c r="A159" s="32">
        <v>158</v>
      </c>
      <c r="B159" s="32" t="s">
        <v>66</v>
      </c>
      <c r="C159" s="32" t="str">
        <f>_xlfn.XLOOKUP(Table610111213[[#This Row],[Category No]],Table8[Category No],Table8[Chapter List],FALSE)</f>
        <v>The Mauryan Empire</v>
      </c>
      <c r="D159" s="34" t="s">
        <v>1164</v>
      </c>
      <c r="E159" s="34" t="s">
        <v>697</v>
      </c>
      <c r="F159" s="34" t="s">
        <v>1165</v>
      </c>
      <c r="G159" s="64"/>
    </row>
    <row r="160" spans="1:7" x14ac:dyDescent="0.3">
      <c r="A160" s="32">
        <v>159</v>
      </c>
      <c r="B160" s="32" t="s">
        <v>66</v>
      </c>
      <c r="C160" s="32" t="str">
        <f>_xlfn.XLOOKUP(Table610111213[[#This Row],[Category No]],Table8[Category No],Table8[Chapter List],FALSE)</f>
        <v>The Mauryan Empire</v>
      </c>
      <c r="D160" s="34" t="s">
        <v>1166</v>
      </c>
      <c r="E160" s="34" t="s">
        <v>697</v>
      </c>
      <c r="F160" s="34" t="s">
        <v>1167</v>
      </c>
      <c r="G160" s="64"/>
    </row>
    <row r="161" spans="1:7" x14ac:dyDescent="0.3">
      <c r="A161" s="32">
        <v>160</v>
      </c>
      <c r="B161" s="32" t="s">
        <v>66</v>
      </c>
      <c r="C161" s="32" t="str">
        <f>_xlfn.XLOOKUP(Table610111213[[#This Row],[Category No]],Table8[Category No],Table8[Chapter List],FALSE)</f>
        <v>The Mauryan Empire</v>
      </c>
      <c r="D161" s="34" t="s">
        <v>1168</v>
      </c>
      <c r="E161" s="34" t="s">
        <v>697</v>
      </c>
      <c r="F161" s="34" t="s">
        <v>1169</v>
      </c>
      <c r="G161" s="64"/>
    </row>
    <row r="162" spans="1:7" x14ac:dyDescent="0.3">
      <c r="A162" s="32">
        <v>161</v>
      </c>
      <c r="B162" s="32" t="s">
        <v>66</v>
      </c>
      <c r="C162" s="32" t="str">
        <f>_xlfn.XLOOKUP(Table610111213[[#This Row],[Category No]],Table8[Category No],Table8[Chapter List],FALSE)</f>
        <v>The Mauryan Empire</v>
      </c>
      <c r="D162" s="34" t="s">
        <v>1170</v>
      </c>
      <c r="E162" s="34" t="s">
        <v>697</v>
      </c>
      <c r="F162" s="34" t="s">
        <v>1171</v>
      </c>
      <c r="G162" s="64"/>
    </row>
    <row r="163" spans="1:7" x14ac:dyDescent="0.3">
      <c r="A163" s="32">
        <v>162</v>
      </c>
      <c r="B163" s="32" t="s">
        <v>66</v>
      </c>
      <c r="C163" s="32" t="str">
        <f>_xlfn.XLOOKUP(Table610111213[[#This Row],[Category No]],Table8[Category No],Table8[Chapter List],FALSE)</f>
        <v>The Mauryan Empire</v>
      </c>
      <c r="D163" s="34" t="s">
        <v>1173</v>
      </c>
      <c r="E163" s="34" t="s">
        <v>697</v>
      </c>
      <c r="F163" s="34" t="s">
        <v>1174</v>
      </c>
      <c r="G163" s="68" t="s">
        <v>1185</v>
      </c>
    </row>
    <row r="164" spans="1:7" x14ac:dyDescent="0.3">
      <c r="A164" s="32">
        <v>163</v>
      </c>
      <c r="B164" s="32" t="s">
        <v>66</v>
      </c>
      <c r="C164" s="32" t="str">
        <f>_xlfn.XLOOKUP(Table610111213[[#This Row],[Category No]],Table8[Category No],Table8[Chapter List],FALSE)</f>
        <v>The Mauryan Empire</v>
      </c>
      <c r="D164" s="34" t="s">
        <v>1175</v>
      </c>
      <c r="E164" s="34" t="s">
        <v>697</v>
      </c>
      <c r="F164" s="34" t="s">
        <v>1176</v>
      </c>
      <c r="G164" s="69"/>
    </row>
    <row r="165" spans="1:7" x14ac:dyDescent="0.3">
      <c r="A165" s="32">
        <v>164</v>
      </c>
      <c r="B165" s="32" t="s">
        <v>66</v>
      </c>
      <c r="C165" s="32" t="str">
        <f>_xlfn.XLOOKUP(Table610111213[[#This Row],[Category No]],Table8[Category No],Table8[Chapter List],FALSE)</f>
        <v>The Mauryan Empire</v>
      </c>
      <c r="D165" s="34" t="s">
        <v>1177</v>
      </c>
      <c r="E165" s="34" t="s">
        <v>697</v>
      </c>
      <c r="F165" s="34" t="s">
        <v>1178</v>
      </c>
      <c r="G165" s="69"/>
    </row>
    <row r="166" spans="1:7" x14ac:dyDescent="0.3">
      <c r="A166" s="32">
        <v>165</v>
      </c>
      <c r="B166" s="32" t="s">
        <v>66</v>
      </c>
      <c r="C166" s="32" t="str">
        <f>_xlfn.XLOOKUP(Table610111213[[#This Row],[Category No]],Table8[Category No],Table8[Chapter List],FALSE)</f>
        <v>The Mauryan Empire</v>
      </c>
      <c r="D166" s="34" t="s">
        <v>1179</v>
      </c>
      <c r="E166" s="34" t="s">
        <v>697</v>
      </c>
      <c r="F166" s="34" t="s">
        <v>1180</v>
      </c>
      <c r="G166" s="69"/>
    </row>
    <row r="167" spans="1:7" x14ac:dyDescent="0.3">
      <c r="A167" s="32">
        <v>166</v>
      </c>
      <c r="B167" s="32" t="s">
        <v>66</v>
      </c>
      <c r="C167" s="32" t="str">
        <f>_xlfn.XLOOKUP(Table610111213[[#This Row],[Category No]],Table8[Category No],Table8[Chapter List],FALSE)</f>
        <v>The Mauryan Empire</v>
      </c>
      <c r="D167" s="34" t="s">
        <v>1181</v>
      </c>
      <c r="E167" s="34" t="s">
        <v>697</v>
      </c>
      <c r="F167" s="34" t="s">
        <v>1182</v>
      </c>
      <c r="G167" s="70"/>
    </row>
    <row r="168" spans="1:7" x14ac:dyDescent="0.3">
      <c r="A168" s="32">
        <v>167</v>
      </c>
      <c r="B168" s="32" t="s">
        <v>66</v>
      </c>
      <c r="C168" s="32" t="str">
        <f>_xlfn.XLOOKUP(Table610111213[[#This Row],[Category No]],Table8[Category No],Table8[Chapter List],FALSE)</f>
        <v>The Mauryan Empire</v>
      </c>
      <c r="D168" s="34" t="s">
        <v>1183</v>
      </c>
      <c r="E168" s="34" t="s">
        <v>697</v>
      </c>
      <c r="F168" s="34" t="s">
        <v>1184</v>
      </c>
    </row>
    <row r="169" spans="1:7" x14ac:dyDescent="0.3">
      <c r="A169" s="32">
        <v>168</v>
      </c>
      <c r="B169" s="32" t="s">
        <v>67</v>
      </c>
      <c r="C169" s="32" t="str">
        <f>_xlfn.XLOOKUP(Table610111213[[#This Row],[Category No]],Table8[Category No],Table8[Chapter List],FALSE)</f>
        <v>Post-Mauryan India (200 BC - 300 CE)</v>
      </c>
      <c r="D169" s="34" t="s">
        <v>1245</v>
      </c>
      <c r="E169" s="34" t="s">
        <v>695</v>
      </c>
      <c r="F169" s="34" t="s">
        <v>1246</v>
      </c>
      <c r="G169" s="64" t="s">
        <v>1215</v>
      </c>
    </row>
    <row r="170" spans="1:7" x14ac:dyDescent="0.3">
      <c r="A170" s="32">
        <v>169</v>
      </c>
      <c r="B170" s="32" t="s">
        <v>67</v>
      </c>
      <c r="C170" s="32" t="str">
        <f>_xlfn.XLOOKUP(Table610111213[[#This Row],[Category No]],Table8[Category No],Table8[Chapter List],FALSE)</f>
        <v>Post-Mauryan India (200 BC - 300 CE)</v>
      </c>
      <c r="D170" s="34" t="s">
        <v>1247</v>
      </c>
      <c r="E170" s="34" t="s">
        <v>695</v>
      </c>
      <c r="F170" s="34" t="s">
        <v>1248</v>
      </c>
      <c r="G170" s="64"/>
    </row>
    <row r="171" spans="1:7" x14ac:dyDescent="0.3">
      <c r="A171" s="32">
        <v>170</v>
      </c>
      <c r="B171" s="32" t="s">
        <v>67</v>
      </c>
      <c r="C171" s="32" t="str">
        <f>_xlfn.XLOOKUP(Table610111213[[#This Row],[Category No]],Table8[Category No],Table8[Chapter List],FALSE)</f>
        <v>Post-Mauryan India (200 BC - 300 CE)</v>
      </c>
      <c r="D171" s="34" t="s">
        <v>1249</v>
      </c>
      <c r="E171" s="34" t="s">
        <v>695</v>
      </c>
      <c r="F171" s="34" t="s">
        <v>2099</v>
      </c>
      <c r="G171" s="64"/>
    </row>
    <row r="172" spans="1:7" x14ac:dyDescent="0.3">
      <c r="A172" s="32">
        <v>171</v>
      </c>
      <c r="B172" s="32" t="s">
        <v>67</v>
      </c>
      <c r="C172" s="32" t="str">
        <f>_xlfn.XLOOKUP(Table610111213[[#This Row],[Category No]],Table8[Category No],Table8[Chapter List],FALSE)</f>
        <v>Post-Mauryan India (200 BC - 300 CE)</v>
      </c>
      <c r="D172" s="34" t="s">
        <v>1250</v>
      </c>
      <c r="E172" s="34" t="s">
        <v>695</v>
      </c>
      <c r="F172" s="34" t="s">
        <v>2099</v>
      </c>
      <c r="G172" s="64"/>
    </row>
    <row r="173" spans="1:7" x14ac:dyDescent="0.3">
      <c r="A173" s="32">
        <v>172</v>
      </c>
      <c r="B173" s="32" t="s">
        <v>67</v>
      </c>
      <c r="C173" s="32" t="str">
        <f>_xlfn.XLOOKUP(Table610111213[[#This Row],[Category No]],Table8[Category No],Table8[Chapter List],FALSE)</f>
        <v>Post-Mauryan India (200 BC - 300 CE)</v>
      </c>
      <c r="D173" s="34" t="s">
        <v>1251</v>
      </c>
      <c r="E173" s="34" t="s">
        <v>695</v>
      </c>
      <c r="F173" s="34" t="s">
        <v>1252</v>
      </c>
      <c r="G173" s="64"/>
    </row>
    <row r="174" spans="1:7" x14ac:dyDescent="0.3">
      <c r="A174" s="32">
        <v>173</v>
      </c>
      <c r="B174" s="32" t="s">
        <v>67</v>
      </c>
      <c r="C174" s="32" t="str">
        <f>_xlfn.XLOOKUP(Table610111213[[#This Row],[Category No]],Table8[Category No],Table8[Chapter List],FALSE)</f>
        <v>Post-Mauryan India (200 BC - 300 CE)</v>
      </c>
      <c r="D174" s="34" t="s">
        <v>1253</v>
      </c>
      <c r="E174" s="34" t="s">
        <v>695</v>
      </c>
      <c r="F174" s="34" t="s">
        <v>1254</v>
      </c>
      <c r="G174" s="64"/>
    </row>
    <row r="175" spans="1:7" x14ac:dyDescent="0.3">
      <c r="A175" s="32">
        <v>174</v>
      </c>
      <c r="B175" s="32" t="s">
        <v>67</v>
      </c>
      <c r="C175" s="32" t="str">
        <f>_xlfn.XLOOKUP(Table610111213[[#This Row],[Category No]],Table8[Category No],Table8[Chapter List],FALSE)</f>
        <v>Post-Mauryan India (200 BC - 300 CE)</v>
      </c>
      <c r="D175" s="34" t="s">
        <v>1266</v>
      </c>
      <c r="E175" s="34" t="s">
        <v>695</v>
      </c>
      <c r="F175" s="34" t="s">
        <v>1267</v>
      </c>
      <c r="G175" s="64" t="s">
        <v>1270</v>
      </c>
    </row>
    <row r="176" spans="1:7" x14ac:dyDescent="0.3">
      <c r="A176" s="32">
        <v>175</v>
      </c>
      <c r="B176" s="32" t="s">
        <v>67</v>
      </c>
      <c r="C176" s="32" t="str">
        <f>_xlfn.XLOOKUP(Table610111213[[#This Row],[Category No]],Table8[Category No],Table8[Chapter List],FALSE)</f>
        <v>Post-Mauryan India (200 BC - 300 CE)</v>
      </c>
      <c r="D176" s="34" t="s">
        <v>1268</v>
      </c>
      <c r="E176" s="34" t="s">
        <v>695</v>
      </c>
      <c r="F176" s="34" t="s">
        <v>1269</v>
      </c>
      <c r="G176" s="64"/>
    </row>
    <row r="177" spans="1:7" x14ac:dyDescent="0.3">
      <c r="A177" s="32">
        <v>176</v>
      </c>
      <c r="B177" s="32" t="s">
        <v>67</v>
      </c>
      <c r="C177" s="32" t="str">
        <f>_xlfn.XLOOKUP(Table610111213[[#This Row],[Category No]],Table8[Category No],Table8[Chapter List],FALSE)</f>
        <v>Post-Mauryan India (200 BC - 300 CE)</v>
      </c>
      <c r="D177" s="34" t="s">
        <v>1271</v>
      </c>
      <c r="E177" s="34" t="s">
        <v>695</v>
      </c>
      <c r="F177" s="34" t="s">
        <v>1272</v>
      </c>
      <c r="G177" s="64" t="s">
        <v>1217</v>
      </c>
    </row>
    <row r="178" spans="1:7" x14ac:dyDescent="0.3">
      <c r="A178" s="32">
        <v>177</v>
      </c>
      <c r="B178" s="32" t="s">
        <v>67</v>
      </c>
      <c r="C178" s="32" t="str">
        <f>_xlfn.XLOOKUP(Table610111213[[#This Row],[Category No]],Table8[Category No],Table8[Chapter List],FALSE)</f>
        <v>Post-Mauryan India (200 BC - 300 CE)</v>
      </c>
      <c r="D178" s="34" t="s">
        <v>1275</v>
      </c>
      <c r="E178" s="34" t="s">
        <v>695</v>
      </c>
      <c r="F178" s="34" t="s">
        <v>1276</v>
      </c>
      <c r="G178" s="64"/>
    </row>
    <row r="179" spans="1:7" x14ac:dyDescent="0.3">
      <c r="A179" s="32">
        <v>178</v>
      </c>
      <c r="B179" s="32" t="s">
        <v>67</v>
      </c>
      <c r="C179" s="32" t="str">
        <f>_xlfn.XLOOKUP(Table610111213[[#This Row],[Category No]],Table8[Category No],Table8[Chapter List],FALSE)</f>
        <v>Post-Mauryan India (200 BC - 300 CE)</v>
      </c>
      <c r="D179" s="34" t="s">
        <v>1296</v>
      </c>
      <c r="E179" s="34" t="s">
        <v>695</v>
      </c>
      <c r="F179" s="34" t="s">
        <v>1297</v>
      </c>
      <c r="G179" s="64" t="s">
        <v>1218</v>
      </c>
    </row>
    <row r="180" spans="1:7" x14ac:dyDescent="0.3">
      <c r="A180" s="32">
        <v>179</v>
      </c>
      <c r="B180" s="32" t="s">
        <v>67</v>
      </c>
      <c r="C180" s="32" t="str">
        <f>_xlfn.XLOOKUP(Table610111213[[#This Row],[Category No]],Table8[Category No],Table8[Chapter List],FALSE)</f>
        <v>Post-Mauryan India (200 BC - 300 CE)</v>
      </c>
      <c r="D180" s="34" t="s">
        <v>1298</v>
      </c>
      <c r="E180" s="34" t="s">
        <v>695</v>
      </c>
      <c r="F180" s="34" t="s">
        <v>1299</v>
      </c>
      <c r="G180" s="64"/>
    </row>
    <row r="181" spans="1:7" x14ac:dyDescent="0.3">
      <c r="A181" s="32">
        <v>180</v>
      </c>
      <c r="B181" s="32" t="s">
        <v>67</v>
      </c>
      <c r="C181" s="32" t="str">
        <f>_xlfn.XLOOKUP(Table610111213[[#This Row],[Category No]],Table8[Category No],Table8[Chapter List],FALSE)</f>
        <v>Post-Mauryan India (200 BC - 300 CE)</v>
      </c>
      <c r="D181" s="34" t="s">
        <v>1300</v>
      </c>
      <c r="E181" s="34" t="s">
        <v>695</v>
      </c>
      <c r="F181" s="34" t="s">
        <v>1301</v>
      </c>
      <c r="G181" s="64"/>
    </row>
    <row r="182" spans="1:7" x14ac:dyDescent="0.3">
      <c r="A182" s="32">
        <v>181</v>
      </c>
      <c r="B182" s="32" t="s">
        <v>67</v>
      </c>
      <c r="C182" s="32" t="str">
        <f>_xlfn.XLOOKUP(Table610111213[[#This Row],[Category No]],Table8[Category No],Table8[Chapter List],FALSE)</f>
        <v>Post-Mauryan India (200 BC - 300 CE)</v>
      </c>
      <c r="D182" s="34" t="s">
        <v>1312</v>
      </c>
      <c r="E182" s="34" t="s">
        <v>695</v>
      </c>
      <c r="F182" s="34" t="s">
        <v>1313</v>
      </c>
      <c r="G182" s="57" t="s">
        <v>1219</v>
      </c>
    </row>
    <row r="183" spans="1:7" x14ac:dyDescent="0.3">
      <c r="A183" s="32">
        <v>182</v>
      </c>
      <c r="B183" s="32" t="s">
        <v>67</v>
      </c>
      <c r="C183" s="32" t="str">
        <f>_xlfn.XLOOKUP(Table610111213[[#This Row],[Category No]],Table8[Category No],Table8[Chapter List],FALSE)</f>
        <v>Post-Mauryan India (200 BC - 300 CE)</v>
      </c>
      <c r="D183" s="34" t="s">
        <v>1314</v>
      </c>
      <c r="E183" s="34" t="s">
        <v>695</v>
      </c>
      <c r="F183" s="34" t="s">
        <v>1315</v>
      </c>
      <c r="G183" s="57"/>
    </row>
    <row r="184" spans="1:7" x14ac:dyDescent="0.3">
      <c r="A184" s="32">
        <v>183</v>
      </c>
      <c r="B184" s="32" t="s">
        <v>67</v>
      </c>
      <c r="C184" s="32" t="str">
        <f>_xlfn.XLOOKUP(Table610111213[[#This Row],[Category No]],Table8[Category No],Table8[Chapter List],FALSE)</f>
        <v>Post-Mauryan India (200 BC - 300 CE)</v>
      </c>
      <c r="D184" s="34" t="s">
        <v>1316</v>
      </c>
      <c r="E184" s="34" t="s">
        <v>695</v>
      </c>
      <c r="F184" s="34" t="s">
        <v>1317</v>
      </c>
      <c r="G184" s="57"/>
    </row>
    <row r="185" spans="1:7" x14ac:dyDescent="0.3">
      <c r="A185" s="32">
        <v>184</v>
      </c>
      <c r="B185" s="32" t="s">
        <v>67</v>
      </c>
      <c r="C185" s="32" t="str">
        <f>_xlfn.XLOOKUP(Table610111213[[#This Row],[Category No]],Table8[Category No],Table8[Chapter List],FALSE)</f>
        <v>Post-Mauryan India (200 BC - 300 CE)</v>
      </c>
      <c r="D185" s="34" t="s">
        <v>1318</v>
      </c>
      <c r="E185" s="34" t="s">
        <v>695</v>
      </c>
      <c r="F185" s="34" t="s">
        <v>1319</v>
      </c>
      <c r="G185" s="57"/>
    </row>
    <row r="186" spans="1:7" x14ac:dyDescent="0.3">
      <c r="A186" s="32">
        <v>185</v>
      </c>
      <c r="B186" s="32" t="s">
        <v>67</v>
      </c>
      <c r="C186" s="32" t="str">
        <f>_xlfn.XLOOKUP(Table610111213[[#This Row],[Category No]],Table8[Category No],Table8[Chapter List],FALSE)</f>
        <v>Post-Mauryan India (200 BC - 300 CE)</v>
      </c>
      <c r="D186" s="34" t="s">
        <v>1320</v>
      </c>
      <c r="E186" s="34" t="s">
        <v>695</v>
      </c>
      <c r="F186" s="34" t="s">
        <v>1321</v>
      </c>
      <c r="G186" s="57"/>
    </row>
    <row r="187" spans="1:7" x14ac:dyDescent="0.3">
      <c r="A187" s="32">
        <v>186</v>
      </c>
      <c r="B187" s="32" t="s">
        <v>67</v>
      </c>
      <c r="C187" s="32" t="str">
        <f>_xlfn.XLOOKUP(Table610111213[[#This Row],[Category No]],Table8[Category No],Table8[Chapter List],FALSE)</f>
        <v>Post-Mauryan India (200 BC - 300 CE)</v>
      </c>
      <c r="D187" s="34" t="s">
        <v>1322</v>
      </c>
      <c r="E187" s="34" t="s">
        <v>695</v>
      </c>
      <c r="F187" s="34" t="s">
        <v>1323</v>
      </c>
      <c r="G187" s="57"/>
    </row>
    <row r="188" spans="1:7" x14ac:dyDescent="0.3">
      <c r="A188" s="32">
        <v>187</v>
      </c>
      <c r="B188" s="32" t="s">
        <v>67</v>
      </c>
      <c r="C188" s="32" t="str">
        <f>_xlfn.XLOOKUP(Table610111213[[#This Row],[Category No]],Table8[Category No],Table8[Chapter List],FALSE)</f>
        <v>Post-Mauryan India (200 BC - 300 CE)</v>
      </c>
      <c r="D188" s="34" t="s">
        <v>1324</v>
      </c>
      <c r="E188" s="34" t="s">
        <v>695</v>
      </c>
      <c r="F188" s="34" t="s">
        <v>1325</v>
      </c>
      <c r="G188" s="57"/>
    </row>
    <row r="189" spans="1:7" x14ac:dyDescent="0.3">
      <c r="A189" s="32">
        <v>188</v>
      </c>
      <c r="B189" s="32" t="s">
        <v>67</v>
      </c>
      <c r="C189" s="32" t="str">
        <f>_xlfn.XLOOKUP(Table610111213[[#This Row],[Category No]],Table8[Category No],Table8[Chapter List],FALSE)</f>
        <v>Post-Mauryan India (200 BC - 300 CE)</v>
      </c>
      <c r="D189" s="34" t="s">
        <v>1340</v>
      </c>
      <c r="E189" s="34" t="s">
        <v>697</v>
      </c>
      <c r="F189" s="34" t="s">
        <v>1341</v>
      </c>
      <c r="G189" s="57"/>
    </row>
    <row r="190" spans="1:7" x14ac:dyDescent="0.3">
      <c r="A190" s="32">
        <v>189</v>
      </c>
      <c r="B190" s="32" t="s">
        <v>67</v>
      </c>
      <c r="C190" s="32" t="str">
        <f>_xlfn.XLOOKUP(Table610111213[[#This Row],[Category No]],Table8[Category No],Table8[Chapter List],FALSE)</f>
        <v>Post-Mauryan India (200 BC - 300 CE)</v>
      </c>
      <c r="D190" s="34" t="s">
        <v>1342</v>
      </c>
      <c r="E190" s="34" t="s">
        <v>697</v>
      </c>
      <c r="F190" s="34" t="s">
        <v>1343</v>
      </c>
      <c r="G190" s="57"/>
    </row>
    <row r="191" spans="1:7" x14ac:dyDescent="0.3">
      <c r="A191" s="32">
        <v>190</v>
      </c>
      <c r="B191" s="32" t="s">
        <v>67</v>
      </c>
      <c r="C191" s="32" t="str">
        <f>_xlfn.XLOOKUP(Table610111213[[#This Row],[Category No]],Table8[Category No],Table8[Chapter List],FALSE)</f>
        <v>Post-Mauryan India (200 BC - 300 CE)</v>
      </c>
      <c r="D191" s="34" t="s">
        <v>1344</v>
      </c>
      <c r="E191" s="34" t="s">
        <v>697</v>
      </c>
      <c r="F191" s="34" t="s">
        <v>1345</v>
      </c>
      <c r="G191" s="57"/>
    </row>
    <row r="192" spans="1:7" x14ac:dyDescent="0.3">
      <c r="A192" s="32">
        <v>191</v>
      </c>
      <c r="B192" s="32" t="s">
        <v>67</v>
      </c>
      <c r="C192" s="32" t="str">
        <f>_xlfn.XLOOKUP(Table610111213[[#This Row],[Category No]],Table8[Category No],Table8[Chapter List],FALSE)</f>
        <v>Post-Mauryan India (200 BC - 300 CE)</v>
      </c>
      <c r="D192" s="34" t="s">
        <v>1350</v>
      </c>
      <c r="E192" s="34" t="s">
        <v>697</v>
      </c>
      <c r="F192" s="34" t="s">
        <v>1351</v>
      </c>
      <c r="G192" s="57"/>
    </row>
    <row r="193" spans="1:7" x14ac:dyDescent="0.3">
      <c r="A193" s="32">
        <v>192</v>
      </c>
      <c r="B193" s="32" t="s">
        <v>67</v>
      </c>
      <c r="C193" s="32" t="str">
        <f>_xlfn.XLOOKUP(Table610111213[[#This Row],[Category No]],Table8[Category No],Table8[Chapter List],FALSE)</f>
        <v>Post-Mauryan India (200 BC - 300 CE)</v>
      </c>
      <c r="D193" s="34" t="s">
        <v>1438</v>
      </c>
      <c r="E193" s="34" t="s">
        <v>697</v>
      </c>
      <c r="F193" s="34" t="s">
        <v>1356</v>
      </c>
      <c r="G193" s="57" t="s">
        <v>1220</v>
      </c>
    </row>
    <row r="194" spans="1:7" x14ac:dyDescent="0.3">
      <c r="A194" s="32">
        <v>193</v>
      </c>
      <c r="B194" s="32" t="s">
        <v>67</v>
      </c>
      <c r="C194" s="32" t="str">
        <f>_xlfn.XLOOKUP(Table610111213[[#This Row],[Category No]],Table8[Category No],Table8[Chapter List],FALSE)</f>
        <v>Post-Mauryan India (200 BC - 300 CE)</v>
      </c>
      <c r="D194" s="34" t="s">
        <v>1357</v>
      </c>
      <c r="E194" s="34" t="s">
        <v>695</v>
      </c>
      <c r="F194" s="34" t="s">
        <v>1358</v>
      </c>
      <c r="G194" s="57"/>
    </row>
    <row r="195" spans="1:7" x14ac:dyDescent="0.3">
      <c r="A195" s="32">
        <v>194</v>
      </c>
      <c r="B195" s="32" t="s">
        <v>67</v>
      </c>
      <c r="C195" s="32" t="str">
        <f>_xlfn.XLOOKUP(Table610111213[[#This Row],[Category No]],Table8[Category No],Table8[Chapter List],FALSE)</f>
        <v>Post-Mauryan India (200 BC - 300 CE)</v>
      </c>
      <c r="D195" s="34" t="s">
        <v>1375</v>
      </c>
      <c r="E195" s="34" t="s">
        <v>695</v>
      </c>
      <c r="F195" s="34" t="s">
        <v>1376</v>
      </c>
      <c r="G195" s="57"/>
    </row>
    <row r="196" spans="1:7" x14ac:dyDescent="0.3">
      <c r="A196" s="32">
        <v>195</v>
      </c>
      <c r="B196" s="32" t="s">
        <v>67</v>
      </c>
      <c r="C196" s="32" t="str">
        <f>_xlfn.XLOOKUP(Table610111213[[#This Row],[Category No]],Table8[Category No],Table8[Chapter List],FALSE)</f>
        <v>Post-Mauryan India (200 BC - 300 CE)</v>
      </c>
      <c r="D196" s="34" t="s">
        <v>1359</v>
      </c>
      <c r="E196" s="34" t="s">
        <v>695</v>
      </c>
      <c r="F196" s="34" t="s">
        <v>1360</v>
      </c>
      <c r="G196" s="57"/>
    </row>
    <row r="197" spans="1:7" x14ac:dyDescent="0.3">
      <c r="A197" s="32">
        <v>196</v>
      </c>
      <c r="B197" s="32" t="s">
        <v>67</v>
      </c>
      <c r="C197" s="32" t="str">
        <f>_xlfn.XLOOKUP(Table610111213[[#This Row],[Category No]],Table8[Category No],Table8[Chapter List],FALSE)</f>
        <v>Post-Mauryan India (200 BC - 300 CE)</v>
      </c>
      <c r="D197" s="34" t="s">
        <v>1399</v>
      </c>
      <c r="E197" s="34" t="s">
        <v>697</v>
      </c>
      <c r="F197" s="34" t="s">
        <v>1400</v>
      </c>
      <c r="G197" s="57"/>
    </row>
    <row r="198" spans="1:7" x14ac:dyDescent="0.3">
      <c r="A198" s="32">
        <v>197</v>
      </c>
      <c r="B198" s="32" t="s">
        <v>67</v>
      </c>
      <c r="C198" s="32" t="str">
        <f>_xlfn.XLOOKUP(Table610111213[[#This Row],[Category No]],Table8[Category No],Table8[Chapter List],FALSE)</f>
        <v>Post-Mauryan India (200 BC - 300 CE)</v>
      </c>
      <c r="D198" s="34" t="s">
        <v>1361</v>
      </c>
      <c r="E198" s="34" t="s">
        <v>695</v>
      </c>
      <c r="F198" s="34" t="s">
        <v>1362</v>
      </c>
      <c r="G198" s="57"/>
    </row>
    <row r="199" spans="1:7" x14ac:dyDescent="0.3">
      <c r="A199" s="32">
        <v>198</v>
      </c>
      <c r="B199" s="32" t="s">
        <v>67</v>
      </c>
      <c r="C199" s="32" t="str">
        <f>_xlfn.XLOOKUP(Table610111213[[#This Row],[Category No]],Table8[Category No],Table8[Chapter List],FALSE)</f>
        <v>Post-Mauryan India (200 BC - 300 CE)</v>
      </c>
      <c r="D199" s="34" t="s">
        <v>1363</v>
      </c>
      <c r="E199" s="34" t="s">
        <v>695</v>
      </c>
      <c r="F199" s="34" t="s">
        <v>1360</v>
      </c>
      <c r="G199" s="57"/>
    </row>
    <row r="200" spans="1:7" x14ac:dyDescent="0.3">
      <c r="A200" s="32">
        <v>199</v>
      </c>
      <c r="B200" s="32" t="s">
        <v>67</v>
      </c>
      <c r="C200" s="32" t="str">
        <f>_xlfn.XLOOKUP(Table610111213[[#This Row],[Category No]],Table8[Category No],Table8[Chapter List],FALSE)</f>
        <v>Post-Mauryan India (200 BC - 300 CE)</v>
      </c>
      <c r="D200" s="34" t="s">
        <v>1364</v>
      </c>
      <c r="E200" s="34" t="s">
        <v>695</v>
      </c>
      <c r="F200" s="34" t="s">
        <v>1365</v>
      </c>
      <c r="G200" s="57"/>
    </row>
    <row r="201" spans="1:7" x14ac:dyDescent="0.3">
      <c r="A201" s="32">
        <v>200</v>
      </c>
      <c r="B201" s="32" t="s">
        <v>67</v>
      </c>
      <c r="C201" s="32" t="str">
        <f>_xlfn.XLOOKUP(Table610111213[[#This Row],[Category No]],Table8[Category No],Table8[Chapter List],FALSE)</f>
        <v>Post-Mauryan India (200 BC - 300 CE)</v>
      </c>
      <c r="D201" s="34" t="s">
        <v>1382</v>
      </c>
      <c r="E201" s="34" t="s">
        <v>695</v>
      </c>
      <c r="F201" s="34" t="s">
        <v>1383</v>
      </c>
      <c r="G201" s="57"/>
    </row>
    <row r="202" spans="1:7" ht="27.6" x14ac:dyDescent="0.3">
      <c r="A202" s="32">
        <v>201</v>
      </c>
      <c r="B202" s="32" t="s">
        <v>67</v>
      </c>
      <c r="C202" s="32" t="str">
        <f>_xlfn.XLOOKUP(Table610111213[[#This Row],[Category No]],Table8[Category No],Table8[Chapter List],FALSE)</f>
        <v>Post-Mauryan India (200 BC - 300 CE)</v>
      </c>
      <c r="D202" s="34" t="s">
        <v>1384</v>
      </c>
      <c r="E202" s="34" t="s">
        <v>695</v>
      </c>
      <c r="F202" s="33" t="s">
        <v>1439</v>
      </c>
      <c r="G202" s="57"/>
    </row>
    <row r="203" spans="1:7" x14ac:dyDescent="0.3">
      <c r="A203" s="32">
        <v>202</v>
      </c>
      <c r="B203" s="32" t="s">
        <v>67</v>
      </c>
      <c r="C203" s="32" t="str">
        <f>_xlfn.XLOOKUP(Table610111213[[#This Row],[Category No]],Table8[Category No],Table8[Chapter List],FALSE)</f>
        <v>Post-Mauryan India (200 BC - 300 CE)</v>
      </c>
      <c r="D203" s="34" t="s">
        <v>1385</v>
      </c>
      <c r="E203" s="34" t="s">
        <v>695</v>
      </c>
      <c r="F203" s="34" t="s">
        <v>1360</v>
      </c>
      <c r="G203" s="57"/>
    </row>
    <row r="204" spans="1:7" x14ac:dyDescent="0.3">
      <c r="A204" s="32">
        <v>203</v>
      </c>
      <c r="B204" s="32" t="s">
        <v>67</v>
      </c>
      <c r="C204" s="32" t="str">
        <f>_xlfn.XLOOKUP(Table610111213[[#This Row],[Category No]],Table8[Category No],Table8[Chapter List],FALSE)</f>
        <v>Post-Mauryan India (200 BC - 300 CE)</v>
      </c>
      <c r="D204" s="34" t="s">
        <v>1386</v>
      </c>
      <c r="E204" s="34" t="s">
        <v>695</v>
      </c>
      <c r="F204" s="34" t="s">
        <v>1397</v>
      </c>
      <c r="G204" s="57"/>
    </row>
    <row r="205" spans="1:7" x14ac:dyDescent="0.3">
      <c r="A205" s="32">
        <v>204</v>
      </c>
      <c r="B205" s="32" t="s">
        <v>67</v>
      </c>
      <c r="C205" s="32" t="str">
        <f>_xlfn.XLOOKUP(Table610111213[[#This Row],[Category No]],Table8[Category No],Table8[Chapter List],FALSE)</f>
        <v>Post-Mauryan India (200 BC - 300 CE)</v>
      </c>
      <c r="D205" s="34" t="s">
        <v>1387</v>
      </c>
      <c r="E205" s="34" t="s">
        <v>695</v>
      </c>
      <c r="F205" s="34" t="s">
        <v>1388</v>
      </c>
      <c r="G205" s="57"/>
    </row>
    <row r="206" spans="1:7" x14ac:dyDescent="0.3">
      <c r="A206" s="32">
        <v>205</v>
      </c>
      <c r="B206" s="32" t="s">
        <v>67</v>
      </c>
      <c r="C206" s="32" t="str">
        <f>_xlfn.XLOOKUP(Table610111213[[#This Row],[Category No]],Table8[Category No],Table8[Chapter List],FALSE)</f>
        <v>Post-Mauryan India (200 BC - 300 CE)</v>
      </c>
      <c r="D206" s="34" t="s">
        <v>1404</v>
      </c>
      <c r="E206" s="34" t="s">
        <v>695</v>
      </c>
      <c r="F206" s="34" t="s">
        <v>1405</v>
      </c>
      <c r="G206" s="57"/>
    </row>
    <row r="207" spans="1:7" x14ac:dyDescent="0.3">
      <c r="A207" s="32">
        <v>206</v>
      </c>
      <c r="B207" s="32" t="s">
        <v>67</v>
      </c>
      <c r="C207" s="32" t="str">
        <f>_xlfn.XLOOKUP(Table610111213[[#This Row],[Category No]],Table8[Category No],Table8[Chapter List],FALSE)</f>
        <v>Post-Mauryan India (200 BC - 300 CE)</v>
      </c>
      <c r="D207" s="34" t="s">
        <v>1406</v>
      </c>
      <c r="E207" s="34" t="s">
        <v>697</v>
      </c>
      <c r="F207" s="34" t="s">
        <v>1407</v>
      </c>
      <c r="G207" s="57"/>
    </row>
    <row r="208" spans="1:7" x14ac:dyDescent="0.3">
      <c r="A208" s="32">
        <v>207</v>
      </c>
      <c r="B208" s="32" t="s">
        <v>67</v>
      </c>
      <c r="C208" s="32" t="str">
        <f>_xlfn.XLOOKUP(Table610111213[[#This Row],[Category No]],Table8[Category No],Table8[Chapter List],FALSE)</f>
        <v>Post-Mauryan India (200 BC - 300 CE)</v>
      </c>
      <c r="D208" s="34" t="s">
        <v>1408</v>
      </c>
      <c r="E208" s="34" t="s">
        <v>697</v>
      </c>
      <c r="F208" s="34" t="s">
        <v>1409</v>
      </c>
      <c r="G208" s="57"/>
    </row>
    <row r="209" spans="1:7" x14ac:dyDescent="0.3">
      <c r="A209" s="32">
        <v>208</v>
      </c>
      <c r="B209" s="32" t="s">
        <v>67</v>
      </c>
      <c r="C209" s="32" t="str">
        <f>_xlfn.XLOOKUP(Table610111213[[#This Row],[Category No]],Table8[Category No],Table8[Chapter List],FALSE)</f>
        <v>Post-Mauryan India (200 BC - 300 CE)</v>
      </c>
      <c r="D209" s="34" t="s">
        <v>1410</v>
      </c>
      <c r="E209" s="34" t="s">
        <v>697</v>
      </c>
      <c r="F209" s="34" t="s">
        <v>1411</v>
      </c>
      <c r="G209" s="57"/>
    </row>
    <row r="210" spans="1:7" x14ac:dyDescent="0.3">
      <c r="A210" s="32">
        <v>209</v>
      </c>
      <c r="B210" s="32" t="s">
        <v>67</v>
      </c>
      <c r="C210" s="32" t="str">
        <f>_xlfn.XLOOKUP(Table610111213[[#This Row],[Category No]],Table8[Category No],Table8[Chapter List],FALSE)</f>
        <v>Post-Mauryan India (200 BC - 300 CE)</v>
      </c>
      <c r="D210" s="34" t="s">
        <v>1412</v>
      </c>
      <c r="E210" s="34" t="s">
        <v>697</v>
      </c>
      <c r="F210" s="34" t="s">
        <v>1413</v>
      </c>
      <c r="G210" s="57"/>
    </row>
    <row r="211" spans="1:7" x14ac:dyDescent="0.3">
      <c r="A211" s="32">
        <v>210</v>
      </c>
      <c r="B211" s="32" t="s">
        <v>67</v>
      </c>
      <c r="C211" s="32" t="str">
        <f>_xlfn.XLOOKUP(Table610111213[[#This Row],[Category No]],Table8[Category No],Table8[Chapter List],FALSE)</f>
        <v>Post-Mauryan India (200 BC - 300 CE)</v>
      </c>
      <c r="D211" s="34" t="s">
        <v>1414</v>
      </c>
      <c r="E211" s="34" t="s">
        <v>697</v>
      </c>
      <c r="F211" s="34" t="s">
        <v>1415</v>
      </c>
      <c r="G211" s="57"/>
    </row>
    <row r="212" spans="1:7" x14ac:dyDescent="0.3">
      <c r="A212" s="32">
        <v>211</v>
      </c>
      <c r="B212" s="32" t="s">
        <v>67</v>
      </c>
      <c r="C212" s="32" t="str">
        <f>_xlfn.XLOOKUP(Table610111213[[#This Row],[Category No]],Table8[Category No],Table8[Chapter List],FALSE)</f>
        <v>Post-Mauryan India (200 BC - 300 CE)</v>
      </c>
      <c r="D212" s="34" t="s">
        <v>1416</v>
      </c>
      <c r="E212" s="34" t="s">
        <v>697</v>
      </c>
      <c r="F212" s="34" t="s">
        <v>1417</v>
      </c>
      <c r="G212" s="57"/>
    </row>
    <row r="213" spans="1:7" x14ac:dyDescent="0.3">
      <c r="A213" s="32">
        <v>212</v>
      </c>
      <c r="B213" s="32" t="s">
        <v>67</v>
      </c>
      <c r="C213" s="32" t="str">
        <f>_xlfn.XLOOKUP(Table610111213[[#This Row],[Category No]],Table8[Category No],Table8[Chapter List],FALSE)</f>
        <v>Post-Mauryan India (200 BC - 300 CE)</v>
      </c>
      <c r="D213" s="34" t="s">
        <v>1428</v>
      </c>
      <c r="E213" s="34" t="s">
        <v>697</v>
      </c>
      <c r="F213" s="34" t="s">
        <v>1429</v>
      </c>
      <c r="G213" s="57"/>
    </row>
    <row r="214" spans="1:7" x14ac:dyDescent="0.3">
      <c r="A214" s="32">
        <v>213</v>
      </c>
      <c r="B214" s="32" t="s">
        <v>67</v>
      </c>
      <c r="C214" s="32" t="str">
        <f>_xlfn.XLOOKUP(Table610111213[[#This Row],[Category No]],Table8[Category No],Table8[Chapter List],FALSE)</f>
        <v>Post-Mauryan India (200 BC - 300 CE)</v>
      </c>
      <c r="D214" s="34" t="s">
        <v>1430</v>
      </c>
      <c r="E214" s="34" t="s">
        <v>697</v>
      </c>
      <c r="F214" s="34" t="s">
        <v>1433</v>
      </c>
      <c r="G214" s="57"/>
    </row>
    <row r="215" spans="1:7" x14ac:dyDescent="0.3">
      <c r="A215" s="32">
        <v>214</v>
      </c>
      <c r="B215" s="32" t="s">
        <v>67</v>
      </c>
      <c r="C215" s="32" t="str">
        <f>_xlfn.XLOOKUP(Table610111213[[#This Row],[Category No]],Table8[Category No],Table8[Chapter List],FALSE)</f>
        <v>Post-Mauryan India (200 BC - 300 CE)</v>
      </c>
      <c r="D215" s="34" t="s">
        <v>1431</v>
      </c>
      <c r="E215" s="34" t="s">
        <v>697</v>
      </c>
      <c r="F215" s="34" t="s">
        <v>1432</v>
      </c>
      <c r="G215" s="57"/>
    </row>
    <row r="216" spans="1:7" x14ac:dyDescent="0.3">
      <c r="A216" s="32">
        <v>215</v>
      </c>
      <c r="B216" s="32" t="s">
        <v>67</v>
      </c>
      <c r="C216" s="32" t="str">
        <f>_xlfn.XLOOKUP(Table610111213[[#This Row],[Category No]],Table8[Category No],Table8[Chapter List],FALSE)</f>
        <v>Post-Mauryan India (200 BC - 300 CE)</v>
      </c>
      <c r="D216" s="34" t="s">
        <v>1366</v>
      </c>
      <c r="E216" s="34" t="s">
        <v>695</v>
      </c>
      <c r="F216" s="34" t="s">
        <v>1441</v>
      </c>
      <c r="G216" s="57"/>
    </row>
    <row r="217" spans="1:7" x14ac:dyDescent="0.3">
      <c r="A217" s="32">
        <v>216</v>
      </c>
      <c r="B217" s="32" t="s">
        <v>67</v>
      </c>
      <c r="C217" s="32" t="str">
        <f>_xlfn.XLOOKUP(Table610111213[[#This Row],[Category No]],Table8[Category No],Table8[Chapter List],FALSE)</f>
        <v>Post-Mauryan India (200 BC - 300 CE)</v>
      </c>
      <c r="D217" s="34" t="s">
        <v>1442</v>
      </c>
      <c r="E217" s="34" t="s">
        <v>695</v>
      </c>
      <c r="F217" s="34" t="s">
        <v>1443</v>
      </c>
    </row>
    <row r="218" spans="1:7" x14ac:dyDescent="0.3">
      <c r="A218" s="32">
        <v>217</v>
      </c>
      <c r="B218" s="32" t="s">
        <v>68</v>
      </c>
      <c r="C218" s="32" t="str">
        <f>_xlfn.XLOOKUP(Table610111213[[#This Row],[Category No]],Table8[Category No],Table8[Chapter List],FALSE)</f>
        <v>Sangam Period (South Indian Dynasties)</v>
      </c>
      <c r="D218" s="34" t="s">
        <v>1472</v>
      </c>
      <c r="E218" s="34" t="s">
        <v>695</v>
      </c>
      <c r="F218" s="34" t="s">
        <v>1473</v>
      </c>
    </row>
    <row r="219" spans="1:7" x14ac:dyDescent="0.3">
      <c r="A219" s="32">
        <v>218</v>
      </c>
      <c r="B219" s="32" t="s">
        <v>68</v>
      </c>
      <c r="C219" s="32" t="str">
        <f>_xlfn.XLOOKUP(Table610111213[[#This Row],[Category No]],Table8[Category No],Table8[Chapter List],FALSE)</f>
        <v>Sangam Period (South Indian Dynasties)</v>
      </c>
      <c r="D219" s="34" t="s">
        <v>1474</v>
      </c>
      <c r="E219" s="34" t="s">
        <v>695</v>
      </c>
      <c r="F219" s="34" t="s">
        <v>1475</v>
      </c>
    </row>
    <row r="220" spans="1:7" x14ac:dyDescent="0.3">
      <c r="A220" s="32">
        <v>219</v>
      </c>
      <c r="B220" s="32" t="s">
        <v>68</v>
      </c>
      <c r="C220" s="32" t="str">
        <f>_xlfn.XLOOKUP(Table610111213[[#This Row],[Category No]],Table8[Category No],Table8[Chapter List],FALSE)</f>
        <v>Sangam Period (South Indian Dynasties)</v>
      </c>
      <c r="D220" s="34" t="s">
        <v>1476</v>
      </c>
      <c r="E220" s="34" t="s">
        <v>695</v>
      </c>
      <c r="F220" s="34" t="s">
        <v>1477</v>
      </c>
    </row>
    <row r="221" spans="1:7" x14ac:dyDescent="0.3">
      <c r="A221" s="32">
        <v>220</v>
      </c>
      <c r="B221" s="32" t="s">
        <v>68</v>
      </c>
      <c r="C221" s="32" t="str">
        <f>_xlfn.XLOOKUP(Table610111213[[#This Row],[Category No]],Table8[Category No],Table8[Chapter List],FALSE)</f>
        <v>Sangam Period (South Indian Dynasties)</v>
      </c>
      <c r="D221" s="34" t="s">
        <v>1478</v>
      </c>
      <c r="E221" s="34" t="s">
        <v>695</v>
      </c>
      <c r="F221" s="34" t="s">
        <v>1479</v>
      </c>
    </row>
    <row r="222" spans="1:7" x14ac:dyDescent="0.3">
      <c r="A222" s="32">
        <v>221</v>
      </c>
      <c r="B222" s="32" t="s">
        <v>68</v>
      </c>
      <c r="C222" s="32" t="str">
        <f>_xlfn.XLOOKUP(Table610111213[[#This Row],[Category No]],Table8[Category No],Table8[Chapter List],FALSE)</f>
        <v>Sangam Period (South Indian Dynasties)</v>
      </c>
      <c r="D222" s="34" t="s">
        <v>1480</v>
      </c>
      <c r="E222" s="34" t="s">
        <v>695</v>
      </c>
      <c r="F222" s="34" t="s">
        <v>1479</v>
      </c>
    </row>
    <row r="223" spans="1:7" x14ac:dyDescent="0.3">
      <c r="A223" s="32">
        <v>222</v>
      </c>
      <c r="B223" s="32" t="s">
        <v>68</v>
      </c>
      <c r="C223" s="32" t="str">
        <f>_xlfn.XLOOKUP(Table610111213[[#This Row],[Category No]],Table8[Category No],Table8[Chapter List],FALSE)</f>
        <v>Sangam Period (South Indian Dynasties)</v>
      </c>
      <c r="D223" s="34" t="s">
        <v>1481</v>
      </c>
      <c r="E223" s="34" t="s">
        <v>697</v>
      </c>
      <c r="F223" s="34" t="s">
        <v>1482</v>
      </c>
    </row>
    <row r="224" spans="1:7" x14ac:dyDescent="0.3">
      <c r="A224" s="32">
        <v>223</v>
      </c>
      <c r="B224" s="32" t="s">
        <v>68</v>
      </c>
      <c r="C224" s="32" t="str">
        <f>_xlfn.XLOOKUP(Table610111213[[#This Row],[Category No]],Table8[Category No],Table8[Chapter List],FALSE)</f>
        <v>Sangam Period (South Indian Dynasties)</v>
      </c>
      <c r="D224" s="34" t="s">
        <v>1483</v>
      </c>
      <c r="E224" s="34" t="s">
        <v>695</v>
      </c>
      <c r="F224" s="34" t="s">
        <v>1490</v>
      </c>
    </row>
    <row r="225" spans="1:7" x14ac:dyDescent="0.3">
      <c r="A225" s="32">
        <v>224</v>
      </c>
      <c r="B225" s="32" t="s">
        <v>68</v>
      </c>
      <c r="C225" s="32" t="str">
        <f>_xlfn.XLOOKUP(Table610111213[[#This Row],[Category No]],Table8[Category No],Table8[Chapter List],FALSE)</f>
        <v>Sangam Period (South Indian Dynasties)</v>
      </c>
      <c r="D225" s="34" t="s">
        <v>1485</v>
      </c>
      <c r="E225" s="34" t="s">
        <v>695</v>
      </c>
      <c r="F225" s="34" t="s">
        <v>1484</v>
      </c>
    </row>
    <row r="226" spans="1:7" x14ac:dyDescent="0.3">
      <c r="A226" s="32">
        <v>225</v>
      </c>
      <c r="B226" s="32" t="s">
        <v>68</v>
      </c>
      <c r="C226" s="32" t="str">
        <f>_xlfn.XLOOKUP(Table610111213[[#This Row],[Category No]],Table8[Category No],Table8[Chapter List],FALSE)</f>
        <v>Sangam Period (South Indian Dynasties)</v>
      </c>
      <c r="D226" s="34" t="s">
        <v>1486</v>
      </c>
      <c r="E226" s="34" t="s">
        <v>695</v>
      </c>
      <c r="F226" s="34" t="s">
        <v>1487</v>
      </c>
    </row>
    <row r="227" spans="1:7" x14ac:dyDescent="0.3">
      <c r="A227" s="32">
        <v>226</v>
      </c>
      <c r="B227" s="32" t="s">
        <v>68</v>
      </c>
      <c r="C227" s="32" t="str">
        <f>_xlfn.XLOOKUP(Table610111213[[#This Row],[Category No]],Table8[Category No],Table8[Chapter List],FALSE)</f>
        <v>Sangam Period (South Indian Dynasties)</v>
      </c>
      <c r="D227" s="34" t="s">
        <v>1488</v>
      </c>
      <c r="E227" s="34" t="s">
        <v>695</v>
      </c>
      <c r="F227" s="34" t="s">
        <v>1489</v>
      </c>
    </row>
    <row r="228" spans="1:7" x14ac:dyDescent="0.3">
      <c r="A228" s="32">
        <v>227</v>
      </c>
      <c r="B228" s="32" t="s">
        <v>68</v>
      </c>
      <c r="C228" s="32" t="str">
        <f>_xlfn.XLOOKUP(Table610111213[[#This Row],[Category No]],Table8[Category No],Table8[Chapter List],FALSE)</f>
        <v>Sangam Period (South Indian Dynasties)</v>
      </c>
      <c r="D228" s="34" t="s">
        <v>1491</v>
      </c>
      <c r="E228" s="34" t="s">
        <v>695</v>
      </c>
      <c r="F228" s="34" t="s">
        <v>1492</v>
      </c>
    </row>
    <row r="229" spans="1:7" x14ac:dyDescent="0.3">
      <c r="A229" s="32">
        <v>228</v>
      </c>
      <c r="B229" s="32" t="s">
        <v>68</v>
      </c>
      <c r="C229" s="32" t="str">
        <f>_xlfn.XLOOKUP(Table610111213[[#This Row],[Category No]],Table8[Category No],Table8[Chapter List],FALSE)</f>
        <v>Sangam Period (South Indian Dynasties)</v>
      </c>
      <c r="D229" s="34" t="s">
        <v>1493</v>
      </c>
      <c r="E229" s="34" t="s">
        <v>695</v>
      </c>
      <c r="F229" s="34" t="s">
        <v>1494</v>
      </c>
    </row>
    <row r="230" spans="1:7" x14ac:dyDescent="0.3">
      <c r="A230" s="32">
        <v>229</v>
      </c>
      <c r="B230" s="32" t="s">
        <v>68</v>
      </c>
      <c r="C230" s="32" t="str">
        <f>_xlfn.XLOOKUP(Table610111213[[#This Row],[Category No]],Table8[Category No],Table8[Chapter List],FALSE)</f>
        <v>Sangam Period (South Indian Dynasties)</v>
      </c>
      <c r="D230" s="34" t="s">
        <v>1495</v>
      </c>
      <c r="E230" s="34" t="s">
        <v>697</v>
      </c>
      <c r="F230" s="34" t="s">
        <v>561</v>
      </c>
    </row>
    <row r="231" spans="1:7" x14ac:dyDescent="0.3">
      <c r="A231" s="32">
        <v>230</v>
      </c>
      <c r="B231" s="32" t="s">
        <v>68</v>
      </c>
      <c r="C231" s="32" t="str">
        <f>_xlfn.XLOOKUP(Table610111213[[#This Row],[Category No]],Table8[Category No],Table8[Chapter List],FALSE)</f>
        <v>Sangam Period (South Indian Dynasties)</v>
      </c>
      <c r="D231" s="34" t="s">
        <v>1496</v>
      </c>
      <c r="E231" s="34" t="s">
        <v>697</v>
      </c>
      <c r="F231" s="34" t="s">
        <v>1500</v>
      </c>
    </row>
    <row r="232" spans="1:7" x14ac:dyDescent="0.3">
      <c r="A232" s="32">
        <v>231</v>
      </c>
      <c r="B232" s="32" t="s">
        <v>68</v>
      </c>
      <c r="C232" s="32" t="str">
        <f>_xlfn.XLOOKUP(Table610111213[[#This Row],[Category No]],Table8[Category No],Table8[Chapter List],FALSE)</f>
        <v>Sangam Period (South Indian Dynasties)</v>
      </c>
      <c r="D232" s="34" t="s">
        <v>1497</v>
      </c>
      <c r="E232" s="34" t="s">
        <v>697</v>
      </c>
      <c r="F232" s="34" t="s">
        <v>1501</v>
      </c>
    </row>
    <row r="233" spans="1:7" x14ac:dyDescent="0.3">
      <c r="A233" s="32">
        <v>232</v>
      </c>
      <c r="B233" s="32" t="s">
        <v>68</v>
      </c>
      <c r="C233" s="32" t="str">
        <f>_xlfn.XLOOKUP(Table610111213[[#This Row],[Category No]],Table8[Category No],Table8[Chapter List],FALSE)</f>
        <v>Sangam Period (South Indian Dynasties)</v>
      </c>
      <c r="D233" s="34" t="s">
        <v>1498</v>
      </c>
      <c r="E233" s="34" t="s">
        <v>697</v>
      </c>
      <c r="F233" s="34" t="s">
        <v>1502</v>
      </c>
    </row>
    <row r="234" spans="1:7" x14ac:dyDescent="0.3">
      <c r="A234" s="32">
        <v>233</v>
      </c>
      <c r="B234" s="32" t="s">
        <v>68</v>
      </c>
      <c r="C234" s="32" t="str">
        <f>_xlfn.XLOOKUP(Table610111213[[#This Row],[Category No]],Table8[Category No],Table8[Chapter List],FALSE)</f>
        <v>Sangam Period (South Indian Dynasties)</v>
      </c>
      <c r="D234" s="34" t="s">
        <v>1499</v>
      </c>
      <c r="E234" s="34" t="s">
        <v>697</v>
      </c>
      <c r="F234" s="34" t="s">
        <v>1503</v>
      </c>
    </row>
    <row r="235" spans="1:7" x14ac:dyDescent="0.3">
      <c r="A235" s="32">
        <v>234</v>
      </c>
      <c r="B235" s="32" t="s">
        <v>69</v>
      </c>
      <c r="C235" s="32" t="str">
        <f>_xlfn.XLOOKUP(Table610111213[[#This Row],[Category No]],Table8[Category No],Table8[Chapter List],FALSE)</f>
        <v>Imperial Guptas &amp; Vakataks, Post Gupta Empire</v>
      </c>
      <c r="D235" s="34" t="s">
        <v>1626</v>
      </c>
      <c r="E235" s="34" t="s">
        <v>695</v>
      </c>
      <c r="F235" s="34" t="s">
        <v>1631</v>
      </c>
    </row>
    <row r="236" spans="1:7" x14ac:dyDescent="0.3">
      <c r="A236" s="32">
        <v>235</v>
      </c>
      <c r="B236" s="32" t="s">
        <v>69</v>
      </c>
      <c r="C236" s="32" t="str">
        <f>_xlfn.XLOOKUP(Table610111213[[#This Row],[Category No]],Table8[Category No],Table8[Chapter List],FALSE)</f>
        <v>Imperial Guptas &amp; Vakataks, Post Gupta Empire</v>
      </c>
      <c r="D236" s="34" t="s">
        <v>1668</v>
      </c>
      <c r="E236" s="34" t="s">
        <v>697</v>
      </c>
      <c r="F236" s="34" t="s">
        <v>1669</v>
      </c>
    </row>
    <row r="237" spans="1:7" ht="13.8" customHeight="1" x14ac:dyDescent="0.3">
      <c r="A237" s="32">
        <v>236</v>
      </c>
      <c r="B237" s="32" t="s">
        <v>69</v>
      </c>
      <c r="C237" s="32" t="str">
        <f>_xlfn.XLOOKUP(Table610111213[[#This Row],[Category No]],Table8[Category No],Table8[Chapter List],FALSE)</f>
        <v>Imperial Guptas &amp; Vakataks, Post Gupta Empire</v>
      </c>
      <c r="D237" s="34" t="s">
        <v>1670</v>
      </c>
      <c r="E237" s="34" t="s">
        <v>697</v>
      </c>
      <c r="F237" s="34" t="s">
        <v>879</v>
      </c>
    </row>
    <row r="238" spans="1:7" x14ac:dyDescent="0.3">
      <c r="A238" s="32">
        <v>237</v>
      </c>
      <c r="B238" s="32" t="s">
        <v>69</v>
      </c>
      <c r="C238" s="32" t="str">
        <f>_xlfn.XLOOKUP(Table610111213[[#This Row],[Category No]],Table8[Category No],Table8[Chapter List],FALSE)</f>
        <v>Imperial Guptas &amp; Vakataks, Post Gupta Empire</v>
      </c>
      <c r="D238" s="34" t="s">
        <v>1671</v>
      </c>
      <c r="E238" s="34" t="s">
        <v>697</v>
      </c>
      <c r="F238" s="34" t="s">
        <v>1672</v>
      </c>
      <c r="G238" s="48"/>
    </row>
    <row r="239" spans="1:7" x14ac:dyDescent="0.3">
      <c r="A239" s="32">
        <v>238</v>
      </c>
      <c r="B239" s="32" t="s">
        <v>69</v>
      </c>
      <c r="C239" s="32" t="str">
        <f>_xlfn.XLOOKUP(Table610111213[[#This Row],[Category No]],Table8[Category No],Table8[Chapter List],FALSE)</f>
        <v>Imperial Guptas &amp; Vakataks, Post Gupta Empire</v>
      </c>
      <c r="D239" s="34" t="s">
        <v>1673</v>
      </c>
      <c r="E239" s="34" t="s">
        <v>697</v>
      </c>
      <c r="F239" s="34" t="s">
        <v>1674</v>
      </c>
      <c r="G239" s="48"/>
    </row>
    <row r="240" spans="1:7" x14ac:dyDescent="0.3">
      <c r="A240" s="32">
        <v>239</v>
      </c>
      <c r="B240" s="32" t="s">
        <v>69</v>
      </c>
      <c r="C240" s="32" t="str">
        <f>_xlfn.XLOOKUP(Table610111213[[#This Row],[Category No]],Table8[Category No],Table8[Chapter List],FALSE)</f>
        <v>Imperial Guptas &amp; Vakataks, Post Gupta Empire</v>
      </c>
      <c r="D240" s="34" t="s">
        <v>1675</v>
      </c>
      <c r="E240" s="34" t="s">
        <v>697</v>
      </c>
      <c r="F240" s="34" t="s">
        <v>1676</v>
      </c>
    </row>
    <row r="241" spans="1:7" x14ac:dyDescent="0.3">
      <c r="A241" s="32">
        <v>240</v>
      </c>
      <c r="B241" s="32" t="s">
        <v>69</v>
      </c>
      <c r="C241" s="32" t="str">
        <f>_xlfn.XLOOKUP(Table610111213[[#This Row],[Category No]],Table8[Category No],Table8[Chapter List],FALSE)</f>
        <v>Imperial Guptas &amp; Vakataks, Post Gupta Empire</v>
      </c>
      <c r="D241" s="34" t="s">
        <v>1677</v>
      </c>
      <c r="E241" s="34" t="s">
        <v>697</v>
      </c>
      <c r="F241" s="34" t="s">
        <v>1678</v>
      </c>
    </row>
    <row r="242" spans="1:7" ht="13.8" customHeight="1" x14ac:dyDescent="0.3">
      <c r="A242" s="32">
        <v>241</v>
      </c>
      <c r="B242" s="32" t="s">
        <v>69</v>
      </c>
      <c r="C242" s="32" t="str">
        <f>_xlfn.XLOOKUP(Table610111213[[#This Row],[Category No]],Table8[Category No],Table8[Chapter List],FALSE)</f>
        <v>Imperial Guptas &amp; Vakataks, Post Gupta Empire</v>
      </c>
      <c r="D242" s="34" t="s">
        <v>1679</v>
      </c>
      <c r="E242" s="34" t="s">
        <v>697</v>
      </c>
      <c r="F242" s="34" t="s">
        <v>1680</v>
      </c>
    </row>
    <row r="243" spans="1:7" x14ac:dyDescent="0.3">
      <c r="A243" s="32">
        <v>242</v>
      </c>
      <c r="B243" s="32" t="s">
        <v>69</v>
      </c>
      <c r="C243" s="32" t="str">
        <f>_xlfn.XLOOKUP(Table610111213[[#This Row],[Category No]],Table8[Category No],Table8[Chapter List],FALSE)</f>
        <v>Imperial Guptas &amp; Vakataks, Post Gupta Empire</v>
      </c>
      <c r="D243" s="34" t="s">
        <v>1639</v>
      </c>
      <c r="E243" s="34" t="s">
        <v>695</v>
      </c>
      <c r="F243" s="34" t="s">
        <v>1640</v>
      </c>
      <c r="G243" s="48"/>
    </row>
    <row r="244" spans="1:7" x14ac:dyDescent="0.3">
      <c r="A244" s="32">
        <v>243</v>
      </c>
      <c r="B244" s="32" t="s">
        <v>69</v>
      </c>
      <c r="C244" s="32" t="str">
        <f>_xlfn.XLOOKUP(Table610111213[[#This Row],[Category No]],Table8[Category No],Table8[Chapter List],FALSE)</f>
        <v>Imperial Guptas &amp; Vakataks, Post Gupta Empire</v>
      </c>
      <c r="D244" s="34" t="s">
        <v>1632</v>
      </c>
      <c r="E244" s="34" t="s">
        <v>695</v>
      </c>
      <c r="F244" s="34" t="s">
        <v>1633</v>
      </c>
      <c r="G244" s="63" t="s">
        <v>1638</v>
      </c>
    </row>
    <row r="245" spans="1:7" x14ac:dyDescent="0.3">
      <c r="A245" s="32">
        <v>244</v>
      </c>
      <c r="B245" s="32" t="s">
        <v>69</v>
      </c>
      <c r="C245" s="32" t="str">
        <f>_xlfn.XLOOKUP(Table610111213[[#This Row],[Category No]],Table8[Category No],Table8[Chapter List],FALSE)</f>
        <v>Imperial Guptas &amp; Vakataks, Post Gupta Empire</v>
      </c>
      <c r="D245" s="34" t="s">
        <v>1634</v>
      </c>
      <c r="E245" s="34" t="s">
        <v>695</v>
      </c>
      <c r="F245" s="34" t="s">
        <v>1635</v>
      </c>
      <c r="G245" s="63"/>
    </row>
    <row r="246" spans="1:7" x14ac:dyDescent="0.3">
      <c r="A246" s="32">
        <v>245</v>
      </c>
      <c r="B246" s="32" t="s">
        <v>69</v>
      </c>
      <c r="C246" s="32" t="str">
        <f>_xlfn.XLOOKUP(Table610111213[[#This Row],[Category No]],Table8[Category No],Table8[Chapter List],FALSE)</f>
        <v>Imperial Guptas &amp; Vakataks, Post Gupta Empire</v>
      </c>
      <c r="D246" s="34" t="s">
        <v>1636</v>
      </c>
      <c r="E246" s="34" t="s">
        <v>695</v>
      </c>
      <c r="F246" s="34" t="s">
        <v>1637</v>
      </c>
      <c r="G246" s="63"/>
    </row>
    <row r="247" spans="1:7" x14ac:dyDescent="0.3">
      <c r="A247" s="32">
        <v>246</v>
      </c>
      <c r="B247" s="32" t="s">
        <v>69</v>
      </c>
      <c r="C247" s="32" t="str">
        <f>_xlfn.XLOOKUP(Table610111213[[#This Row],[Category No]],Table8[Category No],Table8[Chapter List],FALSE)</f>
        <v>Imperial Guptas &amp; Vakataks, Post Gupta Empire</v>
      </c>
      <c r="D247" s="34" t="s">
        <v>1627</v>
      </c>
      <c r="E247" s="34" t="s">
        <v>695</v>
      </c>
      <c r="F247" s="34" t="s">
        <v>1641</v>
      </c>
      <c r="G247" s="48"/>
    </row>
    <row r="248" spans="1:7" x14ac:dyDescent="0.3">
      <c r="A248" s="32">
        <v>247</v>
      </c>
      <c r="B248" s="32" t="s">
        <v>69</v>
      </c>
      <c r="C248" s="32" t="str">
        <f>_xlfn.XLOOKUP(Table610111213[[#This Row],[Category No]],Table8[Category No],Table8[Chapter List],FALSE)</f>
        <v>Imperial Guptas &amp; Vakataks, Post Gupta Empire</v>
      </c>
      <c r="D248" s="34" t="s">
        <v>1681</v>
      </c>
      <c r="E248" s="34" t="s">
        <v>697</v>
      </c>
      <c r="F248" s="34" t="s">
        <v>1682</v>
      </c>
      <c r="G248" s="48"/>
    </row>
    <row r="249" spans="1:7" x14ac:dyDescent="0.3">
      <c r="A249" s="32">
        <v>248</v>
      </c>
      <c r="B249" s="32" t="s">
        <v>69</v>
      </c>
      <c r="C249" s="32" t="str">
        <f>_xlfn.XLOOKUP(Table610111213[[#This Row],[Category No]],Table8[Category No],Table8[Chapter List],FALSE)</f>
        <v>Imperial Guptas &amp; Vakataks, Post Gupta Empire</v>
      </c>
      <c r="D249" s="34" t="s">
        <v>1683</v>
      </c>
      <c r="E249" s="34" t="s">
        <v>697</v>
      </c>
      <c r="F249" s="34" t="s">
        <v>1684</v>
      </c>
      <c r="G249" s="48"/>
    </row>
    <row r="250" spans="1:7" x14ac:dyDescent="0.3">
      <c r="A250" s="32">
        <v>249</v>
      </c>
      <c r="B250" s="32" t="s">
        <v>69</v>
      </c>
      <c r="C250" s="32" t="str">
        <f>_xlfn.XLOOKUP(Table610111213[[#This Row],[Category No]],Table8[Category No],Table8[Chapter List],FALSE)</f>
        <v>Imperial Guptas &amp; Vakataks, Post Gupta Empire</v>
      </c>
      <c r="D250" s="34" t="s">
        <v>1685</v>
      </c>
      <c r="E250" s="34" t="s">
        <v>695</v>
      </c>
      <c r="F250" s="34" t="s">
        <v>1686</v>
      </c>
      <c r="G250" s="48"/>
    </row>
    <row r="251" spans="1:7" x14ac:dyDescent="0.3">
      <c r="A251" s="32">
        <v>250</v>
      </c>
      <c r="B251" s="32" t="s">
        <v>69</v>
      </c>
      <c r="C251" s="32" t="str">
        <f>_xlfn.XLOOKUP(Table610111213[[#This Row],[Category No]],Table8[Category No],Table8[Chapter List],FALSE)</f>
        <v>Imperial Guptas &amp; Vakataks, Post Gupta Empire</v>
      </c>
      <c r="D251" s="34" t="s">
        <v>1642</v>
      </c>
      <c r="E251" s="34" t="s">
        <v>695</v>
      </c>
      <c r="F251" s="34" t="s">
        <v>1643</v>
      </c>
    </row>
    <row r="252" spans="1:7" x14ac:dyDescent="0.3">
      <c r="A252" s="32">
        <v>251</v>
      </c>
      <c r="B252" s="32" t="s">
        <v>69</v>
      </c>
      <c r="C252" s="32" t="str">
        <f>_xlfn.XLOOKUP(Table610111213[[#This Row],[Category No]],Table8[Category No],Table8[Chapter List],FALSE)</f>
        <v>Imperial Guptas &amp; Vakataks, Post Gupta Empire</v>
      </c>
      <c r="D252" s="34" t="s">
        <v>1644</v>
      </c>
      <c r="E252" s="34" t="s">
        <v>695</v>
      </c>
      <c r="F252" s="34" t="s">
        <v>1645</v>
      </c>
      <c r="G252" s="63" t="s">
        <v>1662</v>
      </c>
    </row>
    <row r="253" spans="1:7" x14ac:dyDescent="0.3">
      <c r="A253" s="32">
        <v>252</v>
      </c>
      <c r="B253" s="32" t="s">
        <v>69</v>
      </c>
      <c r="C253" s="32" t="str">
        <f>_xlfn.XLOOKUP(Table610111213[[#This Row],[Category No]],Table8[Category No],Table8[Chapter List],FALSE)</f>
        <v>Imperial Guptas &amp; Vakataks, Post Gupta Empire</v>
      </c>
      <c r="D253" s="34" t="s">
        <v>1646</v>
      </c>
      <c r="E253" s="34" t="s">
        <v>695</v>
      </c>
      <c r="F253" s="34" t="s">
        <v>1647</v>
      </c>
      <c r="G253" s="63"/>
    </row>
    <row r="254" spans="1:7" x14ac:dyDescent="0.3">
      <c r="A254" s="32">
        <v>253</v>
      </c>
      <c r="B254" s="32" t="s">
        <v>69</v>
      </c>
      <c r="C254" s="32" t="str">
        <f>_xlfn.XLOOKUP(Table610111213[[#This Row],[Category No]],Table8[Category No],Table8[Chapter List],FALSE)</f>
        <v>Imperial Guptas &amp; Vakataks, Post Gupta Empire</v>
      </c>
      <c r="D254" s="34" t="s">
        <v>1648</v>
      </c>
      <c r="E254" s="34" t="s">
        <v>695</v>
      </c>
      <c r="F254" s="34" t="s">
        <v>1649</v>
      </c>
      <c r="G254" s="63"/>
    </row>
    <row r="255" spans="1:7" x14ac:dyDescent="0.3">
      <c r="A255" s="32">
        <v>254</v>
      </c>
      <c r="B255" s="32" t="s">
        <v>69</v>
      </c>
      <c r="C255" s="32" t="str">
        <f>_xlfn.XLOOKUP(Table610111213[[#This Row],[Category No]],Table8[Category No],Table8[Chapter List],FALSE)</f>
        <v>Imperial Guptas &amp; Vakataks, Post Gupta Empire</v>
      </c>
      <c r="D255" s="34" t="s">
        <v>1650</v>
      </c>
      <c r="E255" s="34" t="s">
        <v>695</v>
      </c>
      <c r="F255" s="34" t="s">
        <v>1651</v>
      </c>
      <c r="G255" s="63"/>
    </row>
    <row r="256" spans="1:7" x14ac:dyDescent="0.3">
      <c r="A256" s="32">
        <v>255</v>
      </c>
      <c r="B256" s="32" t="s">
        <v>69</v>
      </c>
      <c r="C256" s="32" t="str">
        <f>_xlfn.XLOOKUP(Table610111213[[#This Row],[Category No]],Table8[Category No],Table8[Chapter List],FALSE)</f>
        <v>Imperial Guptas &amp; Vakataks, Post Gupta Empire</v>
      </c>
      <c r="D256" s="34" t="s">
        <v>1652</v>
      </c>
      <c r="E256" s="34" t="s">
        <v>695</v>
      </c>
      <c r="F256" s="34" t="s">
        <v>1653</v>
      </c>
      <c r="G256" s="63"/>
    </row>
    <row r="257" spans="1:7" x14ac:dyDescent="0.3">
      <c r="A257" s="32">
        <v>256</v>
      </c>
      <c r="B257" s="32" t="s">
        <v>69</v>
      </c>
      <c r="C257" s="32" t="str">
        <f>_xlfn.XLOOKUP(Table610111213[[#This Row],[Category No]],Table8[Category No],Table8[Chapter List],FALSE)</f>
        <v>Imperial Guptas &amp; Vakataks, Post Gupta Empire</v>
      </c>
      <c r="D257" s="34" t="s">
        <v>1654</v>
      </c>
      <c r="E257" s="34" t="s">
        <v>695</v>
      </c>
      <c r="F257" s="34" t="s">
        <v>1655</v>
      </c>
      <c r="G257" s="63"/>
    </row>
    <row r="258" spans="1:7" x14ac:dyDescent="0.3">
      <c r="A258" s="32">
        <v>257</v>
      </c>
      <c r="B258" s="32" t="s">
        <v>69</v>
      </c>
      <c r="C258" s="32" t="str">
        <f>_xlfn.XLOOKUP(Table610111213[[#This Row],[Category No]],Table8[Category No],Table8[Chapter List],FALSE)</f>
        <v>Imperial Guptas &amp; Vakataks, Post Gupta Empire</v>
      </c>
      <c r="D258" s="34" t="s">
        <v>1656</v>
      </c>
      <c r="E258" s="34" t="s">
        <v>695</v>
      </c>
      <c r="F258" s="34" t="s">
        <v>1657</v>
      </c>
      <c r="G258" s="63"/>
    </row>
    <row r="259" spans="1:7" x14ac:dyDescent="0.3">
      <c r="A259" s="32">
        <v>258</v>
      </c>
      <c r="B259" s="32" t="s">
        <v>69</v>
      </c>
      <c r="C259" s="32" t="str">
        <f>_xlfn.XLOOKUP(Table610111213[[#This Row],[Category No]],Table8[Category No],Table8[Chapter List],FALSE)</f>
        <v>Imperial Guptas &amp; Vakataks, Post Gupta Empire</v>
      </c>
      <c r="D259" s="34" t="s">
        <v>1658</v>
      </c>
      <c r="E259" s="34" t="s">
        <v>695</v>
      </c>
      <c r="F259" s="34" t="s">
        <v>1659</v>
      </c>
      <c r="G259" s="63"/>
    </row>
    <row r="260" spans="1:7" x14ac:dyDescent="0.3">
      <c r="A260" s="32">
        <v>259</v>
      </c>
      <c r="B260" s="32" t="s">
        <v>69</v>
      </c>
      <c r="C260" s="32" t="str">
        <f>_xlfn.XLOOKUP(Table610111213[[#This Row],[Category No]],Table8[Category No],Table8[Chapter List],FALSE)</f>
        <v>Imperial Guptas &amp; Vakataks, Post Gupta Empire</v>
      </c>
      <c r="D260" s="34" t="s">
        <v>1660</v>
      </c>
      <c r="E260" s="34" t="s">
        <v>695</v>
      </c>
      <c r="F260" s="34" t="s">
        <v>1661</v>
      </c>
      <c r="G260" s="63"/>
    </row>
    <row r="261" spans="1:7" x14ac:dyDescent="0.3">
      <c r="A261" s="32">
        <v>260</v>
      </c>
      <c r="B261" s="32" t="s">
        <v>69</v>
      </c>
      <c r="C261" s="32" t="str">
        <f>_xlfn.XLOOKUP(Table610111213[[#This Row],[Category No]],Table8[Category No],Table8[Chapter List],FALSE)</f>
        <v>Imperial Guptas &amp; Vakataks, Post Gupta Empire</v>
      </c>
      <c r="D261" s="34" t="s">
        <v>1663</v>
      </c>
      <c r="E261" s="34" t="s">
        <v>695</v>
      </c>
      <c r="F261" s="34" t="s">
        <v>1664</v>
      </c>
    </row>
    <row r="262" spans="1:7" x14ac:dyDescent="0.3">
      <c r="A262" s="32">
        <v>261</v>
      </c>
      <c r="B262" s="32" t="s">
        <v>69</v>
      </c>
      <c r="C262" s="32" t="str">
        <f>_xlfn.XLOOKUP(Table610111213[[#This Row],[Category No]],Table8[Category No],Table8[Chapter List],FALSE)</f>
        <v>Imperial Guptas &amp; Vakataks, Post Gupta Empire</v>
      </c>
      <c r="D262" s="34" t="s">
        <v>1628</v>
      </c>
      <c r="E262" s="34" t="s">
        <v>695</v>
      </c>
      <c r="F262" s="34" t="s">
        <v>1665</v>
      </c>
    </row>
    <row r="263" spans="1:7" x14ac:dyDescent="0.3">
      <c r="A263" s="32">
        <v>262</v>
      </c>
      <c r="B263" s="32" t="s">
        <v>69</v>
      </c>
      <c r="C263" s="32" t="str">
        <f>_xlfn.XLOOKUP(Table610111213[[#This Row],[Category No]],Table8[Category No],Table8[Chapter List],FALSE)</f>
        <v>Imperial Guptas &amp; Vakataks, Post Gupta Empire</v>
      </c>
      <c r="D263" s="34" t="s">
        <v>1841</v>
      </c>
      <c r="E263" s="34" t="s">
        <v>697</v>
      </c>
      <c r="F263" s="34" t="s">
        <v>1687</v>
      </c>
    </row>
    <row r="264" spans="1:7" x14ac:dyDescent="0.3">
      <c r="A264" s="32">
        <v>263</v>
      </c>
      <c r="B264" s="32" t="s">
        <v>69</v>
      </c>
      <c r="C264" s="32" t="str">
        <f>_xlfn.XLOOKUP(Table610111213[[#This Row],[Category No]],Table8[Category No],Table8[Chapter List],FALSE)</f>
        <v>Imperial Guptas &amp; Vakataks, Post Gupta Empire</v>
      </c>
      <c r="D264" s="34" t="s">
        <v>1666</v>
      </c>
      <c r="E264" s="34" t="s">
        <v>695</v>
      </c>
      <c r="F264" s="34" t="s">
        <v>1667</v>
      </c>
    </row>
    <row r="265" spans="1:7" x14ac:dyDescent="0.3">
      <c r="A265" s="32">
        <v>264</v>
      </c>
      <c r="B265" s="32" t="s">
        <v>69</v>
      </c>
      <c r="C265" s="32" t="str">
        <f>_xlfn.XLOOKUP(Table610111213[[#This Row],[Category No]],Table8[Category No],Table8[Chapter List],FALSE)</f>
        <v>Imperial Guptas &amp; Vakataks, Post Gupta Empire</v>
      </c>
      <c r="D265" s="34" t="s">
        <v>1688</v>
      </c>
      <c r="E265" s="34" t="s">
        <v>697</v>
      </c>
      <c r="F265" s="34" t="s">
        <v>1689</v>
      </c>
    </row>
    <row r="266" spans="1:7" x14ac:dyDescent="0.3">
      <c r="A266" s="32">
        <v>265</v>
      </c>
      <c r="B266" s="32" t="s">
        <v>69</v>
      </c>
      <c r="C266" s="32" t="str">
        <f>_xlfn.XLOOKUP(Table610111213[[#This Row],[Category No]],Table8[Category No],Table8[Chapter List],FALSE)</f>
        <v>Imperial Guptas &amp; Vakataks, Post Gupta Empire</v>
      </c>
      <c r="D266" s="34" t="s">
        <v>1927</v>
      </c>
      <c r="E266" s="34" t="s">
        <v>695</v>
      </c>
      <c r="F266" s="34" t="s">
        <v>1928</v>
      </c>
    </row>
    <row r="267" spans="1:7" x14ac:dyDescent="0.3">
      <c r="A267" s="32">
        <v>266</v>
      </c>
      <c r="B267" s="32" t="s">
        <v>69</v>
      </c>
      <c r="C267" s="32" t="str">
        <f>_xlfn.XLOOKUP(Table610111213[[#This Row],[Category No]],Table8[Category No],Table8[Chapter List],FALSE)</f>
        <v>Imperial Guptas &amp; Vakataks, Post Gupta Empire</v>
      </c>
      <c r="D267" s="34" t="s">
        <v>1909</v>
      </c>
      <c r="E267" s="34" t="s">
        <v>697</v>
      </c>
      <c r="F267" s="34" t="s">
        <v>1970</v>
      </c>
    </row>
    <row r="268" spans="1:7" x14ac:dyDescent="0.3">
      <c r="A268" s="32">
        <v>267</v>
      </c>
      <c r="B268" s="32" t="s">
        <v>69</v>
      </c>
      <c r="C268" s="32" t="str">
        <f>_xlfn.XLOOKUP(Table610111213[[#This Row],[Category No]],Table8[Category No],Table8[Chapter List],FALSE)</f>
        <v>Imperial Guptas &amp; Vakataks, Post Gupta Empire</v>
      </c>
      <c r="D268" s="34" t="s">
        <v>1968</v>
      </c>
      <c r="E268" s="34" t="s">
        <v>697</v>
      </c>
      <c r="F268" s="34" t="s">
        <v>1971</v>
      </c>
    </row>
    <row r="269" spans="1:7" x14ac:dyDescent="0.3">
      <c r="A269" s="32">
        <v>268</v>
      </c>
      <c r="B269" s="32" t="s">
        <v>69</v>
      </c>
      <c r="C269" s="32" t="str">
        <f>_xlfn.XLOOKUP(Table610111213[[#This Row],[Category No]],Table8[Category No],Table8[Chapter List],FALSE)</f>
        <v>Imperial Guptas &amp; Vakataks, Post Gupta Empire</v>
      </c>
      <c r="D269" s="34" t="s">
        <v>1969</v>
      </c>
      <c r="E269" s="34" t="s">
        <v>697</v>
      </c>
      <c r="F269" s="34" t="s">
        <v>1972</v>
      </c>
    </row>
    <row r="270" spans="1:7" x14ac:dyDescent="0.3">
      <c r="A270" s="32">
        <v>269</v>
      </c>
      <c r="B270" s="32" t="s">
        <v>69</v>
      </c>
      <c r="C270" s="32" t="str">
        <f>_xlfn.XLOOKUP(Table610111213[[#This Row],[Category No]],Table8[Category No],Table8[Chapter List],FALSE)</f>
        <v>Imperial Guptas &amp; Vakataks, Post Gupta Empire</v>
      </c>
      <c r="D270" s="34" t="s">
        <v>1690</v>
      </c>
      <c r="E270" s="34" t="s">
        <v>697</v>
      </c>
      <c r="F270" s="34" t="s">
        <v>1691</v>
      </c>
    </row>
    <row r="271" spans="1:7" x14ac:dyDescent="0.3">
      <c r="A271" s="32">
        <v>270</v>
      </c>
      <c r="B271" s="32" t="s">
        <v>69</v>
      </c>
      <c r="C271" s="32" t="str">
        <f>_xlfn.XLOOKUP(Table610111213[[#This Row],[Category No]],Table8[Category No],Table8[Chapter List],FALSE)</f>
        <v>Imperial Guptas &amp; Vakataks, Post Gupta Empire</v>
      </c>
      <c r="D271" s="34" t="s">
        <v>1692</v>
      </c>
      <c r="E271" s="34" t="s">
        <v>697</v>
      </c>
      <c r="F271" s="34" t="s">
        <v>1693</v>
      </c>
    </row>
    <row r="272" spans="1:7" x14ac:dyDescent="0.3">
      <c r="A272" s="32">
        <v>271</v>
      </c>
      <c r="B272" s="32" t="s">
        <v>69</v>
      </c>
      <c r="C272" s="32" t="str">
        <f>_xlfn.XLOOKUP(Table610111213[[#This Row],[Category No]],Table8[Category No],Table8[Chapter List],FALSE)</f>
        <v>Imperial Guptas &amp; Vakataks, Post Gupta Empire</v>
      </c>
      <c r="D272" s="34" t="s">
        <v>1694</v>
      </c>
      <c r="E272" s="34" t="s">
        <v>697</v>
      </c>
      <c r="F272" s="34" t="s">
        <v>1695</v>
      </c>
    </row>
    <row r="273" spans="1:6" x14ac:dyDescent="0.3">
      <c r="A273" s="32">
        <v>272</v>
      </c>
      <c r="B273" s="32" t="s">
        <v>69</v>
      </c>
      <c r="C273" s="32" t="str">
        <f>_xlfn.XLOOKUP(Table610111213[[#This Row],[Category No]],Table8[Category No],Table8[Chapter List],FALSE)</f>
        <v>Imperial Guptas &amp; Vakataks, Post Gupta Empire</v>
      </c>
      <c r="D273" s="34" t="s">
        <v>1696</v>
      </c>
      <c r="E273" s="34" t="s">
        <v>697</v>
      </c>
      <c r="F273" s="34" t="s">
        <v>1697</v>
      </c>
    </row>
    <row r="274" spans="1:6" x14ac:dyDescent="0.3">
      <c r="A274" s="32">
        <v>273</v>
      </c>
      <c r="B274" s="32" t="s">
        <v>69</v>
      </c>
      <c r="C274" s="32" t="str">
        <f>_xlfn.XLOOKUP(Table610111213[[#This Row],[Category No]],Table8[Category No],Table8[Chapter List],FALSE)</f>
        <v>Imperial Guptas &amp; Vakataks, Post Gupta Empire</v>
      </c>
      <c r="D274" s="34" t="s">
        <v>1698</v>
      </c>
      <c r="E274" s="34" t="s">
        <v>697</v>
      </c>
      <c r="F274" s="34" t="s">
        <v>1699</v>
      </c>
    </row>
    <row r="275" spans="1:6" x14ac:dyDescent="0.3">
      <c r="A275" s="32">
        <v>274</v>
      </c>
      <c r="B275" s="32" t="s">
        <v>69</v>
      </c>
      <c r="C275" s="32" t="str">
        <f>_xlfn.XLOOKUP(Table610111213[[#This Row],[Category No]],Table8[Category No],Table8[Chapter List],FALSE)</f>
        <v>Imperial Guptas &amp; Vakataks, Post Gupta Empire</v>
      </c>
      <c r="D275" s="34" t="s">
        <v>1700</v>
      </c>
      <c r="E275" s="34" t="s">
        <v>697</v>
      </c>
      <c r="F275" s="34" t="s">
        <v>1701</v>
      </c>
    </row>
    <row r="276" spans="1:6" x14ac:dyDescent="0.3">
      <c r="A276" s="32">
        <v>275</v>
      </c>
      <c r="B276" s="32" t="s">
        <v>69</v>
      </c>
      <c r="C276" s="32" t="str">
        <f>_xlfn.XLOOKUP(Table610111213[[#This Row],[Category No]],Table8[Category No],Table8[Chapter List],FALSE)</f>
        <v>Imperial Guptas &amp; Vakataks, Post Gupta Empire</v>
      </c>
      <c r="D276" s="34" t="s">
        <v>1702</v>
      </c>
      <c r="E276" s="34" t="s">
        <v>697</v>
      </c>
      <c r="F276" s="34" t="s">
        <v>1703</v>
      </c>
    </row>
    <row r="277" spans="1:6" x14ac:dyDescent="0.3">
      <c r="A277" s="32">
        <v>276</v>
      </c>
      <c r="B277" s="32" t="s">
        <v>69</v>
      </c>
      <c r="C277" s="32" t="str">
        <f>_xlfn.XLOOKUP(Table610111213[[#This Row],[Category No]],Table8[Category No],Table8[Chapter List],FALSE)</f>
        <v>Imperial Guptas &amp; Vakataks, Post Gupta Empire</v>
      </c>
      <c r="D277" s="34" t="s">
        <v>1704</v>
      </c>
      <c r="E277" s="34" t="s">
        <v>697</v>
      </c>
      <c r="F277" s="34" t="s">
        <v>1705</v>
      </c>
    </row>
    <row r="278" spans="1:6" x14ac:dyDescent="0.3">
      <c r="A278" s="32">
        <v>277</v>
      </c>
      <c r="B278" s="32" t="s">
        <v>69</v>
      </c>
      <c r="C278" s="32" t="str">
        <f>_xlfn.XLOOKUP(Table610111213[[#This Row],[Category No]],Table8[Category No],Table8[Chapter List],FALSE)</f>
        <v>Imperial Guptas &amp; Vakataks, Post Gupta Empire</v>
      </c>
      <c r="D278" s="34" t="s">
        <v>1706</v>
      </c>
      <c r="E278" s="34" t="s">
        <v>697</v>
      </c>
      <c r="F278" s="34" t="s">
        <v>1707</v>
      </c>
    </row>
    <row r="279" spans="1:6" x14ac:dyDescent="0.3">
      <c r="A279" s="32">
        <v>278</v>
      </c>
      <c r="B279" s="32" t="s">
        <v>69</v>
      </c>
      <c r="C279" s="32" t="str">
        <f>_xlfn.XLOOKUP(Table610111213[[#This Row],[Category No]],Table8[Category No],Table8[Chapter List],FALSE)</f>
        <v>Imperial Guptas &amp; Vakataks, Post Gupta Empire</v>
      </c>
      <c r="D279" s="34" t="s">
        <v>1708</v>
      </c>
      <c r="E279" s="34" t="s">
        <v>697</v>
      </c>
      <c r="F279" s="34" t="s">
        <v>1709</v>
      </c>
    </row>
    <row r="280" spans="1:6" x14ac:dyDescent="0.3">
      <c r="A280" s="32">
        <v>279</v>
      </c>
      <c r="B280" s="32" t="s">
        <v>69</v>
      </c>
      <c r="C280" s="32" t="str">
        <f>_xlfn.XLOOKUP(Table610111213[[#This Row],[Category No]],Table8[Category No],Table8[Chapter List],FALSE)</f>
        <v>Imperial Guptas &amp; Vakataks, Post Gupta Empire</v>
      </c>
      <c r="D280" s="34" t="s">
        <v>1710</v>
      </c>
      <c r="E280" s="34" t="s">
        <v>697</v>
      </c>
      <c r="F280" s="34" t="s">
        <v>1711</v>
      </c>
    </row>
    <row r="281" spans="1:6" x14ac:dyDescent="0.3">
      <c r="A281" s="32">
        <v>280</v>
      </c>
      <c r="B281" s="32" t="s">
        <v>69</v>
      </c>
      <c r="C281" s="32" t="str">
        <f>_xlfn.XLOOKUP(Table610111213[[#This Row],[Category No]],Table8[Category No],Table8[Chapter List],FALSE)</f>
        <v>Imperial Guptas &amp; Vakataks, Post Gupta Empire</v>
      </c>
      <c r="D281" s="34" t="s">
        <v>1712</v>
      </c>
      <c r="E281" s="34" t="s">
        <v>697</v>
      </c>
      <c r="F281" s="34" t="s">
        <v>1713</v>
      </c>
    </row>
    <row r="282" spans="1:6" x14ac:dyDescent="0.3">
      <c r="A282" s="32">
        <v>281</v>
      </c>
      <c r="B282" s="32" t="s">
        <v>69</v>
      </c>
      <c r="C282" s="32" t="str">
        <f>_xlfn.XLOOKUP(Table610111213[[#This Row],[Category No]],Table8[Category No],Table8[Chapter List],FALSE)</f>
        <v>Imperial Guptas &amp; Vakataks, Post Gupta Empire</v>
      </c>
      <c r="D282" s="34" t="s">
        <v>1714</v>
      </c>
      <c r="E282" s="34" t="s">
        <v>697</v>
      </c>
      <c r="F282" s="34" t="s">
        <v>1715</v>
      </c>
    </row>
    <row r="283" spans="1:6" x14ac:dyDescent="0.3">
      <c r="A283" s="32">
        <v>282</v>
      </c>
      <c r="B283" s="32" t="s">
        <v>69</v>
      </c>
      <c r="C283" s="32" t="str">
        <f>_xlfn.XLOOKUP(Table610111213[[#This Row],[Category No]],Table8[Category No],Table8[Chapter List],FALSE)</f>
        <v>Imperial Guptas &amp; Vakataks, Post Gupta Empire</v>
      </c>
      <c r="D283" s="34" t="s">
        <v>1842</v>
      </c>
      <c r="E283" s="34" t="s">
        <v>697</v>
      </c>
      <c r="F283" s="34" t="s">
        <v>1716</v>
      </c>
    </row>
    <row r="284" spans="1:6" x14ac:dyDescent="0.3">
      <c r="A284" s="32">
        <v>283</v>
      </c>
      <c r="B284" s="32" t="s">
        <v>69</v>
      </c>
      <c r="C284" s="32" t="str">
        <f>_xlfn.XLOOKUP(Table610111213[[#This Row],[Category No]],Table8[Category No],Table8[Chapter List],FALSE)</f>
        <v>Imperial Guptas &amp; Vakataks, Post Gupta Empire</v>
      </c>
      <c r="D284" s="34" t="s">
        <v>1717</v>
      </c>
      <c r="E284" s="34" t="s">
        <v>697</v>
      </c>
      <c r="F284" s="34" t="s">
        <v>1718</v>
      </c>
    </row>
    <row r="285" spans="1:6" x14ac:dyDescent="0.3">
      <c r="A285" s="32">
        <v>284</v>
      </c>
      <c r="B285" s="32" t="s">
        <v>69</v>
      </c>
      <c r="C285" s="32" t="str">
        <f>_xlfn.XLOOKUP(Table610111213[[#This Row],[Category No]],Table8[Category No],Table8[Chapter List],FALSE)</f>
        <v>Imperial Guptas &amp; Vakataks, Post Gupta Empire</v>
      </c>
      <c r="D285" s="34" t="s">
        <v>1719</v>
      </c>
      <c r="E285" s="34" t="s">
        <v>697</v>
      </c>
      <c r="F285" s="34" t="s">
        <v>1720</v>
      </c>
    </row>
    <row r="286" spans="1:6" x14ac:dyDescent="0.3">
      <c r="A286" s="32">
        <v>285</v>
      </c>
      <c r="B286" s="32" t="s">
        <v>69</v>
      </c>
      <c r="C286" s="32" t="str">
        <f>_xlfn.XLOOKUP(Table610111213[[#This Row],[Category No]],Table8[Category No],Table8[Chapter List],FALSE)</f>
        <v>Imperial Guptas &amp; Vakataks, Post Gupta Empire</v>
      </c>
      <c r="D286" s="34" t="s">
        <v>1721</v>
      </c>
      <c r="E286" s="34" t="s">
        <v>697</v>
      </c>
      <c r="F286" s="34" t="s">
        <v>1722</v>
      </c>
    </row>
    <row r="287" spans="1:6" x14ac:dyDescent="0.3">
      <c r="A287" s="32">
        <v>286</v>
      </c>
      <c r="B287" s="32" t="s">
        <v>69</v>
      </c>
      <c r="C287" s="32" t="str">
        <f>_xlfn.XLOOKUP(Table610111213[[#This Row],[Category No]],Table8[Category No],Table8[Chapter List],FALSE)</f>
        <v>Imperial Guptas &amp; Vakataks, Post Gupta Empire</v>
      </c>
      <c r="D287" s="34" t="s">
        <v>1723</v>
      </c>
      <c r="E287" s="34" t="s">
        <v>697</v>
      </c>
      <c r="F287" s="34" t="s">
        <v>1724</v>
      </c>
    </row>
    <row r="288" spans="1:6" x14ac:dyDescent="0.3">
      <c r="A288" s="32">
        <v>287</v>
      </c>
      <c r="B288" s="32" t="s">
        <v>69</v>
      </c>
      <c r="C288" s="32" t="str">
        <f>_xlfn.XLOOKUP(Table610111213[[#This Row],[Category No]],Table8[Category No],Table8[Chapter List],FALSE)</f>
        <v>Imperial Guptas &amp; Vakataks, Post Gupta Empire</v>
      </c>
      <c r="D288" s="34" t="s">
        <v>1725</v>
      </c>
      <c r="E288" s="34" t="s">
        <v>697</v>
      </c>
      <c r="F288" s="34" t="s">
        <v>1726</v>
      </c>
    </row>
    <row r="289" spans="1:7" x14ac:dyDescent="0.3">
      <c r="A289" s="32">
        <v>288</v>
      </c>
      <c r="B289" s="32" t="s">
        <v>69</v>
      </c>
      <c r="C289" s="32" t="str">
        <f>_xlfn.XLOOKUP(Table610111213[[#This Row],[Category No]],Table8[Category No],Table8[Chapter List],FALSE)</f>
        <v>Imperial Guptas &amp; Vakataks, Post Gupta Empire</v>
      </c>
      <c r="D289" s="34" t="s">
        <v>1727</v>
      </c>
      <c r="E289" s="34" t="s">
        <v>697</v>
      </c>
      <c r="F289" s="34" t="s">
        <v>1728</v>
      </c>
    </row>
    <row r="290" spans="1:7" x14ac:dyDescent="0.3">
      <c r="A290" s="32">
        <v>289</v>
      </c>
      <c r="B290" s="32" t="s">
        <v>69</v>
      </c>
      <c r="C290" s="32" t="str">
        <f>_xlfn.XLOOKUP(Table610111213[[#This Row],[Category No]],Table8[Category No],Table8[Chapter List],FALSE)</f>
        <v>Imperial Guptas &amp; Vakataks, Post Gupta Empire</v>
      </c>
      <c r="D290" s="34" t="s">
        <v>1729</v>
      </c>
      <c r="E290" s="34" t="s">
        <v>697</v>
      </c>
      <c r="F290" s="34" t="s">
        <v>1730</v>
      </c>
    </row>
    <row r="291" spans="1:7" x14ac:dyDescent="0.3">
      <c r="A291" s="32">
        <v>290</v>
      </c>
      <c r="B291" s="32" t="s">
        <v>69</v>
      </c>
      <c r="C291" s="32" t="str">
        <f>_xlfn.XLOOKUP(Table610111213[[#This Row],[Category No]],Table8[Category No],Table8[Chapter List],FALSE)</f>
        <v>Imperial Guptas &amp; Vakataks, Post Gupta Empire</v>
      </c>
      <c r="D291" s="34" t="s">
        <v>1731</v>
      </c>
      <c r="E291" s="34" t="s">
        <v>697</v>
      </c>
      <c r="F291" s="34" t="s">
        <v>1732</v>
      </c>
    </row>
    <row r="292" spans="1:7" x14ac:dyDescent="0.3">
      <c r="A292" s="32">
        <v>291</v>
      </c>
      <c r="B292" s="32" t="s">
        <v>69</v>
      </c>
      <c r="C292" s="32" t="str">
        <f>_xlfn.XLOOKUP(Table610111213[[#This Row],[Category No]],Table8[Category No],Table8[Chapter List],FALSE)</f>
        <v>Imperial Guptas &amp; Vakataks, Post Gupta Empire</v>
      </c>
      <c r="D292" s="34" t="s">
        <v>1803</v>
      </c>
      <c r="E292" s="34" t="s">
        <v>695</v>
      </c>
      <c r="F292" s="34" t="s">
        <v>1804</v>
      </c>
    </row>
    <row r="293" spans="1:7" x14ac:dyDescent="0.3">
      <c r="A293" s="32">
        <v>292</v>
      </c>
      <c r="B293" s="32" t="s">
        <v>69</v>
      </c>
      <c r="C293" s="32" t="str">
        <f>_xlfn.XLOOKUP(Table610111213[[#This Row],[Category No]],Table8[Category No],Table8[Chapter List],FALSE)</f>
        <v>Imperial Guptas &amp; Vakataks, Post Gupta Empire</v>
      </c>
      <c r="D293" s="34" t="s">
        <v>1805</v>
      </c>
      <c r="E293" s="34" t="s">
        <v>695</v>
      </c>
      <c r="F293" s="34" t="s">
        <v>1806</v>
      </c>
    </row>
    <row r="294" spans="1:7" x14ac:dyDescent="0.3">
      <c r="A294" s="32">
        <v>293</v>
      </c>
      <c r="B294" s="32" t="s">
        <v>69</v>
      </c>
      <c r="C294" s="32" t="str">
        <f>_xlfn.XLOOKUP(Table610111213[[#This Row],[Category No]],Table8[Category No],Table8[Chapter List],FALSE)</f>
        <v>Imperial Guptas &amp; Vakataks, Post Gupta Empire</v>
      </c>
      <c r="D294" s="34" t="s">
        <v>1807</v>
      </c>
      <c r="E294" s="34" t="s">
        <v>695</v>
      </c>
      <c r="F294" s="34" t="s">
        <v>1808</v>
      </c>
    </row>
    <row r="295" spans="1:7" x14ac:dyDescent="0.3">
      <c r="A295" s="32">
        <v>294</v>
      </c>
      <c r="B295" s="32" t="s">
        <v>69</v>
      </c>
      <c r="C295" s="32" t="str">
        <f>_xlfn.XLOOKUP(Table610111213[[#This Row],[Category No]],Table8[Category No],Table8[Chapter List],FALSE)</f>
        <v>Imperial Guptas &amp; Vakataks, Post Gupta Empire</v>
      </c>
      <c r="D295" s="34" t="s">
        <v>1811</v>
      </c>
      <c r="E295" s="34" t="s">
        <v>695</v>
      </c>
      <c r="F295" s="34" t="s">
        <v>1806</v>
      </c>
    </row>
    <row r="296" spans="1:7" x14ac:dyDescent="0.3">
      <c r="A296" s="32">
        <v>295</v>
      </c>
      <c r="B296" s="32" t="s">
        <v>69</v>
      </c>
      <c r="C296" s="32" t="str">
        <f>_xlfn.XLOOKUP(Table610111213[[#This Row],[Category No]],Table8[Category No],Table8[Chapter List],FALSE)</f>
        <v>Imperial Guptas &amp; Vakataks, Post Gupta Empire</v>
      </c>
      <c r="D296" s="34" t="s">
        <v>1812</v>
      </c>
      <c r="E296" s="34" t="s">
        <v>695</v>
      </c>
      <c r="F296" s="34" t="s">
        <v>1806</v>
      </c>
    </row>
    <row r="297" spans="1:7" x14ac:dyDescent="0.3">
      <c r="A297" s="32">
        <v>296</v>
      </c>
      <c r="B297" s="32" t="s">
        <v>69</v>
      </c>
      <c r="C297" s="32" t="str">
        <f>_xlfn.XLOOKUP(Table610111213[[#This Row],[Category No]],Table8[Category No],Table8[Chapter List],FALSE)</f>
        <v>Imperial Guptas &amp; Vakataks, Post Gupta Empire</v>
      </c>
      <c r="D297" s="34" t="s">
        <v>1813</v>
      </c>
      <c r="E297" s="34" t="s">
        <v>695</v>
      </c>
      <c r="F297" s="34" t="s">
        <v>1814</v>
      </c>
    </row>
    <row r="298" spans="1:7" x14ac:dyDescent="0.3">
      <c r="A298" s="32">
        <v>297</v>
      </c>
      <c r="B298" s="32" t="s">
        <v>70</v>
      </c>
      <c r="C298" s="32" t="str">
        <f>_xlfn.XLOOKUP(Table610111213[[#This Row],[Category No]],Table8[Category No],Table8[Chapter List],FALSE)</f>
        <v>Harshavardhana/ Vardhan Dynasty/ Pushyabhuti Dynasty</v>
      </c>
      <c r="D298" s="34" t="s">
        <v>1884</v>
      </c>
      <c r="E298" s="34" t="s">
        <v>695</v>
      </c>
      <c r="F298" s="34" t="s">
        <v>1885</v>
      </c>
      <c r="G298" s="57" t="s">
        <v>2293</v>
      </c>
    </row>
    <row r="299" spans="1:7" x14ac:dyDescent="0.3">
      <c r="A299" s="32">
        <v>298</v>
      </c>
      <c r="B299" s="32" t="s">
        <v>70</v>
      </c>
      <c r="C299" s="32" t="str">
        <f>_xlfn.XLOOKUP(Table610111213[[#This Row],[Category No]],Table8[Category No],Table8[Chapter List],FALSE)</f>
        <v>Harshavardhana/ Vardhan Dynasty/ Pushyabhuti Dynasty</v>
      </c>
      <c r="D299" s="34" t="s">
        <v>1886</v>
      </c>
      <c r="E299" s="34" t="s">
        <v>695</v>
      </c>
      <c r="F299" s="34" t="s">
        <v>1887</v>
      </c>
      <c r="G299" s="57"/>
    </row>
    <row r="300" spans="1:7" x14ac:dyDescent="0.3">
      <c r="A300" s="32">
        <v>299</v>
      </c>
      <c r="B300" s="32" t="s">
        <v>70</v>
      </c>
      <c r="C300" s="32" t="str">
        <f>_xlfn.XLOOKUP(Table610111213[[#This Row],[Category No]],Table8[Category No],Table8[Chapter List],FALSE)</f>
        <v>Harshavardhana/ Vardhan Dynasty/ Pushyabhuti Dynasty</v>
      </c>
      <c r="D300" s="34" t="s">
        <v>2291</v>
      </c>
      <c r="E300" s="34" t="s">
        <v>695</v>
      </c>
      <c r="F300" s="34" t="s">
        <v>2292</v>
      </c>
      <c r="G300" s="57"/>
    </row>
    <row r="301" spans="1:7" x14ac:dyDescent="0.3">
      <c r="A301" s="32">
        <v>300</v>
      </c>
      <c r="B301" s="32" t="s">
        <v>70</v>
      </c>
      <c r="C301" s="32" t="str">
        <f>_xlfn.XLOOKUP(Table610111213[[#This Row],[Category No]],Table8[Category No],Table8[Chapter List],FALSE)</f>
        <v>Harshavardhana/ Vardhan Dynasty/ Pushyabhuti Dynasty</v>
      </c>
      <c r="D301" s="34" t="s">
        <v>1888</v>
      </c>
      <c r="E301" s="34" t="s">
        <v>695</v>
      </c>
      <c r="F301" s="34" t="s">
        <v>1889</v>
      </c>
      <c r="G301" s="57"/>
    </row>
    <row r="302" spans="1:7" x14ac:dyDescent="0.3">
      <c r="A302" s="32">
        <v>301</v>
      </c>
      <c r="B302" s="32" t="s">
        <v>70</v>
      </c>
      <c r="C302" s="32" t="str">
        <f>_xlfn.XLOOKUP(Table610111213[[#This Row],[Category No]],Table8[Category No],Table8[Chapter List],FALSE)</f>
        <v>Harshavardhana/ Vardhan Dynasty/ Pushyabhuti Dynasty</v>
      </c>
      <c r="D302" s="34" t="s">
        <v>1890</v>
      </c>
      <c r="E302" s="34" t="s">
        <v>695</v>
      </c>
      <c r="F302" s="34" t="s">
        <v>1891</v>
      </c>
      <c r="G302" s="57"/>
    </row>
    <row r="303" spans="1:7" x14ac:dyDescent="0.3">
      <c r="A303" s="32">
        <v>302</v>
      </c>
      <c r="B303" s="32" t="s">
        <v>70</v>
      </c>
      <c r="C303" s="32" t="str">
        <f>_xlfn.XLOOKUP(Table610111213[[#This Row],[Category No]],Table8[Category No],Table8[Chapter List],FALSE)</f>
        <v>Harshavardhana/ Vardhan Dynasty/ Pushyabhuti Dynasty</v>
      </c>
      <c r="D303" s="34" t="s">
        <v>1892</v>
      </c>
      <c r="E303" s="34" t="s">
        <v>695</v>
      </c>
      <c r="F303" s="34" t="s">
        <v>1895</v>
      </c>
      <c r="G303" s="57"/>
    </row>
    <row r="304" spans="1:7" x14ac:dyDescent="0.3">
      <c r="A304" s="32">
        <v>303</v>
      </c>
      <c r="B304" s="32" t="s">
        <v>70</v>
      </c>
      <c r="C304" s="32" t="str">
        <f>_xlfn.XLOOKUP(Table610111213[[#This Row],[Category No]],Table8[Category No],Table8[Chapter List],FALSE)</f>
        <v>Harshavardhana/ Vardhan Dynasty/ Pushyabhuti Dynasty</v>
      </c>
      <c r="D304" s="34" t="s">
        <v>1893</v>
      </c>
      <c r="E304" s="34" t="s">
        <v>695</v>
      </c>
      <c r="F304" s="34" t="s">
        <v>1894</v>
      </c>
      <c r="G304" s="57"/>
    </row>
    <row r="305" spans="1:7" x14ac:dyDescent="0.3">
      <c r="A305" s="32">
        <v>304</v>
      </c>
      <c r="B305" s="32" t="s">
        <v>70</v>
      </c>
      <c r="C305" s="32" t="str">
        <f>_xlfn.XLOOKUP(Table610111213[[#This Row],[Category No]],Table8[Category No],Table8[Chapter List],FALSE)</f>
        <v>Harshavardhana/ Vardhan Dynasty/ Pushyabhuti Dynasty</v>
      </c>
      <c r="D305" s="34" t="s">
        <v>1896</v>
      </c>
      <c r="E305" s="34" t="s">
        <v>695</v>
      </c>
      <c r="F305" s="34" t="s">
        <v>1900</v>
      </c>
      <c r="G305" s="57"/>
    </row>
    <row r="306" spans="1:7" x14ac:dyDescent="0.3">
      <c r="A306" s="32">
        <v>305</v>
      </c>
      <c r="B306" s="32" t="s">
        <v>70</v>
      </c>
      <c r="C306" s="32" t="str">
        <f>_xlfn.XLOOKUP(Table610111213[[#This Row],[Category No]],Table8[Category No],Table8[Chapter List],FALSE)</f>
        <v>Harshavardhana/ Vardhan Dynasty/ Pushyabhuti Dynasty</v>
      </c>
      <c r="D306" s="34" t="s">
        <v>1897</v>
      </c>
      <c r="E306" s="34" t="s">
        <v>695</v>
      </c>
      <c r="F306" s="34" t="s">
        <v>1900</v>
      </c>
      <c r="G306" s="57"/>
    </row>
    <row r="307" spans="1:7" x14ac:dyDescent="0.3">
      <c r="A307" s="32">
        <v>306</v>
      </c>
      <c r="B307" s="32" t="s">
        <v>70</v>
      </c>
      <c r="C307" s="32" t="str">
        <f>_xlfn.XLOOKUP(Table610111213[[#This Row],[Category No]],Table8[Category No],Table8[Chapter List],FALSE)</f>
        <v>Harshavardhana/ Vardhan Dynasty/ Pushyabhuti Dynasty</v>
      </c>
      <c r="D307" s="34" t="s">
        <v>1898</v>
      </c>
      <c r="E307" s="34" t="s">
        <v>695</v>
      </c>
      <c r="F307" s="34" t="s">
        <v>1900</v>
      </c>
      <c r="G307" s="57"/>
    </row>
    <row r="308" spans="1:7" x14ac:dyDescent="0.3">
      <c r="A308" s="32">
        <v>307</v>
      </c>
      <c r="B308" s="32" t="s">
        <v>70</v>
      </c>
      <c r="C308" s="32" t="str">
        <f>_xlfn.XLOOKUP(Table610111213[[#This Row],[Category No]],Table8[Category No],Table8[Chapter List],FALSE)</f>
        <v>Harshavardhana/ Vardhan Dynasty/ Pushyabhuti Dynasty</v>
      </c>
      <c r="D308" s="34" t="s">
        <v>1899</v>
      </c>
      <c r="E308" s="34" t="s">
        <v>695</v>
      </c>
      <c r="F308" s="34" t="s">
        <v>1900</v>
      </c>
      <c r="G308" s="57"/>
    </row>
    <row r="309" spans="1:7" x14ac:dyDescent="0.3">
      <c r="A309" s="32">
        <v>308</v>
      </c>
      <c r="B309" s="32" t="s">
        <v>70</v>
      </c>
      <c r="C309" s="32" t="str">
        <f>_xlfn.XLOOKUP(Table610111213[[#This Row],[Category No]],Table8[Category No],Table8[Chapter List],FALSE)</f>
        <v>Harshavardhana/ Vardhan Dynasty/ Pushyabhuti Dynasty</v>
      </c>
      <c r="D309" s="34" t="s">
        <v>1907</v>
      </c>
      <c r="E309" s="34" t="s">
        <v>695</v>
      </c>
      <c r="F309" s="34" t="s">
        <v>1908</v>
      </c>
      <c r="G309" s="57"/>
    </row>
    <row r="310" spans="1:7" x14ac:dyDescent="0.3">
      <c r="A310" s="32">
        <v>309</v>
      </c>
      <c r="B310" s="32" t="s">
        <v>70</v>
      </c>
      <c r="C310" s="32" t="str">
        <f>_xlfn.XLOOKUP(Table610111213[[#This Row],[Category No]],Table8[Category No],Table8[Chapter List],FALSE)</f>
        <v>Harshavardhana/ Vardhan Dynasty/ Pushyabhuti Dynasty</v>
      </c>
      <c r="D310" s="34" t="s">
        <v>1909</v>
      </c>
      <c r="E310" s="34" t="s">
        <v>697</v>
      </c>
      <c r="F310" s="34" t="s">
        <v>1910</v>
      </c>
      <c r="G310" s="57"/>
    </row>
    <row r="311" spans="1:7" x14ac:dyDescent="0.3">
      <c r="A311" s="32">
        <v>310</v>
      </c>
      <c r="B311" s="32" t="s">
        <v>70</v>
      </c>
      <c r="C311" s="32" t="str">
        <f>_xlfn.XLOOKUP(Table610111213[[#This Row],[Category No]],Table8[Category No],Table8[Chapter List],FALSE)</f>
        <v>Harshavardhana/ Vardhan Dynasty/ Pushyabhuti Dynasty</v>
      </c>
      <c r="D311" s="34" t="s">
        <v>1911</v>
      </c>
      <c r="E311" s="34" t="s">
        <v>697</v>
      </c>
      <c r="F311" s="34" t="s">
        <v>1912</v>
      </c>
      <c r="G311" s="63" t="s">
        <v>1991</v>
      </c>
    </row>
    <row r="312" spans="1:7" x14ac:dyDescent="0.3">
      <c r="A312" s="32">
        <v>311</v>
      </c>
      <c r="B312" s="42" t="s">
        <v>74</v>
      </c>
      <c r="C312" s="32" t="str">
        <f>_xlfn.XLOOKUP(Table610111213[[#This Row],[Category No]],Table8[Category No],Table8[Chapter List],FALSE)</f>
        <v>Early Medieval India's Major Dynasties Part 1 - (550 - 750)CE</v>
      </c>
      <c r="D312" s="34" t="s">
        <v>1973</v>
      </c>
      <c r="E312" s="34" t="s">
        <v>695</v>
      </c>
      <c r="F312" s="34" t="s">
        <v>1982</v>
      </c>
      <c r="G312" s="57"/>
    </row>
    <row r="313" spans="1:7" x14ac:dyDescent="0.3">
      <c r="A313" s="32">
        <v>312</v>
      </c>
      <c r="B313" s="42" t="s">
        <v>74</v>
      </c>
      <c r="C313" s="32" t="str">
        <f>_xlfn.XLOOKUP(Table610111213[[#This Row],[Category No]],Table8[Category No],Table8[Chapter List],FALSE)</f>
        <v>Early Medieval India's Major Dynasties Part 1 - (550 - 750)CE</v>
      </c>
      <c r="D313" s="34" t="s">
        <v>1996</v>
      </c>
      <c r="E313" s="34" t="s">
        <v>697</v>
      </c>
      <c r="F313" s="34" t="s">
        <v>1997</v>
      </c>
      <c r="G313" s="57"/>
    </row>
    <row r="314" spans="1:7" x14ac:dyDescent="0.3">
      <c r="A314" s="32">
        <v>313</v>
      </c>
      <c r="B314" s="42" t="s">
        <v>74</v>
      </c>
      <c r="C314" s="32" t="str">
        <f>_xlfn.XLOOKUP(Table610111213[[#This Row],[Category No]],Table8[Category No],Table8[Chapter List],FALSE)</f>
        <v>Early Medieval India's Major Dynasties Part 1 - (550 - 750)CE</v>
      </c>
      <c r="D314" s="34" t="s">
        <v>1974</v>
      </c>
      <c r="E314" s="34" t="s">
        <v>695</v>
      </c>
      <c r="F314" s="34" t="s">
        <v>1983</v>
      </c>
      <c r="G314" s="57"/>
    </row>
    <row r="315" spans="1:7" x14ac:dyDescent="0.3">
      <c r="A315" s="32">
        <v>314</v>
      </c>
      <c r="B315" s="42" t="s">
        <v>74</v>
      </c>
      <c r="C315" s="32" t="str">
        <f>_xlfn.XLOOKUP(Table610111213[[#This Row],[Category No]],Table8[Category No],Table8[Chapter List],FALSE)</f>
        <v>Early Medieval India's Major Dynasties Part 1 - (550 - 750)CE</v>
      </c>
      <c r="D315" s="34" t="s">
        <v>1975</v>
      </c>
      <c r="E315" s="34" t="s">
        <v>695</v>
      </c>
      <c r="F315" s="34" t="s">
        <v>1984</v>
      </c>
      <c r="G315" s="57"/>
    </row>
    <row r="316" spans="1:7" x14ac:dyDescent="0.3">
      <c r="A316" s="32">
        <v>315</v>
      </c>
      <c r="B316" s="42" t="s">
        <v>74</v>
      </c>
      <c r="C316" s="32" t="str">
        <f>_xlfn.XLOOKUP(Table610111213[[#This Row],[Category No]],Table8[Category No],Table8[Chapter List],FALSE)</f>
        <v>Early Medieval India's Major Dynasties Part 1 - (550 - 750)CE</v>
      </c>
      <c r="D316" s="34" t="s">
        <v>1976</v>
      </c>
      <c r="E316" s="34" t="s">
        <v>695</v>
      </c>
      <c r="F316" s="34" t="s">
        <v>1985</v>
      </c>
      <c r="G316" s="58"/>
    </row>
    <row r="317" spans="1:7" x14ac:dyDescent="0.3">
      <c r="A317" s="32"/>
      <c r="B317" s="42" t="s">
        <v>74</v>
      </c>
      <c r="C317" s="32" t="str">
        <f>_xlfn.XLOOKUP(Table610111213[[#This Row],[Category No]],Table8[Category No],Table8[Chapter List],FALSE)</f>
        <v>Early Medieval India's Major Dynasties Part 1 - (550 - 750)CE</v>
      </c>
      <c r="D317" s="34" t="s">
        <v>1986</v>
      </c>
      <c r="E317" s="34" t="s">
        <v>695</v>
      </c>
      <c r="F317" s="34" t="s">
        <v>1993</v>
      </c>
      <c r="G317" s="57" t="s">
        <v>1992</v>
      </c>
    </row>
    <row r="318" spans="1:7" x14ac:dyDescent="0.3">
      <c r="A318" s="32"/>
      <c r="B318" s="42" t="s">
        <v>74</v>
      </c>
      <c r="C318" s="32" t="str">
        <f>_xlfn.XLOOKUP(Table610111213[[#This Row],[Category No]],Table8[Category No],Table8[Chapter List],FALSE)</f>
        <v>Early Medieval India's Major Dynasties Part 1 - (550 - 750)CE</v>
      </c>
      <c r="D318" s="34" t="s">
        <v>2002</v>
      </c>
      <c r="E318" s="34" t="s">
        <v>695</v>
      </c>
      <c r="F318" s="34" t="s">
        <v>2003</v>
      </c>
      <c r="G318" s="57"/>
    </row>
    <row r="319" spans="1:7" x14ac:dyDescent="0.3">
      <c r="A319" s="32">
        <v>315</v>
      </c>
      <c r="B319" s="42" t="s">
        <v>74</v>
      </c>
      <c r="C319" s="32" t="str">
        <f>_xlfn.XLOOKUP(Table610111213[[#This Row],[Category No]],Table8[Category No],Table8[Chapter List],FALSE)</f>
        <v>Early Medieval India's Major Dynasties Part 1 - (550 - 750)CE</v>
      </c>
      <c r="D319" s="34" t="s">
        <v>1683</v>
      </c>
      <c r="E319" s="34" t="s">
        <v>695</v>
      </c>
      <c r="F319" s="34" t="s">
        <v>1987</v>
      </c>
      <c r="G319" s="57"/>
    </row>
    <row r="320" spans="1:7" x14ac:dyDescent="0.3">
      <c r="A320" s="32"/>
      <c r="B320" s="32"/>
      <c r="C320" s="32" t="b">
        <f>_xlfn.XLOOKUP(Table610111213[[#This Row],[Category No]],Table8[Category No],Table8[Chapter List],FALSE)</f>
        <v>0</v>
      </c>
      <c r="D320" s="34" t="s">
        <v>2018</v>
      </c>
      <c r="E320" s="34" t="s">
        <v>695</v>
      </c>
      <c r="F320" s="34" t="s">
        <v>2019</v>
      </c>
      <c r="G320" s="57"/>
    </row>
    <row r="321" spans="1:7" x14ac:dyDescent="0.3">
      <c r="A321" s="32">
        <v>316</v>
      </c>
      <c r="B321" s="42" t="s">
        <v>74</v>
      </c>
      <c r="C321" s="32" t="str">
        <f>_xlfn.XLOOKUP(Table610111213[[#This Row],[Category No]],Table8[Category No],Table8[Chapter List],FALSE)</f>
        <v>Early Medieval India's Major Dynasties Part 1 - (550 - 750)CE</v>
      </c>
      <c r="D321" s="34" t="s">
        <v>1977</v>
      </c>
      <c r="E321" s="34" t="s">
        <v>695</v>
      </c>
      <c r="F321" s="34" t="s">
        <v>1988</v>
      </c>
      <c r="G321" s="57"/>
    </row>
    <row r="322" spans="1:7" x14ac:dyDescent="0.3">
      <c r="A322" s="32">
        <v>317</v>
      </c>
      <c r="B322" s="42" t="s">
        <v>74</v>
      </c>
      <c r="C322" s="32" t="str">
        <f>_xlfn.XLOOKUP(Table610111213[[#This Row],[Category No]],Table8[Category No],Table8[Chapter List],FALSE)</f>
        <v>Early Medieval India's Major Dynasties Part 1 - (550 - 750)CE</v>
      </c>
      <c r="D322" s="34" t="s">
        <v>1978</v>
      </c>
      <c r="E322" s="34" t="s">
        <v>695</v>
      </c>
      <c r="F322" s="34" t="s">
        <v>1989</v>
      </c>
      <c r="G322" s="57"/>
    </row>
    <row r="323" spans="1:7" x14ac:dyDescent="0.3">
      <c r="A323" s="32">
        <v>318</v>
      </c>
      <c r="B323" s="42" t="s">
        <v>74</v>
      </c>
      <c r="C323" s="32" t="str">
        <f>_xlfn.XLOOKUP(Table610111213[[#This Row],[Category No]],Table8[Category No],Table8[Chapter List],FALSE)</f>
        <v>Early Medieval India's Major Dynasties Part 1 - (550 - 750)CE</v>
      </c>
      <c r="D323" s="34" t="s">
        <v>1979</v>
      </c>
      <c r="E323" s="34" t="s">
        <v>695</v>
      </c>
      <c r="F323" s="34" t="s">
        <v>1990</v>
      </c>
      <c r="G323" s="57"/>
    </row>
    <row r="324" spans="1:7" x14ac:dyDescent="0.3">
      <c r="A324" s="32">
        <v>319</v>
      </c>
      <c r="B324" s="42" t="s">
        <v>74</v>
      </c>
      <c r="C324" s="32" t="str">
        <f>_xlfn.XLOOKUP(Table610111213[[#This Row],[Category No]],Table8[Category No],Table8[Chapter List],FALSE)</f>
        <v>Early Medieval India's Major Dynasties Part 1 - (550 - 750)CE</v>
      </c>
      <c r="D324" s="34" t="s">
        <v>1980</v>
      </c>
      <c r="E324" s="34" t="s">
        <v>695</v>
      </c>
      <c r="F324" s="34" t="s">
        <v>1990</v>
      </c>
      <c r="G324" s="57"/>
    </row>
    <row r="325" spans="1:7" x14ac:dyDescent="0.3">
      <c r="A325" s="32">
        <v>320</v>
      </c>
      <c r="B325" s="42" t="s">
        <v>74</v>
      </c>
      <c r="C325" s="32" t="str">
        <f>_xlfn.XLOOKUP(Table610111213[[#This Row],[Category No]],Table8[Category No],Table8[Chapter List],FALSE)</f>
        <v>Early Medieval India's Major Dynasties Part 1 - (550 - 750)CE</v>
      </c>
      <c r="D325" s="34" t="s">
        <v>1981</v>
      </c>
      <c r="E325" s="34" t="s">
        <v>695</v>
      </c>
      <c r="F325" s="34" t="s">
        <v>1990</v>
      </c>
      <c r="G325" s="57" t="s">
        <v>2035</v>
      </c>
    </row>
    <row r="326" spans="1:7" x14ac:dyDescent="0.3">
      <c r="A326" s="32">
        <v>321</v>
      </c>
      <c r="B326" s="42" t="s">
        <v>74</v>
      </c>
      <c r="C326" s="32" t="str">
        <f>_xlfn.XLOOKUP(Table610111213[[#This Row],[Category No]],Table8[Category No],Table8[Chapter List],FALSE)</f>
        <v>Early Medieval India's Major Dynasties Part 1 - (550 - 750)CE</v>
      </c>
      <c r="D326" s="34" t="s">
        <v>2040</v>
      </c>
      <c r="E326" s="34" t="s">
        <v>695</v>
      </c>
      <c r="F326" s="34" t="s">
        <v>2041</v>
      </c>
      <c r="G326" s="57"/>
    </row>
    <row r="327" spans="1:7" x14ac:dyDescent="0.3">
      <c r="A327" s="32">
        <v>322</v>
      </c>
      <c r="B327" s="42" t="s">
        <v>74</v>
      </c>
      <c r="C327" s="32" t="str">
        <f>_xlfn.XLOOKUP(Table610111213[[#This Row],[Category No]],Table8[Category No],Table8[Chapter List],FALSE)</f>
        <v>Early Medieval India's Major Dynasties Part 1 - (550 - 750)CE</v>
      </c>
      <c r="D327" s="34" t="s">
        <v>2042</v>
      </c>
      <c r="E327" s="34" t="s">
        <v>695</v>
      </c>
      <c r="F327" s="34" t="s">
        <v>2041</v>
      </c>
      <c r="G327" s="57"/>
    </row>
    <row r="328" spans="1:7" x14ac:dyDescent="0.3">
      <c r="A328" s="32">
        <v>323</v>
      </c>
      <c r="B328" s="42" t="s">
        <v>74</v>
      </c>
      <c r="C328" s="32" t="str">
        <f>_xlfn.XLOOKUP(Table610111213[[#This Row],[Category No]],Table8[Category No],Table8[Chapter List],FALSE)</f>
        <v>Early Medieval India's Major Dynasties Part 1 - (550 - 750)CE</v>
      </c>
      <c r="D328" s="34" t="s">
        <v>2043</v>
      </c>
      <c r="E328" s="34" t="s">
        <v>697</v>
      </c>
      <c r="F328" s="34" t="s">
        <v>2044</v>
      </c>
      <c r="G328" s="57"/>
    </row>
    <row r="329" spans="1:7" x14ac:dyDescent="0.3">
      <c r="A329" s="32">
        <v>324</v>
      </c>
      <c r="B329" s="42" t="s">
        <v>74</v>
      </c>
      <c r="C329" s="32" t="str">
        <f>_xlfn.XLOOKUP(Table610111213[[#This Row],[Category No]],Table8[Category No],Table8[Chapter List],FALSE)</f>
        <v>Early Medieval India's Major Dynasties Part 1 - (550 - 750)CE</v>
      </c>
      <c r="D329" s="34" t="s">
        <v>2045</v>
      </c>
      <c r="E329" s="34" t="s">
        <v>695</v>
      </c>
      <c r="F329" s="34" t="s">
        <v>2041</v>
      </c>
      <c r="G329" s="57"/>
    </row>
    <row r="330" spans="1:7" x14ac:dyDescent="0.3">
      <c r="A330" s="32">
        <v>325</v>
      </c>
      <c r="B330" s="42" t="s">
        <v>74</v>
      </c>
      <c r="C330" s="32" t="str">
        <f>_xlfn.XLOOKUP(Table610111213[[#This Row],[Category No]],Table8[Category No],Table8[Chapter List],FALSE)</f>
        <v>Early Medieval India's Major Dynasties Part 1 - (550 - 750)CE</v>
      </c>
      <c r="D330" s="34" t="s">
        <v>2046</v>
      </c>
      <c r="E330" s="34" t="s">
        <v>697</v>
      </c>
      <c r="F330" s="34" t="s">
        <v>2048</v>
      </c>
      <c r="G330" s="57"/>
    </row>
    <row r="331" spans="1:7" x14ac:dyDescent="0.3">
      <c r="A331" s="32">
        <v>326</v>
      </c>
      <c r="B331" s="42" t="s">
        <v>74</v>
      </c>
      <c r="C331" s="32" t="str">
        <f>_xlfn.XLOOKUP(Table610111213[[#This Row],[Category No]],Table8[Category No],Table8[Chapter List],FALSE)</f>
        <v>Early Medieval India's Major Dynasties Part 1 - (550 - 750)CE</v>
      </c>
      <c r="D331" s="34" t="s">
        <v>2047</v>
      </c>
      <c r="E331" s="34" t="s">
        <v>697</v>
      </c>
      <c r="F331" s="34" t="s">
        <v>2048</v>
      </c>
      <c r="G331" s="57"/>
    </row>
    <row r="332" spans="1:7" x14ac:dyDescent="0.3">
      <c r="A332" s="32"/>
      <c r="B332" s="42" t="s">
        <v>74</v>
      </c>
      <c r="C332" s="32" t="str">
        <f>_xlfn.XLOOKUP(Table610111213[[#This Row],[Category No]],Table8[Category No],Table8[Chapter List],FALSE)</f>
        <v>Early Medieval India's Major Dynasties Part 1 - (550 - 750)CE</v>
      </c>
      <c r="D332" s="34" t="s">
        <v>2062</v>
      </c>
      <c r="E332" s="34" t="s">
        <v>695</v>
      </c>
      <c r="F332" s="34" t="s">
        <v>2063</v>
      </c>
      <c r="G332" s="57"/>
    </row>
    <row r="333" spans="1:7" x14ac:dyDescent="0.3">
      <c r="A333" s="32">
        <v>327</v>
      </c>
      <c r="B333" s="42" t="s">
        <v>74</v>
      </c>
      <c r="C333" s="32" t="str">
        <f>_xlfn.XLOOKUP(Table610111213[[#This Row],[Category No]],Table8[Category No],Table8[Chapter List],FALSE)</f>
        <v>Early Medieval India's Major Dynasties Part 1 - (550 - 750)CE</v>
      </c>
      <c r="D333" s="34" t="s">
        <v>2049</v>
      </c>
      <c r="E333" s="34" t="s">
        <v>695</v>
      </c>
      <c r="F333" s="34" t="s">
        <v>2041</v>
      </c>
      <c r="G333" s="57"/>
    </row>
    <row r="334" spans="1:7" x14ac:dyDescent="0.3">
      <c r="A334" s="32">
        <v>328</v>
      </c>
      <c r="B334" s="42" t="s">
        <v>74</v>
      </c>
      <c r="C334" s="32" t="str">
        <f>_xlfn.XLOOKUP(Table610111213[[#This Row],[Category No]],Table8[Category No],Table8[Chapter List],FALSE)</f>
        <v>Early Medieval India's Major Dynasties Part 1 - (550 - 750)CE</v>
      </c>
      <c r="D334" s="34" t="s">
        <v>2050</v>
      </c>
      <c r="E334" s="34" t="s">
        <v>695</v>
      </c>
      <c r="F334" s="34" t="s">
        <v>2041</v>
      </c>
      <c r="G334" s="57"/>
    </row>
    <row r="335" spans="1:7" x14ac:dyDescent="0.3">
      <c r="A335" s="32">
        <v>329</v>
      </c>
      <c r="B335" s="42" t="s">
        <v>74</v>
      </c>
      <c r="C335" s="32" t="str">
        <f>_xlfn.XLOOKUP(Table610111213[[#This Row],[Category No]],Table8[Category No],Table8[Chapter List],FALSE)</f>
        <v>Early Medieval India's Major Dynasties Part 1 - (550 - 750)CE</v>
      </c>
      <c r="D335" s="34" t="s">
        <v>2051</v>
      </c>
      <c r="E335" s="34" t="s">
        <v>695</v>
      </c>
      <c r="F335" s="34" t="s">
        <v>2041</v>
      </c>
      <c r="G335" s="57"/>
    </row>
    <row r="336" spans="1:7" x14ac:dyDescent="0.3">
      <c r="A336" s="32">
        <v>330</v>
      </c>
      <c r="B336" s="42" t="s">
        <v>74</v>
      </c>
      <c r="C336" s="32" t="str">
        <f>_xlfn.XLOOKUP(Table610111213[[#This Row],[Category No]],Table8[Category No],Table8[Chapter List],FALSE)</f>
        <v>Early Medieval India's Major Dynasties Part 1 - (550 - 750)CE</v>
      </c>
      <c r="D336" s="34" t="s">
        <v>2052</v>
      </c>
      <c r="E336" s="34" t="s">
        <v>695</v>
      </c>
      <c r="F336" s="34" t="s">
        <v>2053</v>
      </c>
      <c r="G336" s="57"/>
    </row>
    <row r="337" spans="1:7" x14ac:dyDescent="0.3">
      <c r="A337" s="32">
        <v>331</v>
      </c>
      <c r="B337" s="42" t="s">
        <v>74</v>
      </c>
      <c r="C337" s="32" t="str">
        <f>_xlfn.XLOOKUP(Table610111213[[#This Row],[Category No]],Table8[Category No],Table8[Chapter List],FALSE)</f>
        <v>Early Medieval India's Major Dynasties Part 1 - (550 - 750)CE</v>
      </c>
      <c r="D337" s="34" t="s">
        <v>2054</v>
      </c>
      <c r="E337" s="34" t="s">
        <v>695</v>
      </c>
      <c r="F337" s="34" t="s">
        <v>2055</v>
      </c>
    </row>
    <row r="338" spans="1:7" x14ac:dyDescent="0.3">
      <c r="A338" s="32">
        <v>332</v>
      </c>
      <c r="B338" s="42" t="s">
        <v>74</v>
      </c>
      <c r="C338" s="32" t="str">
        <f>_xlfn.XLOOKUP(Table610111213[[#This Row],[Category No]],Table8[Category No],Table8[Chapter List],FALSE)</f>
        <v>Early Medieval India's Major Dynasties Part 1 - (550 - 750)CE</v>
      </c>
      <c r="D338" s="34" t="s">
        <v>2056</v>
      </c>
      <c r="E338" s="34" t="s">
        <v>695</v>
      </c>
      <c r="F338" s="34" t="s">
        <v>2057</v>
      </c>
    </row>
    <row r="339" spans="1:7" x14ac:dyDescent="0.3">
      <c r="A339" s="32">
        <v>333</v>
      </c>
      <c r="B339" s="42" t="s">
        <v>74</v>
      </c>
      <c r="C339" s="32" t="str">
        <f>_xlfn.XLOOKUP(Table610111213[[#This Row],[Category No]],Table8[Category No],Table8[Chapter List],FALSE)</f>
        <v>Early Medieval India's Major Dynasties Part 1 - (550 - 750)CE</v>
      </c>
      <c r="D339" s="34" t="s">
        <v>2058</v>
      </c>
      <c r="E339" s="34" t="s">
        <v>695</v>
      </c>
      <c r="F339" s="34" t="s">
        <v>2059</v>
      </c>
    </row>
    <row r="340" spans="1:7" x14ac:dyDescent="0.3">
      <c r="A340" s="32">
        <v>334</v>
      </c>
      <c r="B340" s="42" t="s">
        <v>74</v>
      </c>
      <c r="C340" s="32" t="str">
        <f>_xlfn.XLOOKUP(Table610111213[[#This Row],[Category No]],Table8[Category No],Table8[Chapter List],FALSE)</f>
        <v>Early Medieval India's Major Dynasties Part 1 - (550 - 750)CE</v>
      </c>
      <c r="D340" s="34" t="s">
        <v>2090</v>
      </c>
      <c r="E340" s="34" t="s">
        <v>697</v>
      </c>
      <c r="F340" s="34" t="s">
        <v>2091</v>
      </c>
    </row>
    <row r="341" spans="1:7" x14ac:dyDescent="0.3">
      <c r="A341" s="32">
        <v>335</v>
      </c>
      <c r="B341" s="42" t="s">
        <v>74</v>
      </c>
      <c r="C341" s="32" t="str">
        <f>_xlfn.XLOOKUP(Table610111213[[#This Row],[Category No]],Table8[Category No],Table8[Chapter List],FALSE)</f>
        <v>Early Medieval India's Major Dynasties Part 1 - (550 - 750)CE</v>
      </c>
      <c r="D341" s="34" t="s">
        <v>2092</v>
      </c>
      <c r="E341" s="34" t="s">
        <v>697</v>
      </c>
      <c r="F341" s="34" t="s">
        <v>2093</v>
      </c>
    </row>
    <row r="342" spans="1:7" x14ac:dyDescent="0.3">
      <c r="A342" s="32">
        <v>336</v>
      </c>
      <c r="B342" s="42" t="s">
        <v>74</v>
      </c>
      <c r="C342" s="32" t="str">
        <f>_xlfn.XLOOKUP(Table610111213[[#This Row],[Category No]],Table8[Category No],Table8[Chapter List],FALSE)</f>
        <v>Early Medieval India's Major Dynasties Part 1 - (550 - 750)CE</v>
      </c>
      <c r="D342" s="34" t="s">
        <v>2094</v>
      </c>
      <c r="E342" s="34" t="s">
        <v>697</v>
      </c>
      <c r="F342" s="34" t="s">
        <v>2095</v>
      </c>
    </row>
    <row r="343" spans="1:7" x14ac:dyDescent="0.3">
      <c r="A343" s="32">
        <v>337</v>
      </c>
      <c r="B343" s="42" t="s">
        <v>74</v>
      </c>
      <c r="C343" s="32" t="str">
        <f>_xlfn.XLOOKUP(Table610111213[[#This Row],[Category No]],Table8[Category No],Table8[Chapter List],FALSE)</f>
        <v>Early Medieval India's Major Dynasties Part 1 - (550 - 750)CE</v>
      </c>
      <c r="D343" s="34" t="s">
        <v>2096</v>
      </c>
      <c r="E343" s="34" t="s">
        <v>697</v>
      </c>
      <c r="F343" s="34" t="s">
        <v>2097</v>
      </c>
      <c r="G343" s="57" t="s">
        <v>2149</v>
      </c>
    </row>
    <row r="344" spans="1:7" x14ac:dyDescent="0.3">
      <c r="A344" s="32">
        <v>338</v>
      </c>
      <c r="B344" s="42" t="s">
        <v>75</v>
      </c>
      <c r="C344" s="32" t="str">
        <f>_xlfn.XLOOKUP(Table610111213[[#This Row],[Category No]],Table8[Category No],Table8[Chapter List],FALSE)</f>
        <v>Early Medieval India's Major Dynasties Part 2 - (750 - 1000)CE</v>
      </c>
      <c r="D344" s="34" t="s">
        <v>2126</v>
      </c>
      <c r="E344" s="34" t="s">
        <v>695</v>
      </c>
      <c r="F344" s="34" t="s">
        <v>2127</v>
      </c>
      <c r="G344" s="57"/>
    </row>
    <row r="345" spans="1:7" x14ac:dyDescent="0.3">
      <c r="A345" s="32">
        <v>339</v>
      </c>
      <c r="B345" s="42" t="s">
        <v>75</v>
      </c>
      <c r="C345" s="32" t="str">
        <f>_xlfn.XLOOKUP(Table610111213[[#This Row],[Category No]],Table8[Category No],Table8[Chapter List],FALSE)</f>
        <v>Early Medieval India's Major Dynasties Part 2 - (750 - 1000)CE</v>
      </c>
      <c r="D345" s="34" t="s">
        <v>2128</v>
      </c>
      <c r="E345" s="34" t="s">
        <v>695</v>
      </c>
      <c r="F345" s="34" t="s">
        <v>2129</v>
      </c>
      <c r="G345" s="57"/>
    </row>
    <row r="346" spans="1:7" x14ac:dyDescent="0.3">
      <c r="A346" s="32">
        <v>340</v>
      </c>
      <c r="B346" s="42" t="s">
        <v>75</v>
      </c>
      <c r="C346" s="32" t="str">
        <f>_xlfn.XLOOKUP(Table610111213[[#This Row],[Category No]],Table8[Category No],Table8[Chapter List],FALSE)</f>
        <v>Early Medieval India's Major Dynasties Part 2 - (750 - 1000)CE</v>
      </c>
      <c r="D346" s="34" t="s">
        <v>2131</v>
      </c>
      <c r="E346" s="34" t="s">
        <v>695</v>
      </c>
      <c r="F346" s="34" t="s">
        <v>2129</v>
      </c>
      <c r="G346" s="57"/>
    </row>
    <row r="347" spans="1:7" x14ac:dyDescent="0.3">
      <c r="A347" s="32">
        <v>341</v>
      </c>
      <c r="B347" s="42" t="s">
        <v>75</v>
      </c>
      <c r="C347" s="32" t="str">
        <f>_xlfn.XLOOKUP(Table610111213[[#This Row],[Category No]],Table8[Category No],Table8[Chapter List],FALSE)</f>
        <v>Early Medieval India's Major Dynasties Part 2 - (750 - 1000)CE</v>
      </c>
      <c r="D347" s="34" t="s">
        <v>2132</v>
      </c>
      <c r="E347" s="34" t="s">
        <v>695</v>
      </c>
      <c r="F347" s="34" t="s">
        <v>2129</v>
      </c>
      <c r="G347" s="57"/>
    </row>
    <row r="348" spans="1:7" x14ac:dyDescent="0.3">
      <c r="A348" s="32">
        <v>342</v>
      </c>
      <c r="B348" s="42" t="s">
        <v>75</v>
      </c>
      <c r="C348" s="32" t="str">
        <f>_xlfn.XLOOKUP(Table610111213[[#This Row],[Category No]],Table8[Category No],Table8[Chapter List],FALSE)</f>
        <v>Early Medieval India's Major Dynasties Part 2 - (750 - 1000)CE</v>
      </c>
      <c r="D348" s="34" t="s">
        <v>2133</v>
      </c>
      <c r="E348" s="34" t="s">
        <v>695</v>
      </c>
      <c r="F348" s="34" t="s">
        <v>2134</v>
      </c>
      <c r="G348" s="57"/>
    </row>
    <row r="349" spans="1:7" x14ac:dyDescent="0.3">
      <c r="A349" s="32">
        <v>343</v>
      </c>
      <c r="B349" s="42" t="s">
        <v>75</v>
      </c>
      <c r="C349" s="32" t="str">
        <f>_xlfn.XLOOKUP(Table610111213[[#This Row],[Category No]],Table8[Category No],Table8[Chapter List],FALSE)</f>
        <v>Early Medieval India's Major Dynasties Part 2 - (750 - 1000)CE</v>
      </c>
      <c r="D349" s="34" t="s">
        <v>2249</v>
      </c>
      <c r="E349" s="34" t="s">
        <v>695</v>
      </c>
      <c r="F349" s="34" t="s">
        <v>2135</v>
      </c>
      <c r="G349" s="57"/>
    </row>
    <row r="350" spans="1:7" x14ac:dyDescent="0.3">
      <c r="A350" s="32">
        <v>344</v>
      </c>
      <c r="B350" s="42" t="s">
        <v>75</v>
      </c>
      <c r="C350" s="32" t="str">
        <f>_xlfn.XLOOKUP(Table610111213[[#This Row],[Category No]],Table8[Category No],Table8[Chapter List],FALSE)</f>
        <v>Early Medieval India's Major Dynasties Part 2 - (750 - 1000)CE</v>
      </c>
      <c r="D350" s="34" t="s">
        <v>2136</v>
      </c>
      <c r="E350" s="34" t="s">
        <v>697</v>
      </c>
      <c r="F350" s="34" t="s">
        <v>2255</v>
      </c>
      <c r="G350" s="57"/>
    </row>
    <row r="351" spans="1:7" x14ac:dyDescent="0.3">
      <c r="A351" s="32">
        <v>345</v>
      </c>
      <c r="B351" s="42" t="s">
        <v>75</v>
      </c>
      <c r="C351" s="32" t="str">
        <f>_xlfn.XLOOKUP(Table610111213[[#This Row],[Category No]],Table8[Category No],Table8[Chapter List],FALSE)</f>
        <v>Early Medieval India's Major Dynasties Part 2 - (750 - 1000)CE</v>
      </c>
      <c r="D351" s="34" t="s">
        <v>2153</v>
      </c>
      <c r="E351" s="34" t="s">
        <v>695</v>
      </c>
      <c r="F351" s="34" t="s">
        <v>2154</v>
      </c>
      <c r="G351" s="57"/>
    </row>
    <row r="352" spans="1:7" x14ac:dyDescent="0.3">
      <c r="A352" s="32">
        <v>346</v>
      </c>
      <c r="B352" s="42" t="s">
        <v>75</v>
      </c>
      <c r="C352" s="32" t="str">
        <f>_xlfn.XLOOKUP(Table610111213[[#This Row],[Category No]],Table8[Category No],Table8[Chapter List],FALSE)</f>
        <v>Early Medieval India's Major Dynasties Part 2 - (750 - 1000)CE</v>
      </c>
      <c r="D352" s="34" t="s">
        <v>2137</v>
      </c>
      <c r="E352" s="34" t="s">
        <v>695</v>
      </c>
      <c r="F352" s="34" t="s">
        <v>2129</v>
      </c>
      <c r="G352" s="57"/>
    </row>
    <row r="353" spans="1:7" x14ac:dyDescent="0.3">
      <c r="A353" s="32">
        <v>347</v>
      </c>
      <c r="B353" s="42" t="s">
        <v>75</v>
      </c>
      <c r="C353" s="32" t="str">
        <f>_xlfn.XLOOKUP(Table610111213[[#This Row],[Category No]],Table8[Category No],Table8[Chapter List],FALSE)</f>
        <v>Early Medieval India's Major Dynasties Part 2 - (750 - 1000)CE</v>
      </c>
      <c r="D353" s="34" t="s">
        <v>2139</v>
      </c>
      <c r="E353" s="34" t="s">
        <v>695</v>
      </c>
      <c r="F353" s="34" t="s">
        <v>2140</v>
      </c>
      <c r="G353" s="57"/>
    </row>
    <row r="354" spans="1:7" x14ac:dyDescent="0.3">
      <c r="A354" s="32">
        <v>348</v>
      </c>
      <c r="B354" s="42" t="s">
        <v>75</v>
      </c>
      <c r="C354" s="32" t="str">
        <f>_xlfn.XLOOKUP(Table610111213[[#This Row],[Category No]],Table8[Category No],Table8[Chapter List],FALSE)</f>
        <v>Early Medieval India's Major Dynasties Part 2 - (750 - 1000)CE</v>
      </c>
      <c r="D354" s="34" t="s">
        <v>2141</v>
      </c>
      <c r="E354" s="34" t="s">
        <v>695</v>
      </c>
      <c r="F354" s="34" t="s">
        <v>2144</v>
      </c>
      <c r="G354" s="57"/>
    </row>
    <row r="355" spans="1:7" x14ac:dyDescent="0.3">
      <c r="A355" s="32">
        <v>349</v>
      </c>
      <c r="B355" s="42" t="s">
        <v>75</v>
      </c>
      <c r="C355" s="32" t="str">
        <f>_xlfn.XLOOKUP(Table610111213[[#This Row],[Category No]],Table8[Category No],Table8[Chapter List],FALSE)</f>
        <v>Early Medieval India's Major Dynasties Part 2 - (750 - 1000)CE</v>
      </c>
      <c r="D355" s="34" t="s">
        <v>2146</v>
      </c>
      <c r="E355" s="34" t="s">
        <v>695</v>
      </c>
      <c r="F355" s="34" t="s">
        <v>2147</v>
      </c>
      <c r="G355" s="57"/>
    </row>
    <row r="356" spans="1:7" x14ac:dyDescent="0.3">
      <c r="A356" s="32">
        <v>350</v>
      </c>
      <c r="B356" s="42" t="s">
        <v>75</v>
      </c>
      <c r="C356" s="32" t="str">
        <f>_xlfn.XLOOKUP(Table610111213[[#This Row],[Category No]],Table8[Category No],Table8[Chapter List],FALSE)</f>
        <v>Early Medieval India's Major Dynasties Part 2 - (750 - 1000)CE</v>
      </c>
      <c r="D356" s="34" t="s">
        <v>2142</v>
      </c>
      <c r="E356" s="34" t="s">
        <v>695</v>
      </c>
      <c r="F356" s="34" t="s">
        <v>2143</v>
      </c>
      <c r="G356" s="57"/>
    </row>
    <row r="357" spans="1:7" x14ac:dyDescent="0.3">
      <c r="A357" s="32">
        <v>351</v>
      </c>
      <c r="B357" s="42" t="s">
        <v>75</v>
      </c>
      <c r="C357" s="32" t="str">
        <f>_xlfn.XLOOKUP(Table610111213[[#This Row],[Category No]],Table8[Category No],Table8[Chapter List],FALSE)</f>
        <v>Early Medieval India's Major Dynasties Part 2 - (750 - 1000)CE</v>
      </c>
      <c r="D357" s="34" t="s">
        <v>2145</v>
      </c>
      <c r="E357" s="34" t="s">
        <v>695</v>
      </c>
      <c r="F357" s="34" t="s">
        <v>2148</v>
      </c>
      <c r="G357" s="57"/>
    </row>
    <row r="358" spans="1:7" x14ac:dyDescent="0.3">
      <c r="A358" s="32">
        <v>352</v>
      </c>
      <c r="B358" s="42" t="s">
        <v>75</v>
      </c>
      <c r="C358" s="32" t="str">
        <f>_xlfn.XLOOKUP(Table610111213[[#This Row],[Category No]],Table8[Category No],Table8[Chapter List],FALSE)</f>
        <v>Early Medieval India's Major Dynasties Part 2 - (750 - 1000)CE</v>
      </c>
      <c r="D358" s="34" t="s">
        <v>2150</v>
      </c>
      <c r="E358" s="34" t="s">
        <v>695</v>
      </c>
      <c r="F358" s="34" t="s">
        <v>2156</v>
      </c>
      <c r="G358" s="57"/>
    </row>
    <row r="359" spans="1:7" x14ac:dyDescent="0.3">
      <c r="A359" s="32">
        <v>353</v>
      </c>
      <c r="B359" s="42" t="s">
        <v>75</v>
      </c>
      <c r="C359" s="32" t="str">
        <f>_xlfn.XLOOKUP(Table610111213[[#This Row],[Category No]],Table8[Category No],Table8[Chapter List],FALSE)</f>
        <v>Early Medieval India's Major Dynasties Part 2 - (750 - 1000)CE</v>
      </c>
      <c r="D359" s="34" t="s">
        <v>2151</v>
      </c>
      <c r="E359" s="34" t="s">
        <v>695</v>
      </c>
      <c r="F359" s="34" t="s">
        <v>2156</v>
      </c>
      <c r="G359" s="57"/>
    </row>
    <row r="360" spans="1:7" x14ac:dyDescent="0.3">
      <c r="A360" s="32">
        <v>354</v>
      </c>
      <c r="B360" s="42" t="s">
        <v>75</v>
      </c>
      <c r="C360" s="32" t="str">
        <f>_xlfn.XLOOKUP(Table610111213[[#This Row],[Category No]],Table8[Category No],Table8[Chapter List],FALSE)</f>
        <v>Early Medieval India's Major Dynasties Part 2 - (750 - 1000)CE</v>
      </c>
      <c r="D360" s="34" t="s">
        <v>2152</v>
      </c>
      <c r="E360" s="34" t="s">
        <v>695</v>
      </c>
      <c r="F360" s="34" t="s">
        <v>2156</v>
      </c>
      <c r="G360" s="57"/>
    </row>
    <row r="361" spans="1:7" x14ac:dyDescent="0.3">
      <c r="A361" s="32">
        <v>355</v>
      </c>
      <c r="B361" s="42" t="s">
        <v>75</v>
      </c>
      <c r="C361" s="32" t="str">
        <f>_xlfn.XLOOKUP(Table610111213[[#This Row],[Category No]],Table8[Category No],Table8[Chapter List],FALSE)</f>
        <v>Early Medieval India's Major Dynasties Part 2 - (750 - 1000)CE</v>
      </c>
      <c r="D361" s="34" t="s">
        <v>2155</v>
      </c>
      <c r="E361" s="34" t="s">
        <v>697</v>
      </c>
      <c r="F361" s="34" t="s">
        <v>2157</v>
      </c>
      <c r="G361" s="63" t="s">
        <v>2164</v>
      </c>
    </row>
    <row r="362" spans="1:7" x14ac:dyDescent="0.3">
      <c r="A362" s="32">
        <v>356</v>
      </c>
      <c r="B362" s="42" t="s">
        <v>75</v>
      </c>
      <c r="C362" s="32" t="str">
        <f>_xlfn.XLOOKUP(Table610111213[[#This Row],[Category No]],Table8[Category No],Table8[Chapter List],FALSE)</f>
        <v>Early Medieval India's Major Dynasties Part 2 - (750 - 1000)CE</v>
      </c>
      <c r="D362" s="34" t="s">
        <v>2158</v>
      </c>
      <c r="E362" s="34" t="s">
        <v>697</v>
      </c>
      <c r="F362" s="34" t="s">
        <v>2159</v>
      </c>
      <c r="G362" s="57"/>
    </row>
    <row r="363" spans="1:7" x14ac:dyDescent="0.3">
      <c r="A363" s="32">
        <v>357</v>
      </c>
      <c r="B363" s="42" t="s">
        <v>75</v>
      </c>
      <c r="C363" s="32" t="str">
        <f>_xlfn.XLOOKUP(Table610111213[[#This Row],[Category No]],Table8[Category No],Table8[Chapter List],FALSE)</f>
        <v>Early Medieval India's Major Dynasties Part 2 - (750 - 1000)CE</v>
      </c>
      <c r="D363" s="34" t="s">
        <v>1692</v>
      </c>
      <c r="E363" s="34" t="s">
        <v>697</v>
      </c>
      <c r="F363" s="34" t="s">
        <v>1693</v>
      </c>
      <c r="G363" s="57"/>
    </row>
    <row r="364" spans="1:7" x14ac:dyDescent="0.3">
      <c r="A364" s="32">
        <v>358</v>
      </c>
      <c r="B364" s="42" t="s">
        <v>75</v>
      </c>
      <c r="C364" s="32" t="str">
        <f>_xlfn.XLOOKUP(Table610111213[[#This Row],[Category No]],Table8[Category No],Table8[Chapter List],FALSE)</f>
        <v>Early Medieval India's Major Dynasties Part 2 - (750 - 1000)CE</v>
      </c>
      <c r="D364" s="34" t="s">
        <v>2160</v>
      </c>
      <c r="E364" s="34" t="s">
        <v>697</v>
      </c>
      <c r="F364" s="34" t="s">
        <v>2161</v>
      </c>
      <c r="G364" s="57"/>
    </row>
    <row r="365" spans="1:7" x14ac:dyDescent="0.3">
      <c r="A365" s="32">
        <v>359</v>
      </c>
      <c r="B365" s="42" t="s">
        <v>75</v>
      </c>
      <c r="C365" s="32" t="str">
        <f>_xlfn.XLOOKUP(Table610111213[[#This Row],[Category No]],Table8[Category No],Table8[Chapter List],FALSE)</f>
        <v>Early Medieval India's Major Dynasties Part 2 - (750 - 1000)CE</v>
      </c>
      <c r="D365" s="34" t="s">
        <v>2162</v>
      </c>
      <c r="E365" s="34" t="s">
        <v>697</v>
      </c>
      <c r="F365" s="34" t="s">
        <v>2163</v>
      </c>
      <c r="G365" s="57" t="s">
        <v>2204</v>
      </c>
    </row>
    <row r="366" spans="1:7" x14ac:dyDescent="0.3">
      <c r="A366" s="32">
        <v>360</v>
      </c>
      <c r="B366" s="42" t="s">
        <v>75</v>
      </c>
      <c r="C366" s="32" t="str">
        <f>_xlfn.XLOOKUP(Table610111213[[#This Row],[Category No]],Table8[Category No],Table8[Chapter List],FALSE)</f>
        <v>Early Medieval India's Major Dynasties Part 2 - (750 - 1000)CE</v>
      </c>
      <c r="D366" s="34" t="s">
        <v>2208</v>
      </c>
      <c r="E366" s="34" t="s">
        <v>695</v>
      </c>
      <c r="F366" s="34" t="s">
        <v>2212</v>
      </c>
      <c r="G366" s="57"/>
    </row>
    <row r="367" spans="1:7" x14ac:dyDescent="0.3">
      <c r="A367" s="32">
        <v>361</v>
      </c>
      <c r="B367" s="42" t="s">
        <v>75</v>
      </c>
      <c r="C367" s="32" t="str">
        <f>_xlfn.XLOOKUP(Table610111213[[#This Row],[Category No]],Table8[Category No],Table8[Chapter List],FALSE)</f>
        <v>Early Medieval India's Major Dynasties Part 2 - (750 - 1000)CE</v>
      </c>
      <c r="D367" s="34" t="s">
        <v>2209</v>
      </c>
      <c r="E367" s="34" t="s">
        <v>695</v>
      </c>
      <c r="F367" s="34" t="s">
        <v>2210</v>
      </c>
      <c r="G367" s="57"/>
    </row>
    <row r="368" spans="1:7" x14ac:dyDescent="0.3">
      <c r="A368" s="32">
        <v>362</v>
      </c>
      <c r="B368" s="42" t="s">
        <v>75</v>
      </c>
      <c r="C368" s="32" t="str">
        <f>_xlfn.XLOOKUP(Table610111213[[#This Row],[Category No]],Table8[Category No],Table8[Chapter List],FALSE)</f>
        <v>Early Medieval India's Major Dynasties Part 2 - (750 - 1000)CE</v>
      </c>
      <c r="D368" s="34" t="s">
        <v>2211</v>
      </c>
      <c r="E368" s="34" t="s">
        <v>695</v>
      </c>
      <c r="F368" s="34" t="s">
        <v>2213</v>
      </c>
      <c r="G368" s="57"/>
    </row>
    <row r="369" spans="1:7" x14ac:dyDescent="0.3">
      <c r="A369" s="32">
        <v>363</v>
      </c>
      <c r="B369" s="42" t="s">
        <v>75</v>
      </c>
      <c r="C369" s="32" t="str">
        <f>_xlfn.XLOOKUP(Table610111213[[#This Row],[Category No]],Table8[Category No],Table8[Chapter List],FALSE)</f>
        <v>Early Medieval India's Major Dynasties Part 2 - (750 - 1000)CE</v>
      </c>
      <c r="D369" s="34" t="s">
        <v>2214</v>
      </c>
      <c r="E369" s="34" t="s">
        <v>695</v>
      </c>
      <c r="F369" s="34" t="s">
        <v>2213</v>
      </c>
      <c r="G369" s="57"/>
    </row>
    <row r="370" spans="1:7" x14ac:dyDescent="0.3">
      <c r="A370" s="32">
        <v>364</v>
      </c>
      <c r="B370" s="42" t="s">
        <v>75</v>
      </c>
      <c r="C370" s="32" t="str">
        <f>_xlfn.XLOOKUP(Table610111213[[#This Row],[Category No]],Table8[Category No],Table8[Chapter List],FALSE)</f>
        <v>Early Medieval India's Major Dynasties Part 2 - (750 - 1000)CE</v>
      </c>
      <c r="D370" s="34" t="s">
        <v>2249</v>
      </c>
      <c r="E370" s="34" t="s">
        <v>695</v>
      </c>
      <c r="F370" s="34" t="s">
        <v>2217</v>
      </c>
      <c r="G370" s="57"/>
    </row>
    <row r="371" spans="1:7" x14ac:dyDescent="0.3">
      <c r="A371" s="32">
        <v>365</v>
      </c>
      <c r="B371" s="42" t="s">
        <v>75</v>
      </c>
      <c r="C371" s="32" t="str">
        <f>_xlfn.XLOOKUP(Table610111213[[#This Row],[Category No]],Table8[Category No],Table8[Chapter List],FALSE)</f>
        <v>Early Medieval India's Major Dynasties Part 2 - (750 - 1000)CE</v>
      </c>
      <c r="D371" s="34" t="s">
        <v>2218</v>
      </c>
      <c r="E371" s="34" t="s">
        <v>697</v>
      </c>
      <c r="F371" s="34" t="s">
        <v>2219</v>
      </c>
      <c r="G371" s="57"/>
    </row>
    <row r="372" spans="1:7" x14ac:dyDescent="0.3">
      <c r="A372" s="32">
        <v>366</v>
      </c>
      <c r="B372" s="42" t="s">
        <v>75</v>
      </c>
      <c r="C372" s="32" t="str">
        <f>_xlfn.XLOOKUP(Table610111213[[#This Row],[Category No]],Table8[Category No],Table8[Chapter List],FALSE)</f>
        <v>Early Medieval India's Major Dynasties Part 2 - (750 - 1000)CE</v>
      </c>
      <c r="D372" s="34" t="s">
        <v>2220</v>
      </c>
      <c r="E372" s="34" t="s">
        <v>695</v>
      </c>
      <c r="F372" s="34" t="s">
        <v>2254</v>
      </c>
      <c r="G372" s="57"/>
    </row>
    <row r="373" spans="1:7" x14ac:dyDescent="0.3">
      <c r="A373" s="32">
        <v>367</v>
      </c>
      <c r="B373" s="42" t="s">
        <v>75</v>
      </c>
      <c r="C373" s="32" t="str">
        <f>_xlfn.XLOOKUP(Table610111213[[#This Row],[Category No]],Table8[Category No],Table8[Chapter List],FALSE)</f>
        <v>Early Medieval India's Major Dynasties Part 2 - (750 - 1000)CE</v>
      </c>
      <c r="D373" s="34" t="s">
        <v>2215</v>
      </c>
      <c r="E373" s="34" t="s">
        <v>695</v>
      </c>
      <c r="F373" s="34" t="s">
        <v>2213</v>
      </c>
      <c r="G373" s="57"/>
    </row>
    <row r="374" spans="1:7" x14ac:dyDescent="0.3">
      <c r="A374" s="32">
        <v>368</v>
      </c>
      <c r="B374" s="42" t="s">
        <v>75</v>
      </c>
      <c r="C374" s="32" t="str">
        <f>_xlfn.XLOOKUP(Table610111213[[#This Row],[Category No]],Table8[Category No],Table8[Chapter List],FALSE)</f>
        <v>Early Medieval India's Major Dynasties Part 2 - (750 - 1000)CE</v>
      </c>
      <c r="D374" s="34" t="s">
        <v>2225</v>
      </c>
      <c r="E374" s="34" t="s">
        <v>695</v>
      </c>
      <c r="F374" s="34" t="s">
        <v>2226</v>
      </c>
      <c r="G374" s="57"/>
    </row>
    <row r="375" spans="1:7" x14ac:dyDescent="0.3">
      <c r="A375" s="32">
        <v>369</v>
      </c>
      <c r="B375" s="42" t="s">
        <v>75</v>
      </c>
      <c r="C375" s="32" t="str">
        <f>_xlfn.XLOOKUP(Table610111213[[#This Row],[Category No]],Table8[Category No],Table8[Chapter List],FALSE)</f>
        <v>Early Medieval India's Major Dynasties Part 2 - (750 - 1000)CE</v>
      </c>
      <c r="D375" s="34" t="s">
        <v>2216</v>
      </c>
      <c r="E375" s="34" t="s">
        <v>695</v>
      </c>
      <c r="F375" s="34" t="s">
        <v>2213</v>
      </c>
      <c r="G375" s="57" t="s">
        <v>2244</v>
      </c>
    </row>
    <row r="376" spans="1:7" x14ac:dyDescent="0.3">
      <c r="A376" s="32">
        <v>370</v>
      </c>
      <c r="B376" s="42" t="s">
        <v>75</v>
      </c>
      <c r="C376" s="32" t="str">
        <f>_xlfn.XLOOKUP(Table610111213[[#This Row],[Category No]],Table8[Category No],Table8[Chapter List],FALSE)</f>
        <v>Early Medieval India's Major Dynasties Part 2 - (750 - 1000)CE</v>
      </c>
      <c r="D376" s="34" t="s">
        <v>2245</v>
      </c>
      <c r="E376" s="34" t="s">
        <v>695</v>
      </c>
      <c r="F376" s="34" t="s">
        <v>2246</v>
      </c>
      <c r="G376" s="57"/>
    </row>
    <row r="377" spans="1:7" x14ac:dyDescent="0.3">
      <c r="A377" s="32">
        <v>371</v>
      </c>
      <c r="B377" s="42" t="s">
        <v>75</v>
      </c>
      <c r="C377" s="32" t="str">
        <f>_xlfn.XLOOKUP(Table610111213[[#This Row],[Category No]],Table8[Category No],Table8[Chapter List],FALSE)</f>
        <v>Early Medieval India's Major Dynasties Part 2 - (750 - 1000)CE</v>
      </c>
      <c r="D377" s="34" t="s">
        <v>2248</v>
      </c>
      <c r="E377" s="34" t="s">
        <v>695</v>
      </c>
      <c r="F377" s="34" t="s">
        <v>1633</v>
      </c>
      <c r="G377" s="57"/>
    </row>
    <row r="378" spans="1:7" x14ac:dyDescent="0.3">
      <c r="A378" s="32">
        <v>372</v>
      </c>
      <c r="B378" s="42" t="s">
        <v>75</v>
      </c>
      <c r="C378" s="32" t="str">
        <f>_xlfn.XLOOKUP(Table610111213[[#This Row],[Category No]],Table8[Category No],Table8[Chapter List],FALSE)</f>
        <v>Early Medieval India's Major Dynasties Part 2 - (750 - 1000)CE</v>
      </c>
      <c r="D378" s="34" t="s">
        <v>1897</v>
      </c>
      <c r="E378" s="34" t="s">
        <v>695</v>
      </c>
      <c r="F378" s="34" t="s">
        <v>2247</v>
      </c>
      <c r="G378" s="57"/>
    </row>
    <row r="379" spans="1:7" x14ac:dyDescent="0.3">
      <c r="A379" s="32">
        <v>373</v>
      </c>
      <c r="B379" s="42" t="s">
        <v>75</v>
      </c>
      <c r="C379" s="32" t="str">
        <f>_xlfn.XLOOKUP(Table610111213[[#This Row],[Category No]],Table8[Category No],Table8[Chapter List],FALSE)</f>
        <v>Early Medieval India's Major Dynasties Part 2 - (750 - 1000)CE</v>
      </c>
      <c r="D379" s="34" t="s">
        <v>2250</v>
      </c>
      <c r="E379" s="34" t="s">
        <v>695</v>
      </c>
      <c r="F379" s="34" t="s">
        <v>2247</v>
      </c>
      <c r="G379" s="57"/>
    </row>
    <row r="380" spans="1:7" x14ac:dyDescent="0.3">
      <c r="A380" s="32">
        <v>374</v>
      </c>
      <c r="B380" s="42" t="s">
        <v>75</v>
      </c>
      <c r="C380" s="32" t="str">
        <f>_xlfn.XLOOKUP(Table610111213[[#This Row],[Category No]],Table8[Category No],Table8[Chapter List],FALSE)</f>
        <v>Early Medieval India's Major Dynasties Part 2 - (750 - 1000)CE</v>
      </c>
      <c r="D380" s="34" t="s">
        <v>2249</v>
      </c>
      <c r="E380" s="34" t="s">
        <v>695</v>
      </c>
      <c r="F380" s="34" t="s">
        <v>2251</v>
      </c>
      <c r="G380" s="57"/>
    </row>
    <row r="381" spans="1:7" x14ac:dyDescent="0.3">
      <c r="A381" s="32">
        <v>375</v>
      </c>
      <c r="B381" s="42" t="s">
        <v>75</v>
      </c>
      <c r="C381" s="32" t="str">
        <f>_xlfn.XLOOKUP(Table610111213[[#This Row],[Category No]],Table8[Category No],Table8[Chapter List],FALSE)</f>
        <v>Early Medieval India's Major Dynasties Part 2 - (750 - 1000)CE</v>
      </c>
      <c r="D381" s="34" t="s">
        <v>2252</v>
      </c>
      <c r="E381" s="34" t="s">
        <v>697</v>
      </c>
      <c r="F381" s="34" t="s">
        <v>2253</v>
      </c>
      <c r="G381" s="57"/>
    </row>
    <row r="382" spans="1:7" x14ac:dyDescent="0.3">
      <c r="A382" s="32">
        <v>376</v>
      </c>
      <c r="B382" s="42" t="s">
        <v>75</v>
      </c>
      <c r="C382" s="32" t="str">
        <f>_xlfn.XLOOKUP(Table610111213[[#This Row],[Category No]],Table8[Category No],Table8[Chapter List],FALSE)</f>
        <v>Early Medieval India's Major Dynasties Part 2 - (750 - 1000)CE</v>
      </c>
      <c r="D382" s="34" t="s">
        <v>2532</v>
      </c>
      <c r="E382" s="34" t="s">
        <v>695</v>
      </c>
      <c r="F382" s="34" t="s">
        <v>2256</v>
      </c>
      <c r="G382" s="57"/>
    </row>
    <row r="383" spans="1:7" x14ac:dyDescent="0.3">
      <c r="A383" s="32">
        <v>377</v>
      </c>
      <c r="B383" s="42" t="s">
        <v>75</v>
      </c>
      <c r="C383" s="32" t="str">
        <f>_xlfn.XLOOKUP(Table610111213[[#This Row],[Category No]],Table8[Category No],Table8[Chapter List],FALSE)</f>
        <v>Early Medieval India's Major Dynasties Part 2 - (750 - 1000)CE</v>
      </c>
      <c r="D383" s="34" t="s">
        <v>2257</v>
      </c>
      <c r="E383" s="34" t="s">
        <v>695</v>
      </c>
      <c r="F383" s="34" t="s">
        <v>2258</v>
      </c>
      <c r="G383" s="57"/>
    </row>
    <row r="384" spans="1:7" x14ac:dyDescent="0.3">
      <c r="A384" s="32">
        <v>378</v>
      </c>
      <c r="B384" s="42" t="s">
        <v>75</v>
      </c>
      <c r="C384" s="32" t="str">
        <f>_xlfn.XLOOKUP(Table610111213[[#This Row],[Category No]],Table8[Category No],Table8[Chapter List],FALSE)</f>
        <v>Early Medieval India's Major Dynasties Part 2 - (750 - 1000)CE</v>
      </c>
      <c r="D384" s="34" t="s">
        <v>2259</v>
      </c>
      <c r="E384" s="34" t="s">
        <v>695</v>
      </c>
      <c r="F384" s="34" t="s">
        <v>2260</v>
      </c>
      <c r="G384" s="57"/>
    </row>
    <row r="385" spans="1:7" x14ac:dyDescent="0.3">
      <c r="A385" s="32">
        <v>379</v>
      </c>
      <c r="B385" s="42" t="s">
        <v>75</v>
      </c>
      <c r="C385" s="32" t="str">
        <f>_xlfn.XLOOKUP(Table610111213[[#This Row],[Category No]],Table8[Category No],Table8[Chapter List],FALSE)</f>
        <v>Early Medieval India's Major Dynasties Part 2 - (750 - 1000)CE</v>
      </c>
      <c r="D385" s="34" t="s">
        <v>2278</v>
      </c>
      <c r="E385" s="34" t="s">
        <v>697</v>
      </c>
      <c r="F385" s="34" t="s">
        <v>2280</v>
      </c>
      <c r="G385" s="57"/>
    </row>
    <row r="386" spans="1:7" x14ac:dyDescent="0.3">
      <c r="A386" s="32">
        <v>380</v>
      </c>
      <c r="B386" s="42" t="s">
        <v>75</v>
      </c>
      <c r="C386" s="32" t="str">
        <f>_xlfn.XLOOKUP(Table610111213[[#This Row],[Category No]],Table8[Category No],Table8[Chapter List],FALSE)</f>
        <v>Early Medieval India's Major Dynasties Part 2 - (750 - 1000)CE</v>
      </c>
      <c r="D386" s="34" t="s">
        <v>2279</v>
      </c>
      <c r="E386" s="34" t="s">
        <v>697</v>
      </c>
      <c r="F386" s="34" t="s">
        <v>2281</v>
      </c>
      <c r="G386" s="57"/>
    </row>
    <row r="387" spans="1:7" x14ac:dyDescent="0.3">
      <c r="A387" s="32">
        <v>381</v>
      </c>
      <c r="B387" s="42" t="s">
        <v>76</v>
      </c>
      <c r="C387" s="32" t="str">
        <f>_xlfn.XLOOKUP(Table610111213[[#This Row],[Category No]],Table8[Category No],Table8[Chapter List],FALSE)</f>
        <v>Early Medieval India's Major Dynasties Part 3 - (1000 - 1200) CE</v>
      </c>
      <c r="D387" s="34" t="s">
        <v>2308</v>
      </c>
      <c r="E387" s="34" t="s">
        <v>695</v>
      </c>
      <c r="F387" s="34" t="s">
        <v>2309</v>
      </c>
      <c r="G387" s="57" t="s">
        <v>2307</v>
      </c>
    </row>
    <row r="388" spans="1:7" x14ac:dyDescent="0.3">
      <c r="A388" s="32">
        <v>382</v>
      </c>
      <c r="B388" s="42" t="s">
        <v>76</v>
      </c>
      <c r="C388" s="32" t="str">
        <f>_xlfn.XLOOKUP(Table610111213[[#This Row],[Category No]],Table8[Category No],Table8[Chapter List],FALSE)</f>
        <v>Early Medieval India's Major Dynasties Part 3 - (1000 - 1200) CE</v>
      </c>
      <c r="D388" s="34" t="s">
        <v>2310</v>
      </c>
      <c r="E388" s="34" t="s">
        <v>695</v>
      </c>
      <c r="F388" s="34" t="s">
        <v>2309</v>
      </c>
      <c r="G388" s="57"/>
    </row>
    <row r="389" spans="1:7" x14ac:dyDescent="0.3">
      <c r="A389" s="32">
        <v>383</v>
      </c>
      <c r="B389" s="42" t="s">
        <v>76</v>
      </c>
      <c r="C389" s="32" t="str">
        <f>_xlfn.XLOOKUP(Table610111213[[#This Row],[Category No]],Table8[Category No],Table8[Chapter List],FALSE)</f>
        <v>Early Medieval India's Major Dynasties Part 3 - (1000 - 1200) CE</v>
      </c>
      <c r="D389" s="34" t="s">
        <v>2132</v>
      </c>
      <c r="E389" s="34" t="s">
        <v>697</v>
      </c>
      <c r="F389" s="34" t="s">
        <v>2311</v>
      </c>
      <c r="G389" s="57"/>
    </row>
    <row r="390" spans="1:7" x14ac:dyDescent="0.3">
      <c r="A390" s="32">
        <v>384</v>
      </c>
      <c r="B390" s="42" t="s">
        <v>76</v>
      </c>
      <c r="C390" s="32" t="str">
        <f>_xlfn.XLOOKUP(Table610111213[[#This Row],[Category No]],Table8[Category No],Table8[Chapter List],FALSE)</f>
        <v>Early Medieval India's Major Dynasties Part 3 - (1000 - 1200) CE</v>
      </c>
      <c r="D390" s="34" t="s">
        <v>2312</v>
      </c>
      <c r="E390" s="34" t="s">
        <v>697</v>
      </c>
      <c r="F390" s="34" t="s">
        <v>2314</v>
      </c>
      <c r="G390" s="57"/>
    </row>
    <row r="391" spans="1:7" x14ac:dyDescent="0.3">
      <c r="A391" s="32">
        <v>385</v>
      </c>
      <c r="B391" s="42" t="s">
        <v>76</v>
      </c>
      <c r="C391" s="32" t="str">
        <f>_xlfn.XLOOKUP(Table610111213[[#This Row],[Category No]],Table8[Category No],Table8[Chapter List],FALSE)</f>
        <v>Early Medieval India's Major Dynasties Part 3 - (1000 - 1200) CE</v>
      </c>
      <c r="D391" s="34" t="s">
        <v>2313</v>
      </c>
      <c r="E391" s="34" t="s">
        <v>697</v>
      </c>
      <c r="F391" s="34" t="s">
        <v>2314</v>
      </c>
      <c r="G391" s="57"/>
    </row>
    <row r="392" spans="1:7" x14ac:dyDescent="0.3">
      <c r="A392" s="32">
        <v>386</v>
      </c>
      <c r="B392" s="42" t="s">
        <v>76</v>
      </c>
      <c r="C392" s="32" t="str">
        <f>_xlfn.XLOOKUP(Table610111213[[#This Row],[Category No]],Table8[Category No],Table8[Chapter List],FALSE)</f>
        <v>Early Medieval India's Major Dynasties Part 3 - (1000 - 1200) CE</v>
      </c>
      <c r="D392" s="34" t="s">
        <v>2315</v>
      </c>
      <c r="E392" s="34" t="s">
        <v>695</v>
      </c>
      <c r="F392" s="34" t="s">
        <v>2309</v>
      </c>
      <c r="G392" s="57"/>
    </row>
    <row r="393" spans="1:7" x14ac:dyDescent="0.3">
      <c r="A393" s="32">
        <v>387</v>
      </c>
      <c r="B393" s="42" t="s">
        <v>76</v>
      </c>
      <c r="C393" s="32" t="str">
        <f>_xlfn.XLOOKUP(Table610111213[[#This Row],[Category No]],Table8[Category No],Table8[Chapter List],FALSE)</f>
        <v>Early Medieval India's Major Dynasties Part 3 - (1000 - 1200) CE</v>
      </c>
      <c r="D393" s="34" t="s">
        <v>2317</v>
      </c>
      <c r="E393" s="34" t="s">
        <v>695</v>
      </c>
      <c r="F393" s="34" t="s">
        <v>2316</v>
      </c>
      <c r="G393" s="57"/>
    </row>
    <row r="394" spans="1:7" x14ac:dyDescent="0.3">
      <c r="A394" s="32">
        <v>388</v>
      </c>
      <c r="B394" s="42" t="s">
        <v>76</v>
      </c>
      <c r="C394" s="32" t="str">
        <f>_xlfn.XLOOKUP(Table610111213[[#This Row],[Category No]],Table8[Category No],Table8[Chapter List],FALSE)</f>
        <v>Early Medieval India's Major Dynasties Part 3 - (1000 - 1200) CE</v>
      </c>
      <c r="D394" s="34" t="s">
        <v>2318</v>
      </c>
      <c r="E394" s="34" t="s">
        <v>695</v>
      </c>
      <c r="F394" s="34" t="s">
        <v>2309</v>
      </c>
      <c r="G394" s="57"/>
    </row>
    <row r="395" spans="1:7" x14ac:dyDescent="0.3">
      <c r="A395" s="32">
        <v>389</v>
      </c>
      <c r="B395" s="42" t="s">
        <v>76</v>
      </c>
      <c r="C395" s="32" t="str">
        <f>_xlfn.XLOOKUP(Table610111213[[#This Row],[Category No]],Table8[Category No],Table8[Chapter List],FALSE)</f>
        <v>Early Medieval India's Major Dynasties Part 3 - (1000 - 1200) CE</v>
      </c>
      <c r="D395" s="34" t="s">
        <v>2320</v>
      </c>
      <c r="E395" s="34" t="s">
        <v>697</v>
      </c>
      <c r="F395" s="34" t="s">
        <v>2321</v>
      </c>
      <c r="G395" s="57"/>
    </row>
    <row r="396" spans="1:7" x14ac:dyDescent="0.3">
      <c r="A396" s="32">
        <v>390</v>
      </c>
      <c r="B396" s="42" t="s">
        <v>76</v>
      </c>
      <c r="C396" s="32" t="str">
        <f>_xlfn.XLOOKUP(Table610111213[[#This Row],[Category No]],Table8[Category No],Table8[Chapter List],FALSE)</f>
        <v>Early Medieval India's Major Dynasties Part 3 - (1000 - 1200) CE</v>
      </c>
      <c r="D396" s="34" t="s">
        <v>1909</v>
      </c>
      <c r="E396" s="34" t="s">
        <v>697</v>
      </c>
      <c r="F396" s="34" t="s">
        <v>2321</v>
      </c>
      <c r="G396" s="57"/>
    </row>
    <row r="397" spans="1:7" x14ac:dyDescent="0.3">
      <c r="A397" s="32">
        <v>391</v>
      </c>
      <c r="B397" s="42" t="s">
        <v>76</v>
      </c>
      <c r="C397" s="32" t="str">
        <f>_xlfn.XLOOKUP(Table610111213[[#This Row],[Category No]],Table8[Category No],Table8[Chapter List],FALSE)</f>
        <v>Early Medieval India's Major Dynasties Part 3 - (1000 - 1200) CE</v>
      </c>
      <c r="D397" s="34" t="s">
        <v>1969</v>
      </c>
      <c r="E397" s="34" t="s">
        <v>697</v>
      </c>
      <c r="F397" s="34" t="s">
        <v>2321</v>
      </c>
      <c r="G397" s="57"/>
    </row>
    <row r="398" spans="1:7" x14ac:dyDescent="0.3">
      <c r="A398" s="32">
        <v>392</v>
      </c>
      <c r="B398" s="42" t="s">
        <v>76</v>
      </c>
      <c r="C398" s="32" t="str">
        <f>_xlfn.XLOOKUP(Table610111213[[#This Row],[Category No]],Table8[Category No],Table8[Chapter List],FALSE)</f>
        <v>Early Medieval India's Major Dynasties Part 3 - (1000 - 1200) CE</v>
      </c>
      <c r="D398" s="34" t="s">
        <v>2344</v>
      </c>
      <c r="E398" s="34" t="s">
        <v>695</v>
      </c>
      <c r="F398" s="34" t="s">
        <v>2352</v>
      </c>
      <c r="G398" s="57" t="s">
        <v>2365</v>
      </c>
    </row>
    <row r="399" spans="1:7" x14ac:dyDescent="0.3">
      <c r="A399" s="32">
        <v>393</v>
      </c>
      <c r="B399" s="42" t="s">
        <v>76</v>
      </c>
      <c r="C399" s="32" t="str">
        <f>_xlfn.XLOOKUP(Table610111213[[#This Row],[Category No]],Table8[Category No],Table8[Chapter List],FALSE)</f>
        <v>Early Medieval India's Major Dynasties Part 3 - (1000 - 1200) CE</v>
      </c>
      <c r="D399" s="34" t="s">
        <v>2345</v>
      </c>
      <c r="E399" s="34" t="s">
        <v>695</v>
      </c>
      <c r="F399" s="34" t="s">
        <v>2351</v>
      </c>
      <c r="G399" s="57"/>
    </row>
    <row r="400" spans="1:7" x14ac:dyDescent="0.3">
      <c r="A400" s="32">
        <v>394</v>
      </c>
      <c r="B400" s="42" t="s">
        <v>76</v>
      </c>
      <c r="C400" s="32" t="str">
        <f>_xlfn.XLOOKUP(Table610111213[[#This Row],[Category No]],Table8[Category No],Table8[Chapter List],FALSE)</f>
        <v>Early Medieval India's Major Dynasties Part 3 - (1000 - 1200) CE</v>
      </c>
      <c r="D400" s="34" t="s">
        <v>2346</v>
      </c>
      <c r="E400" s="34" t="s">
        <v>695</v>
      </c>
      <c r="F400" s="34" t="s">
        <v>2351</v>
      </c>
      <c r="G400" s="57"/>
    </row>
    <row r="401" spans="1:7" x14ac:dyDescent="0.3">
      <c r="A401" s="32">
        <v>395</v>
      </c>
      <c r="B401" s="42" t="s">
        <v>76</v>
      </c>
      <c r="C401" s="32" t="str">
        <f>_xlfn.XLOOKUP(Table610111213[[#This Row],[Category No]],Table8[Category No],Table8[Chapter List],FALSE)</f>
        <v>Early Medieval India's Major Dynasties Part 3 - (1000 - 1200) CE</v>
      </c>
      <c r="D401" s="34" t="s">
        <v>2348</v>
      </c>
      <c r="E401" s="34" t="s">
        <v>697</v>
      </c>
      <c r="F401" s="34" t="s">
        <v>2353</v>
      </c>
      <c r="G401" s="57"/>
    </row>
    <row r="402" spans="1:7" x14ac:dyDescent="0.3">
      <c r="A402" s="32">
        <v>396</v>
      </c>
      <c r="B402" s="42" t="s">
        <v>76</v>
      </c>
      <c r="C402" s="32" t="str">
        <f>_xlfn.XLOOKUP(Table610111213[[#This Row],[Category No]],Table8[Category No],Table8[Chapter List],FALSE)</f>
        <v>Early Medieval India's Major Dynasties Part 3 - (1000 - 1200) CE</v>
      </c>
      <c r="D402" s="34" t="s">
        <v>2349</v>
      </c>
      <c r="E402" s="34" t="s">
        <v>695</v>
      </c>
      <c r="F402" s="34" t="s">
        <v>2354</v>
      </c>
      <c r="G402" s="57"/>
    </row>
    <row r="403" spans="1:7" x14ac:dyDescent="0.3">
      <c r="A403" s="32">
        <v>397</v>
      </c>
      <c r="B403" s="42" t="s">
        <v>76</v>
      </c>
      <c r="C403" s="32" t="str">
        <f>_xlfn.XLOOKUP(Table610111213[[#This Row],[Category No]],Table8[Category No],Table8[Chapter List],FALSE)</f>
        <v>Early Medieval India's Major Dynasties Part 3 - (1000 - 1200) CE</v>
      </c>
      <c r="D403" s="34" t="s">
        <v>2362</v>
      </c>
      <c r="E403" s="34" t="s">
        <v>695</v>
      </c>
      <c r="F403" s="34" t="s">
        <v>2355</v>
      </c>
      <c r="G403" s="57"/>
    </row>
    <row r="404" spans="1:7" x14ac:dyDescent="0.3">
      <c r="A404" s="32">
        <v>398</v>
      </c>
      <c r="B404" s="42" t="s">
        <v>76</v>
      </c>
      <c r="C404" s="32" t="str">
        <f>_xlfn.XLOOKUP(Table610111213[[#This Row],[Category No]],Table8[Category No],Table8[Chapter List],FALSE)</f>
        <v>Early Medieval India's Major Dynasties Part 3 - (1000 - 1200) CE</v>
      </c>
      <c r="D404" s="34" t="s">
        <v>2350</v>
      </c>
      <c r="E404" s="34" t="s">
        <v>695</v>
      </c>
      <c r="F404" s="34" t="s">
        <v>2355</v>
      </c>
      <c r="G404" s="57"/>
    </row>
    <row r="405" spans="1:7" x14ac:dyDescent="0.3">
      <c r="A405" s="32">
        <v>399</v>
      </c>
      <c r="B405" s="42" t="s">
        <v>76</v>
      </c>
      <c r="C405" s="32" t="str">
        <f>_xlfn.XLOOKUP(Table610111213[[#This Row],[Category No]],Table8[Category No],Table8[Chapter List],FALSE)</f>
        <v>Early Medieval India's Major Dynasties Part 3 - (1000 - 1200) CE</v>
      </c>
      <c r="D405" s="34" t="s">
        <v>2378</v>
      </c>
      <c r="E405" s="34" t="s">
        <v>695</v>
      </c>
      <c r="F405" s="34" t="s">
        <v>2389</v>
      </c>
      <c r="G405" s="57" t="s">
        <v>2398</v>
      </c>
    </row>
    <row r="406" spans="1:7" x14ac:dyDescent="0.3">
      <c r="A406" s="32">
        <v>400</v>
      </c>
      <c r="B406" s="42" t="s">
        <v>76</v>
      </c>
      <c r="C406" s="32" t="str">
        <f>_xlfn.XLOOKUP(Table610111213[[#This Row],[Category No]],Table8[Category No],Table8[Chapter List],FALSE)</f>
        <v>Early Medieval India's Major Dynasties Part 3 - (1000 - 1200) CE</v>
      </c>
      <c r="D406" s="34" t="s">
        <v>2381</v>
      </c>
      <c r="E406" s="34" t="s">
        <v>695</v>
      </c>
      <c r="F406" s="34" t="s">
        <v>2391</v>
      </c>
      <c r="G406" s="57"/>
    </row>
    <row r="407" spans="1:7" x14ac:dyDescent="0.3">
      <c r="A407" s="32">
        <v>401</v>
      </c>
      <c r="B407" s="42" t="s">
        <v>76</v>
      </c>
      <c r="C407" s="32" t="str">
        <f>_xlfn.XLOOKUP(Table610111213[[#This Row],[Category No]],Table8[Category No],Table8[Chapter List],FALSE)</f>
        <v>Early Medieval India's Major Dynasties Part 3 - (1000 - 1200) CE</v>
      </c>
      <c r="D407" s="34" t="s">
        <v>2382</v>
      </c>
      <c r="E407" s="34" t="s">
        <v>695</v>
      </c>
      <c r="F407" s="34" t="s">
        <v>2391</v>
      </c>
      <c r="G407" s="57"/>
    </row>
    <row r="408" spans="1:7" x14ac:dyDescent="0.3">
      <c r="A408" s="32">
        <v>402</v>
      </c>
      <c r="B408" s="42" t="s">
        <v>76</v>
      </c>
      <c r="C408" s="32" t="str">
        <f>_xlfn.XLOOKUP(Table610111213[[#This Row],[Category No]],Table8[Category No],Table8[Chapter List],FALSE)</f>
        <v>Early Medieval India's Major Dynasties Part 3 - (1000 - 1200) CE</v>
      </c>
      <c r="D408" s="34" t="s">
        <v>2383</v>
      </c>
      <c r="E408" s="34" t="s">
        <v>695</v>
      </c>
      <c r="F408" s="34" t="s">
        <v>2391</v>
      </c>
      <c r="G408" s="57"/>
    </row>
    <row r="409" spans="1:7" x14ac:dyDescent="0.3">
      <c r="A409" s="32">
        <v>403</v>
      </c>
      <c r="B409" s="42" t="s">
        <v>76</v>
      </c>
      <c r="C409" s="32" t="str">
        <f>_xlfn.XLOOKUP(Table610111213[[#This Row],[Category No]],Table8[Category No],Table8[Chapter List],FALSE)</f>
        <v>Early Medieval India's Major Dynasties Part 3 - (1000 - 1200) CE</v>
      </c>
      <c r="D409" s="34" t="s">
        <v>2384</v>
      </c>
      <c r="E409" s="34" t="s">
        <v>695</v>
      </c>
      <c r="F409" s="34" t="s">
        <v>2391</v>
      </c>
      <c r="G409" s="57"/>
    </row>
    <row r="410" spans="1:7" x14ac:dyDescent="0.3">
      <c r="A410" s="32">
        <v>404</v>
      </c>
      <c r="B410" s="42" t="s">
        <v>76</v>
      </c>
      <c r="C410" s="32" t="str">
        <f>_xlfn.XLOOKUP(Table610111213[[#This Row],[Category No]],Table8[Category No],Table8[Chapter List],FALSE)</f>
        <v>Early Medieval India's Major Dynasties Part 3 - (1000 - 1200) CE</v>
      </c>
      <c r="D410" s="34" t="s">
        <v>2385</v>
      </c>
      <c r="E410" s="34" t="s">
        <v>695</v>
      </c>
      <c r="F410" s="34" t="s">
        <v>2392</v>
      </c>
      <c r="G410" s="57"/>
    </row>
    <row r="411" spans="1:7" x14ac:dyDescent="0.3">
      <c r="A411" s="32">
        <v>405</v>
      </c>
      <c r="B411" s="42" t="s">
        <v>76</v>
      </c>
      <c r="C411" s="32" t="str">
        <f>_xlfn.XLOOKUP(Table610111213[[#This Row],[Category No]],Table8[Category No],Table8[Chapter List],FALSE)</f>
        <v>Early Medieval India's Major Dynasties Part 3 - (1000 - 1200) CE</v>
      </c>
      <c r="D411" s="34" t="s">
        <v>2388</v>
      </c>
      <c r="E411" s="34" t="s">
        <v>697</v>
      </c>
      <c r="F411" s="34" t="s">
        <v>2393</v>
      </c>
      <c r="G411" s="57"/>
    </row>
    <row r="412" spans="1:7" x14ac:dyDescent="0.3">
      <c r="A412" s="32">
        <v>406</v>
      </c>
      <c r="B412" s="42" t="s">
        <v>76</v>
      </c>
      <c r="C412" s="32" t="str">
        <f>_xlfn.XLOOKUP(Table610111213[[#This Row],[Category No]],Table8[Category No],Table8[Chapter List],FALSE)</f>
        <v>Early Medieval India's Major Dynasties Part 3 - (1000 - 1200) CE</v>
      </c>
      <c r="D412" s="34" t="s">
        <v>2376</v>
      </c>
      <c r="E412" s="34" t="s">
        <v>695</v>
      </c>
      <c r="F412" s="34" t="s">
        <v>2390</v>
      </c>
      <c r="G412" s="57"/>
    </row>
    <row r="413" spans="1:7" x14ac:dyDescent="0.3">
      <c r="A413" s="32">
        <v>407</v>
      </c>
      <c r="B413" s="42" t="s">
        <v>76</v>
      </c>
      <c r="C413" s="32" t="str">
        <f>_xlfn.XLOOKUP(Table610111213[[#This Row],[Category No]],Table8[Category No],Table8[Chapter List],FALSE)</f>
        <v>Early Medieval India's Major Dynasties Part 3 - (1000 - 1200) CE</v>
      </c>
      <c r="D413" s="34" t="s">
        <v>2386</v>
      </c>
      <c r="E413" s="34" t="s">
        <v>695</v>
      </c>
      <c r="F413" s="34" t="s">
        <v>2395</v>
      </c>
      <c r="G413" s="57"/>
    </row>
    <row r="414" spans="1:7" x14ac:dyDescent="0.3">
      <c r="A414" s="32">
        <v>408</v>
      </c>
      <c r="B414" s="42" t="s">
        <v>76</v>
      </c>
      <c r="C414" s="32" t="str">
        <f>_xlfn.XLOOKUP(Table610111213[[#This Row],[Category No]],Table8[Category No],Table8[Chapter List],FALSE)</f>
        <v>Early Medieval India's Major Dynasties Part 3 - (1000 - 1200) CE</v>
      </c>
      <c r="D414" s="34" t="s">
        <v>2387</v>
      </c>
      <c r="E414" s="34" t="s">
        <v>695</v>
      </c>
      <c r="F414" s="34" t="s">
        <v>2394</v>
      </c>
      <c r="G414" s="57"/>
    </row>
    <row r="415" spans="1:7" x14ac:dyDescent="0.3">
      <c r="A415" s="32">
        <v>409</v>
      </c>
      <c r="B415" s="42" t="s">
        <v>76</v>
      </c>
      <c r="C415" s="32" t="str">
        <f>_xlfn.XLOOKUP(Table610111213[[#This Row],[Category No]],Table8[Category No],Table8[Chapter List],FALSE)</f>
        <v>Early Medieval India's Major Dynasties Part 3 - (1000 - 1200) CE</v>
      </c>
      <c r="D415" s="34" t="s">
        <v>2421</v>
      </c>
      <c r="E415" s="34" t="s">
        <v>695</v>
      </c>
      <c r="F415" s="34" t="s">
        <v>2512</v>
      </c>
      <c r="G415" s="63" t="s">
        <v>2511</v>
      </c>
    </row>
    <row r="416" spans="1:7" x14ac:dyDescent="0.3">
      <c r="A416" s="32">
        <v>410</v>
      </c>
      <c r="B416" s="42" t="s">
        <v>76</v>
      </c>
      <c r="C416" s="32" t="str">
        <f>_xlfn.XLOOKUP(Table610111213[[#This Row],[Category No]],Table8[Category No],Table8[Chapter List],FALSE)</f>
        <v>Early Medieval India's Major Dynasties Part 3 - (1000 - 1200) CE</v>
      </c>
      <c r="D416" s="34" t="s">
        <v>2422</v>
      </c>
      <c r="E416" s="34" t="s">
        <v>695</v>
      </c>
      <c r="F416" s="34" t="s">
        <v>2513</v>
      </c>
      <c r="G416" s="57"/>
    </row>
    <row r="417" spans="1:7" x14ac:dyDescent="0.3">
      <c r="A417" s="32">
        <v>411</v>
      </c>
      <c r="B417" s="42" t="s">
        <v>76</v>
      </c>
      <c r="C417" s="32" t="str">
        <f>_xlfn.XLOOKUP(Table610111213[[#This Row],[Category No]],Table8[Category No],Table8[Chapter List],FALSE)</f>
        <v>Early Medieval India's Major Dynasties Part 3 - (1000 - 1200) CE</v>
      </c>
      <c r="D417" s="34" t="s">
        <v>2423</v>
      </c>
      <c r="E417" s="34" t="s">
        <v>695</v>
      </c>
      <c r="F417" s="34" t="s">
        <v>2429</v>
      </c>
      <c r="G417" s="57"/>
    </row>
    <row r="418" spans="1:7" x14ac:dyDescent="0.3">
      <c r="A418" s="32">
        <v>412</v>
      </c>
      <c r="B418" s="42" t="s">
        <v>76</v>
      </c>
      <c r="C418" s="32" t="str">
        <f>_xlfn.XLOOKUP(Table610111213[[#This Row],[Category No]],Table8[Category No],Table8[Chapter List],FALSE)</f>
        <v>Early Medieval India's Major Dynasties Part 3 - (1000 - 1200) CE</v>
      </c>
      <c r="D418" s="34" t="s">
        <v>2424</v>
      </c>
      <c r="E418" s="34" t="s">
        <v>695</v>
      </c>
      <c r="F418" s="34" t="s">
        <v>2430</v>
      </c>
      <c r="G418" s="57"/>
    </row>
    <row r="419" spans="1:7" x14ac:dyDescent="0.3">
      <c r="A419" s="32">
        <v>413</v>
      </c>
      <c r="B419" s="42" t="s">
        <v>76</v>
      </c>
      <c r="C419" s="32" t="str">
        <f>_xlfn.XLOOKUP(Table610111213[[#This Row],[Category No]],Table8[Category No],Table8[Chapter List],FALSE)</f>
        <v>Early Medieval India's Major Dynasties Part 3 - (1000 - 1200) CE</v>
      </c>
      <c r="D419" s="34" t="s">
        <v>2425</v>
      </c>
      <c r="E419" s="34" t="s">
        <v>695</v>
      </c>
      <c r="F419" s="34" t="s">
        <v>2512</v>
      </c>
      <c r="G419" s="57"/>
    </row>
    <row r="420" spans="1:7" x14ac:dyDescent="0.3">
      <c r="A420" s="32">
        <v>414</v>
      </c>
      <c r="B420" s="42" t="s">
        <v>76</v>
      </c>
      <c r="C420" s="32" t="str">
        <f>_xlfn.XLOOKUP(Table610111213[[#This Row],[Category No]],Table8[Category No],Table8[Chapter List],FALSE)</f>
        <v>Early Medieval India's Major Dynasties Part 3 - (1000 - 1200) CE</v>
      </c>
      <c r="D420" s="34" t="s">
        <v>2426</v>
      </c>
      <c r="E420" s="34" t="s">
        <v>695</v>
      </c>
      <c r="F420" s="34" t="s">
        <v>2431</v>
      </c>
      <c r="G420" s="57"/>
    </row>
    <row r="421" spans="1:7" x14ac:dyDescent="0.3">
      <c r="A421" s="32">
        <v>415</v>
      </c>
      <c r="B421" s="42" t="s">
        <v>76</v>
      </c>
      <c r="C421" s="32" t="str">
        <f>_xlfn.XLOOKUP(Table610111213[[#This Row],[Category No]],Table8[Category No],Table8[Chapter List],FALSE)</f>
        <v>Early Medieval India's Major Dynasties Part 3 - (1000 - 1200) CE</v>
      </c>
      <c r="D421" s="34" t="s">
        <v>2427</v>
      </c>
      <c r="E421" s="34" t="s">
        <v>695</v>
      </c>
      <c r="F421" s="34" t="s">
        <v>2512</v>
      </c>
      <c r="G421" s="57"/>
    </row>
    <row r="422" spans="1:7" x14ac:dyDescent="0.3">
      <c r="A422" s="32">
        <v>416</v>
      </c>
      <c r="B422" s="42" t="s">
        <v>76</v>
      </c>
      <c r="C422" s="32" t="str">
        <f>_xlfn.XLOOKUP(Table610111213[[#This Row],[Category No]],Table8[Category No],Table8[Chapter List],FALSE)</f>
        <v>Early Medieval India's Major Dynasties Part 3 - (1000 - 1200) CE</v>
      </c>
      <c r="D422" s="34" t="s">
        <v>2428</v>
      </c>
      <c r="E422" s="34" t="s">
        <v>695</v>
      </c>
      <c r="F422" s="34" t="s">
        <v>2512</v>
      </c>
      <c r="G422" s="57"/>
    </row>
    <row r="423" spans="1:7" x14ac:dyDescent="0.3">
      <c r="A423" s="32">
        <v>417</v>
      </c>
      <c r="B423" s="42" t="s">
        <v>76</v>
      </c>
      <c r="C423" s="32" t="str">
        <f>_xlfn.XLOOKUP(Table610111213[[#This Row],[Category No]],Table8[Category No],Table8[Chapter List],FALSE)</f>
        <v>Early Medieval India's Major Dynasties Part 3 - (1000 - 1200) CE</v>
      </c>
      <c r="D423" s="34" t="s">
        <v>2448</v>
      </c>
      <c r="E423" s="34" t="s">
        <v>695</v>
      </c>
      <c r="F423" s="34" t="s">
        <v>2451</v>
      </c>
      <c r="G423" s="57" t="s">
        <v>2452</v>
      </c>
    </row>
    <row r="424" spans="1:7" x14ac:dyDescent="0.3">
      <c r="A424" s="32">
        <v>418</v>
      </c>
      <c r="B424" s="42" t="s">
        <v>76</v>
      </c>
      <c r="C424" s="32" t="str">
        <f>_xlfn.XLOOKUP(Table610111213[[#This Row],[Category No]],Table8[Category No],Table8[Chapter List],FALSE)</f>
        <v>Early Medieval India's Major Dynasties Part 3 - (1000 - 1200) CE</v>
      </c>
      <c r="D424" s="34" t="s">
        <v>2455</v>
      </c>
      <c r="E424" s="34" t="s">
        <v>697</v>
      </c>
      <c r="F424" s="34" t="s">
        <v>2456</v>
      </c>
      <c r="G424" s="57"/>
    </row>
    <row r="425" spans="1:7" x14ac:dyDescent="0.3">
      <c r="A425" s="32">
        <v>419</v>
      </c>
      <c r="B425" s="42" t="s">
        <v>76</v>
      </c>
      <c r="C425" s="32" t="str">
        <f>_xlfn.XLOOKUP(Table610111213[[#This Row],[Category No]],Table8[Category No],Table8[Chapter List],FALSE)</f>
        <v>Early Medieval India's Major Dynasties Part 3 - (1000 - 1200) CE</v>
      </c>
      <c r="D425" s="34" t="s">
        <v>2449</v>
      </c>
      <c r="E425" s="34" t="s">
        <v>695</v>
      </c>
      <c r="F425" s="34" t="s">
        <v>2451</v>
      </c>
      <c r="G425" s="57"/>
    </row>
    <row r="426" spans="1:7" x14ac:dyDescent="0.3">
      <c r="A426" s="32">
        <v>420</v>
      </c>
      <c r="B426" s="42" t="s">
        <v>76</v>
      </c>
      <c r="C426" s="32" t="str">
        <f>_xlfn.XLOOKUP(Table610111213[[#This Row],[Category No]],Table8[Category No],Table8[Chapter List],FALSE)</f>
        <v>Early Medieval India's Major Dynasties Part 3 - (1000 - 1200) CE</v>
      </c>
      <c r="D426" s="34" t="s">
        <v>2450</v>
      </c>
      <c r="E426" s="34" t="s">
        <v>695</v>
      </c>
      <c r="F426" s="34" t="s">
        <v>2451</v>
      </c>
      <c r="G426" s="57"/>
    </row>
    <row r="427" spans="1:7" x14ac:dyDescent="0.3">
      <c r="A427" s="32">
        <v>421</v>
      </c>
      <c r="B427" s="42" t="s">
        <v>76</v>
      </c>
      <c r="C427" s="32" t="str">
        <f>_xlfn.XLOOKUP(Table610111213[[#This Row],[Category No]],Table8[Category No],Table8[Chapter List],FALSE)</f>
        <v>Early Medieval India's Major Dynasties Part 3 - (1000 - 1200) CE</v>
      </c>
      <c r="D427" s="34" t="s">
        <v>2477</v>
      </c>
      <c r="E427" s="34" t="s">
        <v>695</v>
      </c>
      <c r="F427" s="34" t="s">
        <v>2480</v>
      </c>
      <c r="G427" s="57" t="s">
        <v>2476</v>
      </c>
    </row>
    <row r="428" spans="1:7" x14ac:dyDescent="0.3">
      <c r="A428" s="32">
        <v>422</v>
      </c>
      <c r="B428" s="42" t="s">
        <v>76</v>
      </c>
      <c r="C428" s="32" t="str">
        <f>_xlfn.XLOOKUP(Table610111213[[#This Row],[Category No]],Table8[Category No],Table8[Chapter List],FALSE)</f>
        <v>Early Medieval India's Major Dynasties Part 3 - (1000 - 1200) CE</v>
      </c>
      <c r="D428" s="34" t="s">
        <v>2478</v>
      </c>
      <c r="E428" s="34" t="s">
        <v>695</v>
      </c>
      <c r="F428" s="34" t="s">
        <v>2481</v>
      </c>
      <c r="G428" s="57"/>
    </row>
    <row r="429" spans="1:7" x14ac:dyDescent="0.3">
      <c r="A429" s="32">
        <v>423</v>
      </c>
      <c r="B429" s="42" t="s">
        <v>76</v>
      </c>
      <c r="C429" s="32" t="str">
        <f>_xlfn.XLOOKUP(Table610111213[[#This Row],[Category No]],Table8[Category No],Table8[Chapter List],FALSE)</f>
        <v>Early Medieval India's Major Dynasties Part 3 - (1000 - 1200) CE</v>
      </c>
      <c r="D429" s="34" t="s">
        <v>2479</v>
      </c>
      <c r="E429" s="34" t="s">
        <v>695</v>
      </c>
      <c r="F429" s="34" t="s">
        <v>2482</v>
      </c>
      <c r="G429" s="57"/>
    </row>
    <row r="430" spans="1:7" x14ac:dyDescent="0.3">
      <c r="A430" s="32">
        <v>424</v>
      </c>
      <c r="B430" s="42" t="s">
        <v>76</v>
      </c>
      <c r="C430" s="32" t="str">
        <f>_xlfn.XLOOKUP(Table610111213[[#This Row],[Category No]],Table8[Category No],Table8[Chapter List],FALSE)</f>
        <v>Early Medieval India's Major Dynasties Part 3 - (1000 - 1200) CE</v>
      </c>
      <c r="D430" s="34" t="s">
        <v>2496</v>
      </c>
      <c r="E430" s="34" t="s">
        <v>695</v>
      </c>
      <c r="F430" s="34" t="s">
        <v>2501</v>
      </c>
      <c r="G430" s="63" t="s">
        <v>2510</v>
      </c>
    </row>
    <row r="431" spans="1:7" x14ac:dyDescent="0.3">
      <c r="A431" s="32">
        <v>425</v>
      </c>
      <c r="B431" s="42" t="s">
        <v>76</v>
      </c>
      <c r="C431" s="32" t="str">
        <f>_xlfn.XLOOKUP(Table610111213[[#This Row],[Category No]],Table8[Category No],Table8[Chapter List],FALSE)</f>
        <v>Early Medieval India's Major Dynasties Part 3 - (1000 - 1200) CE</v>
      </c>
      <c r="D431" s="34" t="s">
        <v>2497</v>
      </c>
      <c r="E431" s="34" t="s">
        <v>695</v>
      </c>
      <c r="F431" s="34" t="s">
        <v>2503</v>
      </c>
      <c r="G431" s="57"/>
    </row>
    <row r="432" spans="1:7" x14ac:dyDescent="0.3">
      <c r="A432" s="32">
        <v>426</v>
      </c>
      <c r="B432" s="42" t="s">
        <v>76</v>
      </c>
      <c r="C432" s="32" t="str">
        <f>_xlfn.XLOOKUP(Table610111213[[#This Row],[Category No]],Table8[Category No],Table8[Chapter List],FALSE)</f>
        <v>Early Medieval India's Major Dynasties Part 3 - (1000 - 1200) CE</v>
      </c>
      <c r="D432" s="34" t="s">
        <v>2498</v>
      </c>
      <c r="E432" s="34" t="s">
        <v>697</v>
      </c>
      <c r="F432" s="34" t="s">
        <v>2502</v>
      </c>
      <c r="G432" s="57"/>
    </row>
    <row r="433" spans="1:7" x14ac:dyDescent="0.3">
      <c r="A433" s="32">
        <v>427</v>
      </c>
      <c r="B433" s="42" t="s">
        <v>76</v>
      </c>
      <c r="C433" s="32" t="str">
        <f>_xlfn.XLOOKUP(Table610111213[[#This Row],[Category No]],Table8[Category No],Table8[Chapter List],FALSE)</f>
        <v>Early Medieval India's Major Dynasties Part 3 - (1000 - 1200) CE</v>
      </c>
      <c r="D433" s="34" t="s">
        <v>2499</v>
      </c>
      <c r="E433" s="34" t="s">
        <v>695</v>
      </c>
      <c r="F433" s="34" t="s">
        <v>2504</v>
      </c>
      <c r="G433" s="57"/>
    </row>
    <row r="434" spans="1:7" x14ac:dyDescent="0.3">
      <c r="A434" s="32">
        <v>428</v>
      </c>
      <c r="B434" s="42" t="s">
        <v>76</v>
      </c>
      <c r="C434" s="32" t="str">
        <f>_xlfn.XLOOKUP(Table610111213[[#This Row],[Category No]],Table8[Category No],Table8[Chapter List],FALSE)</f>
        <v>Early Medieval India's Major Dynasties Part 3 - (1000 - 1200) CE</v>
      </c>
      <c r="D434" s="34" t="s">
        <v>2506</v>
      </c>
      <c r="E434" s="34" t="s">
        <v>695</v>
      </c>
      <c r="F434" s="34" t="s">
        <v>2507</v>
      </c>
      <c r="G434" s="57"/>
    </row>
    <row r="435" spans="1:7" x14ac:dyDescent="0.3">
      <c r="A435" s="32">
        <v>429</v>
      </c>
      <c r="B435" s="42" t="s">
        <v>76</v>
      </c>
      <c r="C435" s="32" t="str">
        <f>_xlfn.XLOOKUP(Table610111213[[#This Row],[Category No]],Table8[Category No],Table8[Chapter List],FALSE)</f>
        <v>Early Medieval India's Major Dynasties Part 3 - (1000 - 1200) CE</v>
      </c>
      <c r="D435" s="34" t="s">
        <v>2500</v>
      </c>
      <c r="E435" s="34" t="s">
        <v>695</v>
      </c>
      <c r="F435" s="34" t="s">
        <v>2505</v>
      </c>
      <c r="G435" s="57"/>
    </row>
    <row r="436" spans="1:7" x14ac:dyDescent="0.3">
      <c r="A436" s="32">
        <v>430</v>
      </c>
      <c r="B436" s="42" t="s">
        <v>76</v>
      </c>
      <c r="C436" s="32" t="str">
        <f>_xlfn.XLOOKUP(Table610111213[[#This Row],[Category No]],Table8[Category No],Table8[Chapter List],FALSE)</f>
        <v>Early Medieval India's Major Dynasties Part 3 - (1000 - 1200) CE</v>
      </c>
      <c r="D436" s="34" t="s">
        <v>1892</v>
      </c>
      <c r="E436" s="34" t="s">
        <v>695</v>
      </c>
      <c r="F436" s="34" t="s">
        <v>2536</v>
      </c>
      <c r="G436" s="54" t="s">
        <v>2533</v>
      </c>
    </row>
    <row r="437" spans="1:7" x14ac:dyDescent="0.3">
      <c r="A437" s="32">
        <v>431</v>
      </c>
      <c r="B437" s="42" t="s">
        <v>76</v>
      </c>
      <c r="C437" s="32" t="str">
        <f>_xlfn.XLOOKUP(Table610111213[[#This Row],[Category No]],Table8[Category No],Table8[Chapter List],FALSE)</f>
        <v>Early Medieval India's Major Dynasties Part 3 - (1000 - 1200) CE</v>
      </c>
      <c r="D437" s="34" t="s">
        <v>2535</v>
      </c>
      <c r="E437" s="34" t="s">
        <v>695</v>
      </c>
      <c r="F437" s="34" t="s">
        <v>2534</v>
      </c>
      <c r="G437" s="57" t="s">
        <v>2531</v>
      </c>
    </row>
    <row r="438" spans="1:7" x14ac:dyDescent="0.3">
      <c r="A438" s="32">
        <v>432</v>
      </c>
      <c r="B438" s="42" t="s">
        <v>76</v>
      </c>
      <c r="C438" s="32" t="str">
        <f>_xlfn.XLOOKUP(Table610111213[[#This Row],[Category No]],Table8[Category No],Table8[Chapter List],FALSE)</f>
        <v>Early Medieval India's Major Dynasties Part 3 - (1000 - 1200) CE</v>
      </c>
      <c r="D438" s="34" t="s">
        <v>2538</v>
      </c>
      <c r="E438" s="34" t="s">
        <v>695</v>
      </c>
      <c r="F438" s="34" t="s">
        <v>2537</v>
      </c>
      <c r="G438" s="57"/>
    </row>
    <row r="439" spans="1:7" x14ac:dyDescent="0.3">
      <c r="A439" s="32">
        <v>433</v>
      </c>
      <c r="B439" s="42" t="s">
        <v>76</v>
      </c>
      <c r="C439" s="32" t="str">
        <f>_xlfn.XLOOKUP(Table610111213[[#This Row],[Category No]],Table8[Category No],Table8[Chapter List],FALSE)</f>
        <v>Early Medieval India's Major Dynasties Part 3 - (1000 - 1200) CE</v>
      </c>
      <c r="D439" s="34" t="s">
        <v>2549</v>
      </c>
      <c r="E439" s="34" t="s">
        <v>695</v>
      </c>
      <c r="F439" s="34" t="s">
        <v>2539</v>
      </c>
      <c r="G439" s="72" t="s">
        <v>2567</v>
      </c>
    </row>
    <row r="440" spans="1:7" x14ac:dyDescent="0.3">
      <c r="A440" s="32">
        <v>434</v>
      </c>
      <c r="B440" s="42" t="s">
        <v>76</v>
      </c>
      <c r="C440" s="32" t="str">
        <f>_xlfn.XLOOKUP(Table610111213[[#This Row],[Category No]],Table8[Category No],Table8[Chapter List],FALSE)</f>
        <v>Early Medieval India's Major Dynasties Part 3 - (1000 - 1200) CE</v>
      </c>
      <c r="D440" s="34" t="s">
        <v>2550</v>
      </c>
      <c r="E440" s="34" t="s">
        <v>695</v>
      </c>
      <c r="F440" s="34" t="s">
        <v>2552</v>
      </c>
      <c r="G440" s="62"/>
    </row>
    <row r="441" spans="1:7" x14ac:dyDescent="0.3">
      <c r="A441" s="32">
        <v>435</v>
      </c>
      <c r="B441" s="42" t="s">
        <v>76</v>
      </c>
      <c r="C441" s="32" t="str">
        <f>_xlfn.XLOOKUP(Table610111213[[#This Row],[Category No]],Table8[Category No],Table8[Chapter List],FALSE)</f>
        <v>Early Medieval India's Major Dynasties Part 3 - (1000 - 1200) CE</v>
      </c>
      <c r="D441" s="34" t="s">
        <v>2551</v>
      </c>
      <c r="E441" s="34" t="s">
        <v>695</v>
      </c>
      <c r="F441" s="34" t="s">
        <v>2553</v>
      </c>
      <c r="G441" s="62"/>
    </row>
    <row r="442" spans="1:7" x14ac:dyDescent="0.3">
      <c r="A442" s="32">
        <v>436</v>
      </c>
      <c r="B442" s="42" t="s">
        <v>76</v>
      </c>
      <c r="C442" s="32" t="str">
        <f>_xlfn.XLOOKUP(Table610111213[[#This Row],[Category No]],Table8[Category No],Table8[Chapter List],FALSE)</f>
        <v>Early Medieval India's Major Dynasties Part 3 - (1000 - 1200) CE</v>
      </c>
      <c r="D442" s="34" t="s">
        <v>2554</v>
      </c>
      <c r="E442" s="34" t="s">
        <v>695</v>
      </c>
      <c r="F442" s="34" t="s">
        <v>2555</v>
      </c>
      <c r="G442" s="62"/>
    </row>
    <row r="443" spans="1:7" x14ac:dyDescent="0.3">
      <c r="A443" s="32">
        <v>437</v>
      </c>
      <c r="B443" s="42" t="s">
        <v>76</v>
      </c>
      <c r="C443" s="32" t="str">
        <f>_xlfn.XLOOKUP(Table610111213[[#This Row],[Category No]],Table8[Category No],Table8[Chapter List],FALSE)</f>
        <v>Early Medieval India's Major Dynasties Part 3 - (1000 - 1200) CE</v>
      </c>
      <c r="D443" s="34" t="s">
        <v>2556</v>
      </c>
      <c r="E443" s="34" t="s">
        <v>695</v>
      </c>
      <c r="F443" s="34" t="s">
        <v>2557</v>
      </c>
      <c r="G443" s="62"/>
    </row>
    <row r="444" spans="1:7" x14ac:dyDescent="0.3">
      <c r="A444" s="32">
        <v>438</v>
      </c>
      <c r="B444" s="42" t="s">
        <v>76</v>
      </c>
      <c r="C444" s="32" t="str">
        <f>_xlfn.XLOOKUP(Table610111213[[#This Row],[Category No]],Table8[Category No],Table8[Chapter List],FALSE)</f>
        <v>Early Medieval India's Major Dynasties Part 3 - (1000 - 1200) CE</v>
      </c>
      <c r="D444" s="34" t="s">
        <v>2545</v>
      </c>
      <c r="E444" s="34" t="s">
        <v>695</v>
      </c>
      <c r="F444" s="34" t="s">
        <v>2558</v>
      </c>
      <c r="G444" s="62"/>
    </row>
    <row r="445" spans="1:7" x14ac:dyDescent="0.3">
      <c r="A445" s="32">
        <v>439</v>
      </c>
      <c r="B445" s="42" t="s">
        <v>76</v>
      </c>
      <c r="C445" s="32" t="str">
        <f>_xlfn.XLOOKUP(Table610111213[[#This Row],[Category No]],Table8[Category No],Table8[Chapter List],FALSE)</f>
        <v>Early Medieval India's Major Dynasties Part 3 - (1000 - 1200) CE</v>
      </c>
      <c r="D445" s="34" t="s">
        <v>2559</v>
      </c>
      <c r="E445" s="34" t="s">
        <v>697</v>
      </c>
      <c r="F445" s="34" t="s">
        <v>2562</v>
      </c>
      <c r="G445" s="62"/>
    </row>
    <row r="446" spans="1:7" x14ac:dyDescent="0.3">
      <c r="A446" s="32">
        <v>440</v>
      </c>
      <c r="B446" s="42" t="s">
        <v>76</v>
      </c>
      <c r="C446" s="32" t="str">
        <f>_xlfn.XLOOKUP(Table610111213[[#This Row],[Category No]],Table8[Category No],Table8[Chapter List],FALSE)</f>
        <v>Early Medieval India's Major Dynasties Part 3 - (1000 - 1200) CE</v>
      </c>
      <c r="D446" s="34" t="s">
        <v>2560</v>
      </c>
      <c r="E446" s="34" t="s">
        <v>697</v>
      </c>
      <c r="F446" s="34" t="s">
        <v>2562</v>
      </c>
      <c r="G446" s="62"/>
    </row>
    <row r="447" spans="1:7" x14ac:dyDescent="0.3">
      <c r="A447" s="32">
        <v>441</v>
      </c>
      <c r="B447" s="42" t="s">
        <v>76</v>
      </c>
      <c r="C447" s="32" t="str">
        <f>_xlfn.XLOOKUP(Table610111213[[#This Row],[Category No]],Table8[Category No],Table8[Chapter List],FALSE)</f>
        <v>Early Medieval India's Major Dynasties Part 3 - (1000 - 1200) CE</v>
      </c>
      <c r="D447" s="34" t="s">
        <v>2561</v>
      </c>
      <c r="E447" s="34" t="s">
        <v>697</v>
      </c>
      <c r="F447" s="34" t="s">
        <v>2562</v>
      </c>
      <c r="G447" s="62"/>
    </row>
    <row r="448" spans="1:7" x14ac:dyDescent="0.3">
      <c r="A448" s="32">
        <v>442</v>
      </c>
      <c r="B448" s="42" t="s">
        <v>76</v>
      </c>
      <c r="C448" s="32" t="str">
        <f>_xlfn.XLOOKUP(Table610111213[[#This Row],[Category No]],Table8[Category No],Table8[Chapter List],FALSE)</f>
        <v>Early Medieval India's Major Dynasties Part 3 - (1000 - 1200) CE</v>
      </c>
      <c r="D448" s="34" t="s">
        <v>2580</v>
      </c>
      <c r="E448" s="34" t="s">
        <v>695</v>
      </c>
      <c r="F448" s="34" t="s">
        <v>2581</v>
      </c>
      <c r="G448" s="62"/>
    </row>
    <row r="449" spans="1:6" x14ac:dyDescent="0.3">
      <c r="A449" s="32">
        <v>443</v>
      </c>
      <c r="B449" s="32"/>
      <c r="C449" s="32" t="b">
        <f>_xlfn.XLOOKUP(Table610111213[[#This Row],[Category No]],Table8[Category No],Table8[Chapter List],FALSE)</f>
        <v>0</v>
      </c>
      <c r="D449" s="34" t="s">
        <v>2563</v>
      </c>
      <c r="E449" s="34" t="s">
        <v>695</v>
      </c>
      <c r="F449" s="34" t="s">
        <v>2564</v>
      </c>
    </row>
    <row r="450" spans="1:6" x14ac:dyDescent="0.3">
      <c r="A450" s="32">
        <v>444</v>
      </c>
      <c r="B450" s="32"/>
      <c r="C450" s="32" t="b">
        <f>_xlfn.XLOOKUP(Table610111213[[#This Row],[Category No]],Table8[Category No],Table8[Chapter List],FALSE)</f>
        <v>0</v>
      </c>
      <c r="D450" s="34"/>
      <c r="E450" s="34"/>
      <c r="F450" s="34"/>
    </row>
    <row r="451" spans="1:6" x14ac:dyDescent="0.3">
      <c r="A451" s="32">
        <v>445</v>
      </c>
      <c r="B451" s="32"/>
      <c r="C451" s="32" t="b">
        <f>_xlfn.XLOOKUP(Table610111213[[#This Row],[Category No]],Table8[Category No],Table8[Chapter List],FALSE)</f>
        <v>0</v>
      </c>
      <c r="D451" s="34"/>
      <c r="E451" s="34"/>
      <c r="F451" s="34"/>
    </row>
    <row r="452" spans="1:6" x14ac:dyDescent="0.3">
      <c r="A452" s="32">
        <v>446</v>
      </c>
      <c r="B452" s="32"/>
      <c r="C452" s="32" t="b">
        <f>_xlfn.XLOOKUP(Table610111213[[#This Row],[Category No]],Table8[Category No],Table8[Chapter List],FALSE)</f>
        <v>0</v>
      </c>
      <c r="D452" s="34"/>
      <c r="E452" s="34"/>
      <c r="F452" s="34"/>
    </row>
    <row r="453" spans="1:6" x14ac:dyDescent="0.3">
      <c r="A453" s="32">
        <v>447</v>
      </c>
      <c r="B453" s="32"/>
      <c r="C453" s="32" t="b">
        <f>_xlfn.XLOOKUP(Table610111213[[#This Row],[Category No]],Table8[Category No],Table8[Chapter List],FALSE)</f>
        <v>0</v>
      </c>
      <c r="D453" s="34"/>
      <c r="E453" s="34"/>
      <c r="F453" s="34"/>
    </row>
    <row r="454" spans="1:6" x14ac:dyDescent="0.3">
      <c r="A454" s="32">
        <v>448</v>
      </c>
      <c r="B454" s="32"/>
      <c r="C454" s="32" t="b">
        <f>_xlfn.XLOOKUP(Table610111213[[#This Row],[Category No]],Table8[Category No],Table8[Chapter List],FALSE)</f>
        <v>0</v>
      </c>
      <c r="D454" s="34"/>
      <c r="E454" s="34"/>
      <c r="F454" s="34"/>
    </row>
    <row r="455" spans="1:6" x14ac:dyDescent="0.3">
      <c r="A455" s="32">
        <v>449</v>
      </c>
      <c r="B455" s="32"/>
      <c r="C455" s="32" t="b">
        <f>_xlfn.XLOOKUP(Table610111213[[#This Row],[Category No]],Table8[Category No],Table8[Chapter List],FALSE)</f>
        <v>0</v>
      </c>
      <c r="D455" s="34"/>
      <c r="E455" s="34"/>
      <c r="F455" s="34"/>
    </row>
    <row r="456" spans="1:6" x14ac:dyDescent="0.3">
      <c r="A456" s="32">
        <v>450</v>
      </c>
      <c r="B456" s="32"/>
      <c r="C456" s="32" t="b">
        <f>_xlfn.XLOOKUP(Table610111213[[#This Row],[Category No]],Table8[Category No],Table8[Chapter List],FALSE)</f>
        <v>0</v>
      </c>
      <c r="D456" s="34"/>
      <c r="E456" s="34"/>
      <c r="F456" s="34"/>
    </row>
    <row r="457" spans="1:6" x14ac:dyDescent="0.3">
      <c r="A457" s="32">
        <v>451</v>
      </c>
      <c r="B457" s="32"/>
      <c r="C457" s="32" t="b">
        <f>_xlfn.XLOOKUP(Table610111213[[#This Row],[Category No]],Table8[Category No],Table8[Chapter List],FALSE)</f>
        <v>0</v>
      </c>
      <c r="D457" s="34"/>
      <c r="E457" s="34"/>
      <c r="F457" s="34"/>
    </row>
    <row r="458" spans="1:6" x14ac:dyDescent="0.3">
      <c r="A458" s="32">
        <v>452</v>
      </c>
      <c r="B458" s="32"/>
      <c r="C458" s="32" t="b">
        <f>_xlfn.XLOOKUP(Table610111213[[#This Row],[Category No]],Table8[Category No],Table8[Chapter List],FALSE)</f>
        <v>0</v>
      </c>
      <c r="D458" s="34"/>
      <c r="E458" s="34"/>
      <c r="F458" s="34"/>
    </row>
    <row r="459" spans="1:6" x14ac:dyDescent="0.3">
      <c r="A459" s="32">
        <v>453</v>
      </c>
      <c r="B459" s="32"/>
      <c r="C459" s="32" t="b">
        <f>_xlfn.XLOOKUP(Table610111213[[#This Row],[Category No]],Table8[Category No],Table8[Chapter List],FALSE)</f>
        <v>0</v>
      </c>
      <c r="D459" s="34"/>
      <c r="E459" s="34"/>
      <c r="F459" s="34"/>
    </row>
    <row r="460" spans="1:6" x14ac:dyDescent="0.3">
      <c r="A460" s="32">
        <v>454</v>
      </c>
      <c r="B460" s="32"/>
      <c r="C460" s="32" t="b">
        <f>_xlfn.XLOOKUP(Table610111213[[#This Row],[Category No]],Table8[Category No],Table8[Chapter List],FALSE)</f>
        <v>0</v>
      </c>
      <c r="D460" s="34"/>
      <c r="E460" s="34"/>
      <c r="F460" s="34"/>
    </row>
    <row r="461" spans="1:6" x14ac:dyDescent="0.3">
      <c r="A461" s="32">
        <v>455</v>
      </c>
      <c r="B461" s="32"/>
      <c r="C461" s="32" t="b">
        <f>_xlfn.XLOOKUP(Table610111213[[#This Row],[Category No]],Table8[Category No],Table8[Chapter List],FALSE)</f>
        <v>0</v>
      </c>
      <c r="D461" s="34"/>
      <c r="E461" s="34"/>
      <c r="F461" s="34"/>
    </row>
    <row r="462" spans="1:6" x14ac:dyDescent="0.3">
      <c r="A462" s="32">
        <v>456</v>
      </c>
      <c r="B462" s="32"/>
      <c r="C462" s="32" t="b">
        <f>_xlfn.XLOOKUP(Table610111213[[#This Row],[Category No]],Table8[Category No],Table8[Chapter List],FALSE)</f>
        <v>0</v>
      </c>
      <c r="D462" s="34"/>
      <c r="E462" s="34"/>
      <c r="F462" s="34"/>
    </row>
    <row r="463" spans="1:6" x14ac:dyDescent="0.3">
      <c r="A463" s="32">
        <v>457</v>
      </c>
      <c r="B463" s="32"/>
      <c r="C463" s="32" t="b">
        <f>_xlfn.XLOOKUP(Table610111213[[#This Row],[Category No]],Table8[Category No],Table8[Chapter List],FALSE)</f>
        <v>0</v>
      </c>
      <c r="D463" s="34"/>
      <c r="E463" s="34"/>
      <c r="F463" s="34"/>
    </row>
    <row r="464" spans="1:6" x14ac:dyDescent="0.3">
      <c r="A464" s="32">
        <v>458</v>
      </c>
      <c r="B464" s="32"/>
      <c r="C464" s="32" t="b">
        <f>_xlfn.XLOOKUP(Table610111213[[#This Row],[Category No]],Table8[Category No],Table8[Chapter List],FALSE)</f>
        <v>0</v>
      </c>
      <c r="D464" s="34"/>
      <c r="E464" s="34"/>
      <c r="F464" s="34"/>
    </row>
    <row r="465" spans="1:6" x14ac:dyDescent="0.3">
      <c r="A465" s="32">
        <v>459</v>
      </c>
      <c r="B465" s="32"/>
      <c r="C465" s="32" t="b">
        <f>_xlfn.XLOOKUP(Table610111213[[#This Row],[Category No]],Table8[Category No],Table8[Chapter List],FALSE)</f>
        <v>0</v>
      </c>
      <c r="D465" s="34"/>
      <c r="E465" s="34"/>
      <c r="F465" s="34"/>
    </row>
    <row r="466" spans="1:6" x14ac:dyDescent="0.3">
      <c r="A466" s="32">
        <v>460</v>
      </c>
      <c r="B466" s="32"/>
      <c r="C466" s="32" t="b">
        <f>_xlfn.XLOOKUP(Table610111213[[#This Row],[Category No]],Table8[Category No],Table8[Chapter List],FALSE)</f>
        <v>0</v>
      </c>
      <c r="D466" s="34"/>
      <c r="E466" s="34"/>
      <c r="F466" s="34"/>
    </row>
    <row r="467" spans="1:6" x14ac:dyDescent="0.3">
      <c r="A467" s="32">
        <v>461</v>
      </c>
      <c r="B467" s="32"/>
      <c r="C467" s="32" t="b">
        <f>_xlfn.XLOOKUP(Table610111213[[#This Row],[Category No]],Table8[Category No],Table8[Chapter List],FALSE)</f>
        <v>0</v>
      </c>
      <c r="D467" s="34"/>
      <c r="E467" s="34"/>
      <c r="F467" s="34"/>
    </row>
    <row r="468" spans="1:6" x14ac:dyDescent="0.3">
      <c r="A468" s="32">
        <v>462</v>
      </c>
      <c r="B468" s="32"/>
      <c r="C468" s="32" t="b">
        <f>_xlfn.XLOOKUP(Table610111213[[#This Row],[Category No]],Table8[Category No],Table8[Chapter List],FALSE)</f>
        <v>0</v>
      </c>
      <c r="D468" s="34"/>
      <c r="E468" s="34"/>
      <c r="F468" s="34"/>
    </row>
    <row r="469" spans="1:6" x14ac:dyDescent="0.3">
      <c r="A469" s="32">
        <v>463</v>
      </c>
      <c r="B469" s="32"/>
      <c r="C469" s="32" t="b">
        <f>_xlfn.XLOOKUP(Table610111213[[#This Row],[Category No]],Table8[Category No],Table8[Chapter List],FALSE)</f>
        <v>0</v>
      </c>
      <c r="D469" s="34"/>
      <c r="E469" s="34"/>
      <c r="F469" s="34"/>
    </row>
    <row r="470" spans="1:6" x14ac:dyDescent="0.3">
      <c r="A470" s="32">
        <v>464</v>
      </c>
      <c r="B470" s="32"/>
      <c r="C470" s="32" t="b">
        <f>_xlfn.XLOOKUP(Table610111213[[#This Row],[Category No]],Table8[Category No],Table8[Chapter List],FALSE)</f>
        <v>0</v>
      </c>
      <c r="D470" s="34"/>
      <c r="E470" s="34"/>
      <c r="F470" s="34"/>
    </row>
    <row r="471" spans="1:6" x14ac:dyDescent="0.3">
      <c r="A471" s="32">
        <v>465</v>
      </c>
      <c r="B471" s="32"/>
      <c r="C471" s="32" t="b">
        <f>_xlfn.XLOOKUP(Table610111213[[#This Row],[Category No]],Table8[Category No],Table8[Chapter List],FALSE)</f>
        <v>0</v>
      </c>
      <c r="D471" s="34"/>
      <c r="E471" s="34"/>
      <c r="F471" s="34"/>
    </row>
    <row r="472" spans="1:6" x14ac:dyDescent="0.3">
      <c r="A472" s="32">
        <v>466</v>
      </c>
      <c r="B472" s="32"/>
      <c r="C472" s="32" t="b">
        <f>_xlfn.XLOOKUP(Table610111213[[#This Row],[Category No]],Table8[Category No],Table8[Chapter List],FALSE)</f>
        <v>0</v>
      </c>
      <c r="D472" s="34"/>
      <c r="E472" s="34"/>
      <c r="F472" s="34"/>
    </row>
    <row r="473" spans="1:6" x14ac:dyDescent="0.3">
      <c r="A473" s="32">
        <v>467</v>
      </c>
      <c r="B473" s="32"/>
      <c r="C473" s="32" t="b">
        <f>_xlfn.XLOOKUP(Table610111213[[#This Row],[Category No]],Table8[Category No],Table8[Chapter List],FALSE)</f>
        <v>0</v>
      </c>
      <c r="D473" s="34"/>
      <c r="E473" s="34"/>
      <c r="F473" s="34"/>
    </row>
    <row r="474" spans="1:6" x14ac:dyDescent="0.3">
      <c r="A474" s="32">
        <v>468</v>
      </c>
      <c r="B474" s="32"/>
      <c r="C474" s="32" t="b">
        <f>_xlfn.XLOOKUP(Table610111213[[#This Row],[Category No]],Table8[Category No],Table8[Chapter List],FALSE)</f>
        <v>0</v>
      </c>
      <c r="D474" s="34"/>
      <c r="E474" s="34"/>
      <c r="F474" s="34"/>
    </row>
    <row r="475" spans="1:6" x14ac:dyDescent="0.3">
      <c r="A475" s="32">
        <v>469</v>
      </c>
      <c r="B475" s="32"/>
      <c r="C475" s="32" t="b">
        <f>_xlfn.XLOOKUP(Table610111213[[#This Row],[Category No]],Table8[Category No],Table8[Chapter List],FALSE)</f>
        <v>0</v>
      </c>
      <c r="D475" s="34"/>
      <c r="E475" s="34"/>
      <c r="F475" s="34"/>
    </row>
    <row r="476" spans="1:6" x14ac:dyDescent="0.3">
      <c r="A476" s="32">
        <v>470</v>
      </c>
      <c r="B476" s="32"/>
      <c r="C476" s="32" t="b">
        <f>_xlfn.XLOOKUP(Table610111213[[#This Row],[Category No]],Table8[Category No],Table8[Chapter List],FALSE)</f>
        <v>0</v>
      </c>
      <c r="D476" s="34"/>
      <c r="E476" s="34"/>
      <c r="F476" s="34"/>
    </row>
    <row r="477" spans="1:6" x14ac:dyDescent="0.3">
      <c r="A477" s="32">
        <v>471</v>
      </c>
      <c r="B477" s="32"/>
      <c r="C477" s="32" t="b">
        <f>_xlfn.XLOOKUP(Table610111213[[#This Row],[Category No]],Table8[Category No],Table8[Chapter List],FALSE)</f>
        <v>0</v>
      </c>
      <c r="D477" s="34"/>
      <c r="E477" s="34"/>
      <c r="F477" s="34"/>
    </row>
    <row r="478" spans="1:6" x14ac:dyDescent="0.3">
      <c r="A478" s="32">
        <v>472</v>
      </c>
      <c r="B478" s="32"/>
      <c r="C478" s="32" t="b">
        <f>_xlfn.XLOOKUP(Table610111213[[#This Row],[Category No]],Table8[Category No],Table8[Chapter List],FALSE)</f>
        <v>0</v>
      </c>
      <c r="D478" s="34"/>
      <c r="E478" s="34"/>
      <c r="F478" s="34"/>
    </row>
    <row r="479" spans="1:6" x14ac:dyDescent="0.3">
      <c r="A479" s="32">
        <v>473</v>
      </c>
      <c r="B479" s="32"/>
      <c r="C479" s="32" t="b">
        <f>_xlfn.XLOOKUP(Table610111213[[#This Row],[Category No]],Table8[Category No],Table8[Chapter List],FALSE)</f>
        <v>0</v>
      </c>
      <c r="D479" s="34"/>
      <c r="E479" s="34"/>
      <c r="F479" s="34"/>
    </row>
    <row r="480" spans="1:6" x14ac:dyDescent="0.3">
      <c r="A480" s="32">
        <v>474</v>
      </c>
      <c r="B480" s="32"/>
      <c r="C480" s="32" t="b">
        <f>_xlfn.XLOOKUP(Table610111213[[#This Row],[Category No]],Table8[Category No],Table8[Chapter List],FALSE)</f>
        <v>0</v>
      </c>
      <c r="D480" s="34"/>
      <c r="E480" s="34"/>
      <c r="F480" s="34"/>
    </row>
    <row r="481" spans="1:6" x14ac:dyDescent="0.3">
      <c r="A481" s="32">
        <v>475</v>
      </c>
      <c r="B481" s="32"/>
      <c r="C481" s="32" t="b">
        <f>_xlfn.XLOOKUP(Table610111213[[#This Row],[Category No]],Table8[Category No],Table8[Chapter List],FALSE)</f>
        <v>0</v>
      </c>
      <c r="D481" s="34"/>
      <c r="E481" s="34"/>
      <c r="F481" s="34"/>
    </row>
    <row r="482" spans="1:6" x14ac:dyDescent="0.3">
      <c r="A482" s="32">
        <v>476</v>
      </c>
      <c r="B482" s="32"/>
      <c r="C482" s="32" t="b">
        <f>_xlfn.XLOOKUP(Table610111213[[#This Row],[Category No]],Table8[Category No],Table8[Chapter List],FALSE)</f>
        <v>0</v>
      </c>
      <c r="D482" s="34"/>
      <c r="E482" s="34"/>
      <c r="F482" s="34"/>
    </row>
    <row r="483" spans="1:6" x14ac:dyDescent="0.3">
      <c r="A483" s="32">
        <v>477</v>
      </c>
      <c r="B483" s="32"/>
      <c r="C483" s="32" t="b">
        <f>_xlfn.XLOOKUP(Table610111213[[#This Row],[Category No]],Table8[Category No],Table8[Chapter List],FALSE)</f>
        <v>0</v>
      </c>
      <c r="D483" s="34"/>
      <c r="E483" s="34"/>
      <c r="F483" s="34"/>
    </row>
    <row r="484" spans="1:6" x14ac:dyDescent="0.3">
      <c r="A484" s="32">
        <v>478</v>
      </c>
      <c r="B484" s="32"/>
      <c r="C484" s="32" t="b">
        <f>_xlfn.XLOOKUP(Table610111213[[#This Row],[Category No]],Table8[Category No],Table8[Chapter List],FALSE)</f>
        <v>0</v>
      </c>
      <c r="D484" s="34"/>
      <c r="E484" s="34"/>
      <c r="F484" s="34"/>
    </row>
    <row r="485" spans="1:6" x14ac:dyDescent="0.3">
      <c r="A485" s="32">
        <v>479</v>
      </c>
      <c r="B485" s="32"/>
      <c r="C485" s="32" t="b">
        <f>_xlfn.XLOOKUP(Table610111213[[#This Row],[Category No]],Table8[Category No],Table8[Chapter List],FALSE)</f>
        <v>0</v>
      </c>
      <c r="D485" s="34"/>
      <c r="E485" s="34"/>
      <c r="F485" s="34"/>
    </row>
    <row r="486" spans="1:6" x14ac:dyDescent="0.3">
      <c r="A486" s="32">
        <v>480</v>
      </c>
      <c r="B486" s="32"/>
      <c r="C486" s="32" t="b">
        <f>_xlfn.XLOOKUP(Table610111213[[#This Row],[Category No]],Table8[Category No],Table8[Chapter List],FALSE)</f>
        <v>0</v>
      </c>
      <c r="D486" s="34"/>
      <c r="E486" s="34"/>
      <c r="F486" s="34"/>
    </row>
    <row r="487" spans="1:6" x14ac:dyDescent="0.3">
      <c r="A487" s="32">
        <v>481</v>
      </c>
      <c r="B487" s="32"/>
      <c r="C487" s="32" t="b">
        <f>_xlfn.XLOOKUP(Table610111213[[#This Row],[Category No]],Table8[Category No],Table8[Chapter List],FALSE)</f>
        <v>0</v>
      </c>
      <c r="D487" s="34"/>
      <c r="E487" s="34"/>
      <c r="F487" s="34"/>
    </row>
    <row r="488" spans="1:6" x14ac:dyDescent="0.3">
      <c r="A488" s="32">
        <v>482</v>
      </c>
      <c r="B488" s="32"/>
      <c r="C488" s="32" t="b">
        <f>_xlfn.XLOOKUP(Table610111213[[#This Row],[Category No]],Table8[Category No],Table8[Chapter List],FALSE)</f>
        <v>0</v>
      </c>
      <c r="D488" s="34"/>
      <c r="E488" s="34"/>
      <c r="F488" s="34"/>
    </row>
    <row r="489" spans="1:6" x14ac:dyDescent="0.3">
      <c r="A489" s="32">
        <v>483</v>
      </c>
      <c r="B489" s="32"/>
      <c r="C489" s="32" t="b">
        <f>_xlfn.XLOOKUP(Table610111213[[#This Row],[Category No]],Table8[Category No],Table8[Chapter List],FALSE)</f>
        <v>0</v>
      </c>
      <c r="D489" s="34"/>
      <c r="E489" s="34"/>
      <c r="F489" s="34"/>
    </row>
    <row r="490" spans="1:6" x14ac:dyDescent="0.3">
      <c r="A490" s="32">
        <v>484</v>
      </c>
      <c r="B490" s="32"/>
      <c r="C490" s="32" t="b">
        <f>_xlfn.XLOOKUP(Table610111213[[#This Row],[Category No]],Table8[Category No],Table8[Chapter List],FALSE)</f>
        <v>0</v>
      </c>
      <c r="D490" s="34"/>
      <c r="E490" s="34"/>
      <c r="F490" s="34"/>
    </row>
    <row r="491" spans="1:6" x14ac:dyDescent="0.3">
      <c r="A491" s="32">
        <v>485</v>
      </c>
      <c r="B491" s="32"/>
      <c r="C491" s="32" t="b">
        <f>_xlfn.XLOOKUP(Table610111213[[#This Row],[Category No]],Table8[Category No],Table8[Chapter List],FALSE)</f>
        <v>0</v>
      </c>
      <c r="D491" s="34"/>
      <c r="E491" s="34"/>
      <c r="F491" s="34"/>
    </row>
    <row r="492" spans="1:6" x14ac:dyDescent="0.3">
      <c r="A492" s="32">
        <v>486</v>
      </c>
      <c r="B492" s="32"/>
      <c r="C492" s="32" t="b">
        <f>_xlfn.XLOOKUP(Table610111213[[#This Row],[Category No]],Table8[Category No],Table8[Chapter List],FALSE)</f>
        <v>0</v>
      </c>
      <c r="D492" s="34"/>
      <c r="E492" s="34"/>
      <c r="F492" s="34"/>
    </row>
    <row r="493" spans="1:6" x14ac:dyDescent="0.3">
      <c r="A493" s="32">
        <v>487</v>
      </c>
      <c r="B493" s="32"/>
      <c r="C493" s="32" t="b">
        <f>_xlfn.XLOOKUP(Table610111213[[#This Row],[Category No]],Table8[Category No],Table8[Chapter List],FALSE)</f>
        <v>0</v>
      </c>
      <c r="D493" s="34"/>
      <c r="E493" s="34"/>
      <c r="F493" s="34"/>
    </row>
    <row r="494" spans="1:6" x14ac:dyDescent="0.3">
      <c r="A494" s="32">
        <v>488</v>
      </c>
      <c r="B494" s="32"/>
      <c r="C494" s="32" t="b">
        <f>_xlfn.XLOOKUP(Table610111213[[#This Row],[Category No]],Table8[Category No],Table8[Chapter List],FALSE)</f>
        <v>0</v>
      </c>
      <c r="D494" s="34"/>
      <c r="E494" s="34"/>
      <c r="F494" s="34"/>
    </row>
    <row r="495" spans="1:6" x14ac:dyDescent="0.3">
      <c r="A495" s="32">
        <v>489</v>
      </c>
      <c r="B495" s="32"/>
      <c r="C495" s="32" t="b">
        <f>_xlfn.XLOOKUP(Table610111213[[#This Row],[Category No]],Table8[Category No],Table8[Chapter List],FALSE)</f>
        <v>0</v>
      </c>
      <c r="D495" s="34"/>
      <c r="E495" s="34"/>
      <c r="F495" s="34"/>
    </row>
    <row r="496" spans="1:6" x14ac:dyDescent="0.3">
      <c r="A496" s="32">
        <v>490</v>
      </c>
      <c r="B496" s="32"/>
      <c r="C496" s="32" t="b">
        <f>_xlfn.XLOOKUP(Table610111213[[#This Row],[Category No]],Table8[Category No],Table8[Chapter List],FALSE)</f>
        <v>0</v>
      </c>
      <c r="D496" s="34"/>
      <c r="E496" s="34"/>
      <c r="F496" s="34"/>
    </row>
    <row r="497" spans="1:6" x14ac:dyDescent="0.3">
      <c r="A497" s="32">
        <v>491</v>
      </c>
      <c r="B497" s="32"/>
      <c r="C497" s="32" t="b">
        <f>_xlfn.XLOOKUP(Table610111213[[#This Row],[Category No]],Table8[Category No],Table8[Chapter List],FALSE)</f>
        <v>0</v>
      </c>
      <c r="D497" s="34"/>
      <c r="E497" s="34"/>
      <c r="F497" s="34"/>
    </row>
    <row r="498" spans="1:6" x14ac:dyDescent="0.3">
      <c r="A498" s="32">
        <v>492</v>
      </c>
      <c r="B498" s="32"/>
      <c r="C498" s="32" t="b">
        <f>_xlfn.XLOOKUP(Table610111213[[#This Row],[Category No]],Table8[Category No],Table8[Chapter List],FALSE)</f>
        <v>0</v>
      </c>
      <c r="D498" s="34"/>
      <c r="E498" s="34"/>
      <c r="F498" s="34"/>
    </row>
    <row r="499" spans="1:6" x14ac:dyDescent="0.3">
      <c r="A499" s="32">
        <v>493</v>
      </c>
      <c r="B499" s="32"/>
      <c r="C499" s="32" t="b">
        <f>_xlfn.XLOOKUP(Table610111213[[#This Row],[Category No]],Table8[Category No],Table8[Chapter List],FALSE)</f>
        <v>0</v>
      </c>
      <c r="D499" s="34"/>
      <c r="E499" s="34"/>
      <c r="F499" s="34"/>
    </row>
    <row r="500" spans="1:6" x14ac:dyDescent="0.3">
      <c r="A500" s="32">
        <v>494</v>
      </c>
      <c r="B500" s="32"/>
      <c r="C500" s="32" t="b">
        <f>_xlfn.XLOOKUP(Table610111213[[#This Row],[Category No]],Table8[Category No],Table8[Chapter List],FALSE)</f>
        <v>0</v>
      </c>
      <c r="D500" s="34"/>
      <c r="E500" s="34"/>
      <c r="F500" s="34"/>
    </row>
    <row r="501" spans="1:6" x14ac:dyDescent="0.3">
      <c r="A501" s="32">
        <v>495</v>
      </c>
      <c r="B501" s="32"/>
      <c r="C501" s="32" t="b">
        <f>_xlfn.XLOOKUP(Table610111213[[#This Row],[Category No]],Table8[Category No],Table8[Chapter List],FALSE)</f>
        <v>0</v>
      </c>
      <c r="D501" s="34"/>
      <c r="E501" s="34"/>
      <c r="F501" s="34"/>
    </row>
    <row r="502" spans="1:6" x14ac:dyDescent="0.3">
      <c r="A502" s="32">
        <v>496</v>
      </c>
      <c r="B502" s="32"/>
      <c r="C502" s="32" t="b">
        <f>_xlfn.XLOOKUP(Table610111213[[#This Row],[Category No]],Table8[Category No],Table8[Chapter List],FALSE)</f>
        <v>0</v>
      </c>
      <c r="D502" s="34"/>
      <c r="E502" s="34"/>
      <c r="F502" s="34"/>
    </row>
    <row r="503" spans="1:6" x14ac:dyDescent="0.3">
      <c r="A503" s="32">
        <v>497</v>
      </c>
      <c r="B503" s="32"/>
      <c r="C503" s="32" t="b">
        <f>_xlfn.XLOOKUP(Table610111213[[#This Row],[Category No]],Table8[Category No],Table8[Chapter List],FALSE)</f>
        <v>0</v>
      </c>
      <c r="D503" s="34"/>
      <c r="E503" s="34"/>
      <c r="F503" s="34"/>
    </row>
    <row r="504" spans="1:6" x14ac:dyDescent="0.3">
      <c r="A504" s="32">
        <v>498</v>
      </c>
      <c r="B504" s="32"/>
      <c r="C504" s="32" t="b">
        <f>_xlfn.XLOOKUP(Table610111213[[#This Row],[Category No]],Table8[Category No],Table8[Chapter List],FALSE)</f>
        <v>0</v>
      </c>
      <c r="D504" s="34"/>
      <c r="E504" s="34"/>
      <c r="F504" s="34"/>
    </row>
    <row r="505" spans="1:6" x14ac:dyDescent="0.3">
      <c r="A505" s="32">
        <v>499</v>
      </c>
      <c r="B505" s="32"/>
      <c r="C505" s="32" t="b">
        <f>_xlfn.XLOOKUP(Table610111213[[#This Row],[Category No]],Table8[Category No],Table8[Chapter List],FALSE)</f>
        <v>0</v>
      </c>
      <c r="D505" s="34"/>
      <c r="E505" s="34"/>
      <c r="F505" s="34"/>
    </row>
    <row r="506" spans="1:6" x14ac:dyDescent="0.3">
      <c r="A506" s="32">
        <v>500</v>
      </c>
      <c r="B506" s="32"/>
      <c r="C506" s="32" t="b">
        <f>_xlfn.XLOOKUP(Table610111213[[#This Row],[Category No]],Table8[Category No],Table8[Chapter List],FALSE)</f>
        <v>0</v>
      </c>
      <c r="D506" s="34"/>
      <c r="E506" s="34"/>
      <c r="F506" s="34"/>
    </row>
    <row r="507" spans="1:6" x14ac:dyDescent="0.3">
      <c r="A507" s="32">
        <v>501</v>
      </c>
      <c r="B507" s="32"/>
      <c r="C507" s="32" t="b">
        <f>_xlfn.XLOOKUP(Table610111213[[#This Row],[Category No]],Table8[Category No],Table8[Chapter List],FALSE)</f>
        <v>0</v>
      </c>
      <c r="D507" s="34"/>
      <c r="E507" s="34"/>
      <c r="F507" s="34"/>
    </row>
    <row r="508" spans="1:6" x14ac:dyDescent="0.3">
      <c r="A508" s="32">
        <v>502</v>
      </c>
      <c r="B508" s="32"/>
      <c r="C508" s="32" t="b">
        <f>_xlfn.XLOOKUP(Table610111213[[#This Row],[Category No]],Table8[Category No],Table8[Chapter List],FALSE)</f>
        <v>0</v>
      </c>
      <c r="D508" s="34"/>
      <c r="E508" s="34"/>
      <c r="F508" s="34"/>
    </row>
    <row r="509" spans="1:6" x14ac:dyDescent="0.3">
      <c r="A509" s="32">
        <v>503</v>
      </c>
      <c r="B509" s="32"/>
      <c r="C509" s="32" t="b">
        <f>_xlfn.XLOOKUP(Table610111213[[#This Row],[Category No]],Table8[Category No],Table8[Chapter List],FALSE)</f>
        <v>0</v>
      </c>
      <c r="D509" s="34"/>
      <c r="E509" s="34"/>
      <c r="F509" s="34"/>
    </row>
    <row r="510" spans="1:6" x14ac:dyDescent="0.3">
      <c r="A510" s="32">
        <v>504</v>
      </c>
      <c r="B510" s="32"/>
      <c r="C510" s="32" t="b">
        <f>_xlfn.XLOOKUP(Table610111213[[#This Row],[Category No]],Table8[Category No],Table8[Chapter List],FALSE)</f>
        <v>0</v>
      </c>
      <c r="D510" s="34"/>
      <c r="E510" s="34"/>
      <c r="F510" s="34"/>
    </row>
    <row r="511" spans="1:6" x14ac:dyDescent="0.3">
      <c r="A511" s="32">
        <v>505</v>
      </c>
      <c r="B511" s="32"/>
      <c r="C511" s="32" t="b">
        <f>_xlfn.XLOOKUP(Table610111213[[#This Row],[Category No]],Table8[Category No],Table8[Chapter List],FALSE)</f>
        <v>0</v>
      </c>
      <c r="D511" s="34"/>
      <c r="E511" s="34"/>
      <c r="F511" s="34"/>
    </row>
    <row r="512" spans="1:6" x14ac:dyDescent="0.3">
      <c r="A512" s="32">
        <v>506</v>
      </c>
      <c r="B512" s="32"/>
      <c r="C512" s="32" t="b">
        <f>_xlfn.XLOOKUP(Table610111213[[#This Row],[Category No]],Table8[Category No],Table8[Chapter List],FALSE)</f>
        <v>0</v>
      </c>
      <c r="D512" s="34"/>
      <c r="E512" s="34"/>
      <c r="F512" s="34"/>
    </row>
    <row r="513" spans="1:6" x14ac:dyDescent="0.3">
      <c r="A513" s="32">
        <v>507</v>
      </c>
      <c r="B513" s="32"/>
      <c r="C513" s="32" t="b">
        <f>_xlfn.XLOOKUP(Table610111213[[#This Row],[Category No]],Table8[Category No],Table8[Chapter List],FALSE)</f>
        <v>0</v>
      </c>
      <c r="D513" s="34"/>
      <c r="E513" s="34"/>
      <c r="F513" s="34"/>
    </row>
    <row r="514" spans="1:6" x14ac:dyDescent="0.3">
      <c r="A514" s="32">
        <v>508</v>
      </c>
      <c r="B514" s="32"/>
      <c r="C514" s="32" t="b">
        <f>_xlfn.XLOOKUP(Table610111213[[#This Row],[Category No]],Table8[Category No],Table8[Chapter List],FALSE)</f>
        <v>0</v>
      </c>
      <c r="D514" s="34"/>
      <c r="E514" s="34"/>
      <c r="F514" s="34"/>
    </row>
    <row r="515" spans="1:6" x14ac:dyDescent="0.3">
      <c r="A515" s="32">
        <v>509</v>
      </c>
      <c r="B515" s="32"/>
      <c r="C515" s="32" t="b">
        <f>_xlfn.XLOOKUP(Table610111213[[#This Row],[Category No]],Table8[Category No],Table8[Chapter List],FALSE)</f>
        <v>0</v>
      </c>
      <c r="D515" s="34"/>
      <c r="E515" s="34"/>
      <c r="F515" s="34"/>
    </row>
    <row r="516" spans="1:6" x14ac:dyDescent="0.3">
      <c r="A516" s="32">
        <v>510</v>
      </c>
      <c r="B516" s="32"/>
      <c r="C516" s="32" t="b">
        <f>_xlfn.XLOOKUP(Table610111213[[#This Row],[Category No]],Table8[Category No],Table8[Chapter List],FALSE)</f>
        <v>0</v>
      </c>
      <c r="D516" s="34"/>
      <c r="E516" s="34"/>
      <c r="F516" s="34"/>
    </row>
    <row r="517" spans="1:6" x14ac:dyDescent="0.3">
      <c r="A517" s="32">
        <v>511</v>
      </c>
      <c r="B517" s="32"/>
      <c r="C517" s="32" t="b">
        <f>_xlfn.XLOOKUP(Table610111213[[#This Row],[Category No]],Table8[Category No],Table8[Chapter List],FALSE)</f>
        <v>0</v>
      </c>
      <c r="D517" s="34"/>
      <c r="E517" s="34"/>
      <c r="F517" s="34"/>
    </row>
    <row r="518" spans="1:6" x14ac:dyDescent="0.3">
      <c r="A518" s="32">
        <v>512</v>
      </c>
      <c r="B518" s="32"/>
      <c r="C518" s="32" t="b">
        <f>_xlfn.XLOOKUP(Table610111213[[#This Row],[Category No]],Table8[Category No],Table8[Chapter List],FALSE)</f>
        <v>0</v>
      </c>
      <c r="D518" s="34"/>
      <c r="E518" s="34"/>
      <c r="F518" s="34"/>
    </row>
    <row r="519" spans="1:6" x14ac:dyDescent="0.3">
      <c r="A519" s="32">
        <v>513</v>
      </c>
      <c r="B519" s="32"/>
      <c r="C519" s="32" t="b">
        <f>_xlfn.XLOOKUP(Table610111213[[#This Row],[Category No]],Table8[Category No],Table8[Chapter List],FALSE)</f>
        <v>0</v>
      </c>
      <c r="D519" s="34"/>
      <c r="E519" s="34"/>
      <c r="F519" s="34"/>
    </row>
    <row r="520" spans="1:6" x14ac:dyDescent="0.3">
      <c r="A520" s="32">
        <v>514</v>
      </c>
      <c r="B520" s="32"/>
      <c r="C520" s="32" t="b">
        <f>_xlfn.XLOOKUP(Table610111213[[#This Row],[Category No]],Table8[Category No],Table8[Chapter List],FALSE)</f>
        <v>0</v>
      </c>
      <c r="D520" s="34"/>
      <c r="E520" s="34"/>
      <c r="F520" s="34"/>
    </row>
    <row r="521" spans="1:6" x14ac:dyDescent="0.3">
      <c r="A521" s="32">
        <v>515</v>
      </c>
      <c r="B521" s="32"/>
      <c r="C521" s="32" t="b">
        <f>_xlfn.XLOOKUP(Table610111213[[#This Row],[Category No]],Table8[Category No],Table8[Chapter List],FALSE)</f>
        <v>0</v>
      </c>
      <c r="D521" s="34"/>
      <c r="E521" s="34"/>
      <c r="F521" s="34"/>
    </row>
    <row r="522" spans="1:6" x14ac:dyDescent="0.3">
      <c r="A522" s="32">
        <v>516</v>
      </c>
      <c r="B522" s="32"/>
      <c r="C522" s="32" t="b">
        <f>_xlfn.XLOOKUP(Table610111213[[#This Row],[Category No]],Table8[Category No],Table8[Chapter List],FALSE)</f>
        <v>0</v>
      </c>
      <c r="D522" s="34"/>
      <c r="E522" s="34"/>
      <c r="F522" s="34"/>
    </row>
    <row r="523" spans="1:6" x14ac:dyDescent="0.3">
      <c r="A523" s="32">
        <v>517</v>
      </c>
      <c r="B523" s="32"/>
      <c r="C523" s="32" t="b">
        <f>_xlfn.XLOOKUP(Table610111213[[#This Row],[Category No]],Table8[Category No],Table8[Chapter List],FALSE)</f>
        <v>0</v>
      </c>
      <c r="D523" s="34"/>
      <c r="E523" s="34"/>
      <c r="F523" s="34"/>
    </row>
    <row r="524" spans="1:6" x14ac:dyDescent="0.3">
      <c r="A524" s="32">
        <v>518</v>
      </c>
      <c r="B524" s="32"/>
      <c r="C524" s="32" t="b">
        <f>_xlfn.XLOOKUP(Table610111213[[#This Row],[Category No]],Table8[Category No],Table8[Chapter List],FALSE)</f>
        <v>0</v>
      </c>
      <c r="D524" s="34"/>
      <c r="E524" s="34"/>
      <c r="F524" s="34"/>
    </row>
    <row r="525" spans="1:6" x14ac:dyDescent="0.3">
      <c r="A525" s="32">
        <v>519</v>
      </c>
      <c r="B525" s="32"/>
      <c r="C525" s="32" t="b">
        <f>_xlfn.XLOOKUP(Table610111213[[#This Row],[Category No]],Table8[Category No],Table8[Chapter List],FALSE)</f>
        <v>0</v>
      </c>
      <c r="D525" s="34"/>
      <c r="E525" s="34"/>
      <c r="F525" s="34"/>
    </row>
    <row r="526" spans="1:6" x14ac:dyDescent="0.3">
      <c r="A526" s="32">
        <v>520</v>
      </c>
      <c r="B526" s="32"/>
      <c r="C526" s="32" t="b">
        <f>_xlfn.XLOOKUP(Table610111213[[#This Row],[Category No]],Table8[Category No],Table8[Chapter List],FALSE)</f>
        <v>0</v>
      </c>
      <c r="D526" s="34"/>
      <c r="E526" s="34"/>
      <c r="F526" s="34"/>
    </row>
    <row r="527" spans="1:6" x14ac:dyDescent="0.3">
      <c r="A527" s="32">
        <v>521</v>
      </c>
      <c r="B527" s="32"/>
      <c r="C527" s="32" t="b">
        <f>_xlfn.XLOOKUP(Table610111213[[#This Row],[Category No]],Table8[Category No],Table8[Chapter List],FALSE)</f>
        <v>0</v>
      </c>
      <c r="D527" s="34"/>
      <c r="E527" s="34"/>
      <c r="F527" s="34"/>
    </row>
    <row r="528" spans="1:6" x14ac:dyDescent="0.3">
      <c r="A528" s="32">
        <v>522</v>
      </c>
      <c r="B528" s="32"/>
      <c r="C528" s="32" t="b">
        <f>_xlfn.XLOOKUP(Table610111213[[#This Row],[Category No]],Table8[Category No],Table8[Chapter List],FALSE)</f>
        <v>0</v>
      </c>
      <c r="D528" s="34"/>
      <c r="E528" s="34"/>
      <c r="F528" s="34"/>
    </row>
    <row r="529" spans="1:6" x14ac:dyDescent="0.3">
      <c r="A529" s="32">
        <v>523</v>
      </c>
      <c r="B529" s="32"/>
      <c r="C529" s="32" t="b">
        <f>_xlfn.XLOOKUP(Table610111213[[#This Row],[Category No]],Table8[Category No],Table8[Chapter List],FALSE)</f>
        <v>0</v>
      </c>
      <c r="D529" s="34"/>
      <c r="E529" s="34"/>
      <c r="F529" s="34"/>
    </row>
    <row r="530" spans="1:6" x14ac:dyDescent="0.3">
      <c r="A530" s="32">
        <v>524</v>
      </c>
      <c r="B530" s="32"/>
      <c r="C530" s="32" t="b">
        <f>_xlfn.XLOOKUP(Table610111213[[#This Row],[Category No]],Table8[Category No],Table8[Chapter List],FALSE)</f>
        <v>0</v>
      </c>
      <c r="D530" s="34"/>
      <c r="E530" s="34"/>
      <c r="F530" s="34"/>
    </row>
    <row r="531" spans="1:6" x14ac:dyDescent="0.3">
      <c r="A531" s="32">
        <v>525</v>
      </c>
      <c r="B531" s="32"/>
      <c r="C531" s="32" t="b">
        <f>_xlfn.XLOOKUP(Table610111213[[#This Row],[Category No]],Table8[Category No],Table8[Chapter List],FALSE)</f>
        <v>0</v>
      </c>
      <c r="D531" s="34"/>
      <c r="E531" s="34"/>
      <c r="F531" s="34"/>
    </row>
    <row r="532" spans="1:6" x14ac:dyDescent="0.3">
      <c r="A532" s="32">
        <v>526</v>
      </c>
      <c r="B532" s="32"/>
      <c r="C532" s="32" t="b">
        <f>_xlfn.XLOOKUP(Table610111213[[#This Row],[Category No]],Table8[Category No],Table8[Chapter List],FALSE)</f>
        <v>0</v>
      </c>
      <c r="D532" s="34"/>
      <c r="E532" s="34"/>
      <c r="F532" s="34"/>
    </row>
    <row r="533" spans="1:6" x14ac:dyDescent="0.3">
      <c r="A533" s="32">
        <v>527</v>
      </c>
      <c r="B533" s="32"/>
      <c r="C533" s="32" t="b">
        <f>_xlfn.XLOOKUP(Table610111213[[#This Row],[Category No]],Table8[Category No],Table8[Chapter List],FALSE)</f>
        <v>0</v>
      </c>
      <c r="D533" s="34"/>
      <c r="E533" s="34"/>
      <c r="F533" s="34"/>
    </row>
    <row r="534" spans="1:6" x14ac:dyDescent="0.3">
      <c r="A534" s="32">
        <v>528</v>
      </c>
      <c r="B534" s="32"/>
      <c r="C534" s="32" t="b">
        <f>_xlfn.XLOOKUP(Table610111213[[#This Row],[Category No]],Table8[Category No],Table8[Chapter List],FALSE)</f>
        <v>0</v>
      </c>
      <c r="D534" s="34"/>
      <c r="E534" s="34"/>
      <c r="F534" s="34"/>
    </row>
    <row r="535" spans="1:6" x14ac:dyDescent="0.3">
      <c r="A535" s="32">
        <v>529</v>
      </c>
      <c r="B535" s="32"/>
      <c r="C535" s="32" t="b">
        <f>_xlfn.XLOOKUP(Table610111213[[#This Row],[Category No]],Table8[Category No],Table8[Chapter List],FALSE)</f>
        <v>0</v>
      </c>
      <c r="D535" s="34"/>
      <c r="E535" s="34"/>
      <c r="F535" s="34"/>
    </row>
    <row r="536" spans="1:6" x14ac:dyDescent="0.3">
      <c r="A536" s="32">
        <v>530</v>
      </c>
      <c r="B536" s="32"/>
      <c r="C536" s="32" t="b">
        <f>_xlfn.XLOOKUP(Table610111213[[#This Row],[Category No]],Table8[Category No],Table8[Chapter List],FALSE)</f>
        <v>0</v>
      </c>
      <c r="D536" s="34"/>
      <c r="E536" s="34"/>
      <c r="F536" s="34"/>
    </row>
    <row r="537" spans="1:6" x14ac:dyDescent="0.3">
      <c r="A537" s="32">
        <v>531</v>
      </c>
      <c r="B537" s="32"/>
      <c r="C537" s="32" t="b">
        <f>_xlfn.XLOOKUP(Table610111213[[#This Row],[Category No]],Table8[Category No],Table8[Chapter List],FALSE)</f>
        <v>0</v>
      </c>
      <c r="D537" s="34"/>
      <c r="E537" s="34"/>
      <c r="F537" s="34"/>
    </row>
    <row r="538" spans="1:6" x14ac:dyDescent="0.3">
      <c r="A538" s="32">
        <v>532</v>
      </c>
      <c r="B538" s="32"/>
      <c r="C538" s="32" t="b">
        <f>_xlfn.XLOOKUP(Table610111213[[#This Row],[Category No]],Table8[Category No],Table8[Chapter List],FALSE)</f>
        <v>0</v>
      </c>
      <c r="D538" s="34"/>
      <c r="E538" s="34"/>
      <c r="F538" s="34"/>
    </row>
    <row r="539" spans="1:6" x14ac:dyDescent="0.3">
      <c r="A539" s="32">
        <v>533</v>
      </c>
      <c r="B539" s="32"/>
      <c r="C539" s="32" t="b">
        <f>_xlfn.XLOOKUP(Table610111213[[#This Row],[Category No]],Table8[Category No],Table8[Chapter List],FALSE)</f>
        <v>0</v>
      </c>
      <c r="D539" s="34"/>
      <c r="E539" s="34"/>
      <c r="F539" s="34"/>
    </row>
    <row r="540" spans="1:6" x14ac:dyDescent="0.3">
      <c r="A540" s="32">
        <v>534</v>
      </c>
      <c r="B540" s="32"/>
      <c r="C540" s="32" t="b">
        <f>_xlfn.XLOOKUP(Table610111213[[#This Row],[Category No]],Table8[Category No],Table8[Chapter List],FALSE)</f>
        <v>0</v>
      </c>
      <c r="D540" s="34"/>
      <c r="E540" s="34"/>
      <c r="F540" s="34"/>
    </row>
    <row r="541" spans="1:6" x14ac:dyDescent="0.3">
      <c r="A541" s="32">
        <v>535</v>
      </c>
      <c r="B541" s="32"/>
      <c r="C541" s="32" t="b">
        <f>_xlfn.XLOOKUP(Table610111213[[#This Row],[Category No]],Table8[Category No],Table8[Chapter List],FALSE)</f>
        <v>0</v>
      </c>
      <c r="D541" s="34"/>
      <c r="E541" s="34"/>
      <c r="F541" s="34"/>
    </row>
    <row r="542" spans="1:6" x14ac:dyDescent="0.3">
      <c r="A542" s="32">
        <v>536</v>
      </c>
      <c r="B542" s="32"/>
      <c r="C542" s="32" t="b">
        <f>_xlfn.XLOOKUP(Table610111213[[#This Row],[Category No]],Table8[Category No],Table8[Chapter List],FALSE)</f>
        <v>0</v>
      </c>
      <c r="D542" s="34"/>
      <c r="E542" s="34"/>
      <c r="F542" s="34"/>
    </row>
    <row r="543" spans="1:6" x14ac:dyDescent="0.3">
      <c r="A543" s="32">
        <v>537</v>
      </c>
      <c r="B543" s="32"/>
      <c r="C543" s="32" t="b">
        <f>_xlfn.XLOOKUP(Table610111213[[#This Row],[Category No]],Table8[Category No],Table8[Chapter List],FALSE)</f>
        <v>0</v>
      </c>
      <c r="D543" s="34"/>
      <c r="E543" s="34"/>
      <c r="F543" s="34"/>
    </row>
    <row r="544" spans="1:6" x14ac:dyDescent="0.3">
      <c r="A544" s="32">
        <v>538</v>
      </c>
      <c r="B544" s="32"/>
      <c r="C544" s="32" t="b">
        <f>_xlfn.XLOOKUP(Table610111213[[#This Row],[Category No]],Table8[Category No],Table8[Chapter List],FALSE)</f>
        <v>0</v>
      </c>
      <c r="D544" s="34"/>
      <c r="E544" s="34"/>
      <c r="F544" s="34"/>
    </row>
    <row r="545" spans="1:6" x14ac:dyDescent="0.3">
      <c r="A545" s="32">
        <v>539</v>
      </c>
      <c r="B545" s="32"/>
      <c r="C545" s="32" t="b">
        <f>_xlfn.XLOOKUP(Table610111213[[#This Row],[Category No]],Table8[Category No],Table8[Chapter List],FALSE)</f>
        <v>0</v>
      </c>
      <c r="D545" s="34"/>
      <c r="E545" s="34"/>
      <c r="F545" s="34"/>
    </row>
    <row r="546" spans="1:6" x14ac:dyDescent="0.3">
      <c r="A546" s="32">
        <v>540</v>
      </c>
      <c r="B546" s="32"/>
      <c r="C546" s="32" t="b">
        <f>_xlfn.XLOOKUP(Table610111213[[#This Row],[Category No]],Table8[Category No],Table8[Chapter List],FALSE)</f>
        <v>0</v>
      </c>
      <c r="D546" s="34"/>
      <c r="E546" s="34"/>
      <c r="F546" s="34"/>
    </row>
    <row r="547" spans="1:6" x14ac:dyDescent="0.3">
      <c r="A547" s="32">
        <v>541</v>
      </c>
      <c r="B547" s="32"/>
      <c r="C547" s="32" t="b">
        <f>_xlfn.XLOOKUP(Table610111213[[#This Row],[Category No]],Table8[Category No],Table8[Chapter List],FALSE)</f>
        <v>0</v>
      </c>
      <c r="D547" s="34"/>
      <c r="E547" s="34"/>
      <c r="F547" s="34"/>
    </row>
    <row r="548" spans="1:6" x14ac:dyDescent="0.3">
      <c r="A548" s="32">
        <v>542</v>
      </c>
      <c r="B548" s="32"/>
      <c r="C548" s="32" t="b">
        <f>_xlfn.XLOOKUP(Table610111213[[#This Row],[Category No]],Table8[Category No],Table8[Chapter List],FALSE)</f>
        <v>0</v>
      </c>
      <c r="D548" s="34"/>
      <c r="E548" s="34"/>
      <c r="F548" s="34"/>
    </row>
    <row r="549" spans="1:6" x14ac:dyDescent="0.3">
      <c r="A549" s="32">
        <v>543</v>
      </c>
      <c r="B549" s="32"/>
      <c r="C549" s="32" t="b">
        <f>_xlfn.XLOOKUP(Table610111213[[#This Row],[Category No]],Table8[Category No],Table8[Chapter List],FALSE)</f>
        <v>0</v>
      </c>
      <c r="D549" s="34"/>
      <c r="E549" s="34"/>
      <c r="F549" s="34"/>
    </row>
    <row r="550" spans="1:6" x14ac:dyDescent="0.3">
      <c r="A550" s="32">
        <v>544</v>
      </c>
      <c r="B550" s="32"/>
      <c r="C550" s="32" t="b">
        <f>_xlfn.XLOOKUP(Table610111213[[#This Row],[Category No]],Table8[Category No],Table8[Chapter List],FALSE)</f>
        <v>0</v>
      </c>
      <c r="D550" s="34"/>
      <c r="E550" s="34"/>
      <c r="F550" s="34"/>
    </row>
    <row r="551" spans="1:6" x14ac:dyDescent="0.3">
      <c r="A551" s="32">
        <v>545</v>
      </c>
      <c r="B551" s="32"/>
      <c r="C551" s="32" t="b">
        <f>_xlfn.XLOOKUP(Table610111213[[#This Row],[Category No]],Table8[Category No],Table8[Chapter List],FALSE)</f>
        <v>0</v>
      </c>
      <c r="D551" s="34"/>
      <c r="E551" s="34"/>
      <c r="F551" s="34"/>
    </row>
    <row r="552" spans="1:6" x14ac:dyDescent="0.3">
      <c r="A552" s="32">
        <v>546</v>
      </c>
      <c r="B552" s="32"/>
      <c r="C552" s="32" t="b">
        <f>_xlfn.XLOOKUP(Table610111213[[#This Row],[Category No]],Table8[Category No],Table8[Chapter List],FALSE)</f>
        <v>0</v>
      </c>
      <c r="D552" s="34"/>
      <c r="E552" s="34"/>
      <c r="F552" s="34"/>
    </row>
    <row r="553" spans="1:6" x14ac:dyDescent="0.3">
      <c r="A553" s="32">
        <v>547</v>
      </c>
      <c r="B553" s="32"/>
      <c r="C553" s="32" t="b">
        <f>_xlfn.XLOOKUP(Table610111213[[#This Row],[Category No]],Table8[Category No],Table8[Chapter List],FALSE)</f>
        <v>0</v>
      </c>
      <c r="D553" s="34"/>
      <c r="E553" s="34"/>
      <c r="F553" s="34"/>
    </row>
    <row r="554" spans="1:6" x14ac:dyDescent="0.3">
      <c r="A554" s="32">
        <v>548</v>
      </c>
      <c r="B554" s="32"/>
      <c r="C554" s="32" t="b">
        <f>_xlfn.XLOOKUP(Table610111213[[#This Row],[Category No]],Table8[Category No],Table8[Chapter List],FALSE)</f>
        <v>0</v>
      </c>
      <c r="D554" s="34"/>
      <c r="E554" s="34"/>
      <c r="F554" s="34"/>
    </row>
    <row r="555" spans="1:6" x14ac:dyDescent="0.3">
      <c r="A555" s="32">
        <v>549</v>
      </c>
      <c r="B555" s="32"/>
      <c r="C555" s="32" t="b">
        <f>_xlfn.XLOOKUP(Table610111213[[#This Row],[Category No]],Table8[Category No],Table8[Chapter List],FALSE)</f>
        <v>0</v>
      </c>
      <c r="D555" s="34"/>
      <c r="E555" s="34"/>
      <c r="F555" s="34"/>
    </row>
    <row r="556" spans="1:6" x14ac:dyDescent="0.3">
      <c r="A556" s="32">
        <v>550</v>
      </c>
      <c r="B556" s="32"/>
      <c r="C556" s="32" t="b">
        <f>_xlfn.XLOOKUP(Table610111213[[#This Row],[Category No]],Table8[Category No],Table8[Chapter List],FALSE)</f>
        <v>0</v>
      </c>
      <c r="D556" s="34"/>
      <c r="E556" s="34"/>
      <c r="F556" s="34"/>
    </row>
    <row r="557" spans="1:6" x14ac:dyDescent="0.3">
      <c r="A557" s="32">
        <v>551</v>
      </c>
      <c r="B557" s="32"/>
      <c r="C557" s="32" t="b">
        <f>_xlfn.XLOOKUP(Table610111213[[#This Row],[Category No]],Table8[Category No],Table8[Chapter List],FALSE)</f>
        <v>0</v>
      </c>
      <c r="D557" s="34"/>
      <c r="E557" s="34"/>
      <c r="F557" s="34"/>
    </row>
    <row r="558" spans="1:6" x14ac:dyDescent="0.3">
      <c r="A558" s="32">
        <v>552</v>
      </c>
      <c r="B558" s="32"/>
      <c r="C558" s="32" t="b">
        <f>_xlfn.XLOOKUP(Table610111213[[#This Row],[Category No]],Table8[Category No],Table8[Chapter List],FALSE)</f>
        <v>0</v>
      </c>
      <c r="D558" s="34"/>
      <c r="E558" s="34"/>
      <c r="F558" s="34"/>
    </row>
    <row r="559" spans="1:6" x14ac:dyDescent="0.3">
      <c r="A559" s="32">
        <v>553</v>
      </c>
      <c r="B559" s="32"/>
      <c r="C559" s="32" t="b">
        <f>_xlfn.XLOOKUP(Table610111213[[#This Row],[Category No]],Table8[Category No],Table8[Chapter List],FALSE)</f>
        <v>0</v>
      </c>
      <c r="D559" s="34"/>
      <c r="E559" s="34"/>
      <c r="F559" s="34"/>
    </row>
    <row r="560" spans="1:6" x14ac:dyDescent="0.3">
      <c r="A560" s="32">
        <v>554</v>
      </c>
      <c r="B560" s="32"/>
      <c r="C560" s="32" t="b">
        <f>_xlfn.XLOOKUP(Table610111213[[#This Row],[Category No]],Table8[Category No],Table8[Chapter List],FALSE)</f>
        <v>0</v>
      </c>
      <c r="D560" s="34"/>
      <c r="E560" s="34"/>
      <c r="F560" s="34"/>
    </row>
    <row r="561" spans="1:6" x14ac:dyDescent="0.3">
      <c r="A561" s="32">
        <v>555</v>
      </c>
      <c r="B561" s="32"/>
      <c r="C561" s="32" t="b">
        <f>_xlfn.XLOOKUP(Table610111213[[#This Row],[Category No]],Table8[Category No],Table8[Chapter List],FALSE)</f>
        <v>0</v>
      </c>
      <c r="D561" s="34"/>
      <c r="E561" s="34"/>
      <c r="F561" s="34"/>
    </row>
    <row r="562" spans="1:6" x14ac:dyDescent="0.3">
      <c r="A562" s="32">
        <v>556</v>
      </c>
      <c r="B562" s="32"/>
      <c r="C562" s="32" t="b">
        <f>_xlfn.XLOOKUP(Table610111213[[#This Row],[Category No]],Table8[Category No],Table8[Chapter List],FALSE)</f>
        <v>0</v>
      </c>
      <c r="D562" s="34"/>
      <c r="E562" s="34"/>
      <c r="F562" s="34"/>
    </row>
    <row r="563" spans="1:6" x14ac:dyDescent="0.3">
      <c r="A563" s="32">
        <v>557</v>
      </c>
      <c r="B563" s="32"/>
      <c r="C563" s="32" t="b">
        <f>_xlfn.XLOOKUP(Table610111213[[#This Row],[Category No]],Table8[Category No],Table8[Chapter List],FALSE)</f>
        <v>0</v>
      </c>
      <c r="D563" s="34"/>
      <c r="E563" s="34"/>
      <c r="F563" s="34"/>
    </row>
    <row r="564" spans="1:6" x14ac:dyDescent="0.3">
      <c r="A564" s="32">
        <v>558</v>
      </c>
      <c r="B564" s="32"/>
      <c r="C564" s="32" t="b">
        <f>_xlfn.XLOOKUP(Table610111213[[#This Row],[Category No]],Table8[Category No],Table8[Chapter List],FALSE)</f>
        <v>0</v>
      </c>
      <c r="D564" s="34"/>
      <c r="E564" s="34"/>
      <c r="F564" s="34"/>
    </row>
    <row r="565" spans="1:6" x14ac:dyDescent="0.3">
      <c r="A565" s="32">
        <v>559</v>
      </c>
      <c r="B565" s="32"/>
      <c r="C565" s="32" t="b">
        <f>_xlfn.XLOOKUP(Table610111213[[#This Row],[Category No]],Table8[Category No],Table8[Chapter List],FALSE)</f>
        <v>0</v>
      </c>
      <c r="D565" s="34"/>
      <c r="E565" s="34"/>
      <c r="F565" s="34"/>
    </row>
    <row r="566" spans="1:6" x14ac:dyDescent="0.3">
      <c r="A566" s="32">
        <v>560</v>
      </c>
      <c r="B566" s="32"/>
      <c r="C566" s="32" t="b">
        <f>_xlfn.XLOOKUP(Table610111213[[#This Row],[Category No]],Table8[Category No],Table8[Chapter List],FALSE)</f>
        <v>0</v>
      </c>
      <c r="D566" s="34"/>
      <c r="E566" s="34"/>
      <c r="F566" s="34"/>
    </row>
    <row r="567" spans="1:6" x14ac:dyDescent="0.3">
      <c r="A567" s="32">
        <v>561</v>
      </c>
      <c r="B567" s="32"/>
      <c r="C567" s="32" t="b">
        <f>_xlfn.XLOOKUP(Table610111213[[#This Row],[Category No]],Table8[Category No],Table8[Chapter List],FALSE)</f>
        <v>0</v>
      </c>
      <c r="D567" s="34"/>
      <c r="E567" s="34"/>
      <c r="F567" s="34"/>
    </row>
    <row r="568" spans="1:6" x14ac:dyDescent="0.3">
      <c r="A568" s="32">
        <v>562</v>
      </c>
      <c r="B568" s="32"/>
      <c r="C568" s="32" t="b">
        <f>_xlfn.XLOOKUP(Table610111213[[#This Row],[Category No]],Table8[Category No],Table8[Chapter List],FALSE)</f>
        <v>0</v>
      </c>
      <c r="D568" s="34"/>
      <c r="E568" s="34"/>
      <c r="F568" s="34"/>
    </row>
    <row r="569" spans="1:6" x14ac:dyDescent="0.3">
      <c r="A569" s="32">
        <v>563</v>
      </c>
      <c r="B569" s="32"/>
      <c r="C569" s="32" t="b">
        <f>_xlfn.XLOOKUP(Table610111213[[#This Row],[Category No]],Table8[Category No],Table8[Chapter List],FALSE)</f>
        <v>0</v>
      </c>
      <c r="D569" s="34"/>
      <c r="E569" s="34"/>
      <c r="F569" s="34"/>
    </row>
    <row r="570" spans="1:6" x14ac:dyDescent="0.3">
      <c r="A570" s="32">
        <v>564</v>
      </c>
      <c r="B570" s="32"/>
      <c r="C570" s="32" t="b">
        <f>_xlfn.XLOOKUP(Table610111213[[#This Row],[Category No]],Table8[Category No],Table8[Chapter List],FALSE)</f>
        <v>0</v>
      </c>
      <c r="D570" s="34"/>
      <c r="E570" s="34"/>
      <c r="F570" s="34"/>
    </row>
    <row r="571" spans="1:6" x14ac:dyDescent="0.3">
      <c r="A571" s="32">
        <v>565</v>
      </c>
      <c r="B571" s="32"/>
      <c r="C571" s="32" t="b">
        <f>_xlfn.XLOOKUP(Table610111213[[#This Row],[Category No]],Table8[Category No],Table8[Chapter List],FALSE)</f>
        <v>0</v>
      </c>
      <c r="D571" s="34"/>
      <c r="E571" s="34"/>
      <c r="F571" s="34"/>
    </row>
    <row r="572" spans="1:6" x14ac:dyDescent="0.3">
      <c r="A572" s="32">
        <v>566</v>
      </c>
      <c r="B572" s="32"/>
      <c r="C572" s="32" t="b">
        <f>_xlfn.XLOOKUP(Table610111213[[#This Row],[Category No]],Table8[Category No],Table8[Chapter List],FALSE)</f>
        <v>0</v>
      </c>
      <c r="D572" s="34"/>
      <c r="E572" s="34"/>
      <c r="F572" s="34"/>
    </row>
    <row r="573" spans="1:6" x14ac:dyDescent="0.3">
      <c r="A573" s="32">
        <v>567</v>
      </c>
      <c r="B573" s="32"/>
      <c r="C573" s="32" t="b">
        <f>_xlfn.XLOOKUP(Table610111213[[#This Row],[Category No]],Table8[Category No],Table8[Chapter List],FALSE)</f>
        <v>0</v>
      </c>
      <c r="D573" s="34"/>
      <c r="E573" s="34"/>
      <c r="F573" s="34"/>
    </row>
    <row r="574" spans="1:6" x14ac:dyDescent="0.3">
      <c r="A574" s="32">
        <v>568</v>
      </c>
      <c r="B574" s="32"/>
      <c r="C574" s="32" t="b">
        <f>_xlfn.XLOOKUP(Table610111213[[#This Row],[Category No]],Table8[Category No],Table8[Chapter List],FALSE)</f>
        <v>0</v>
      </c>
      <c r="D574" s="34"/>
      <c r="E574" s="34"/>
      <c r="F574" s="34"/>
    </row>
    <row r="575" spans="1:6" x14ac:dyDescent="0.3">
      <c r="A575" s="32">
        <v>569</v>
      </c>
      <c r="B575" s="32"/>
      <c r="C575" s="32" t="b">
        <f>_xlfn.XLOOKUP(Table610111213[[#This Row],[Category No]],Table8[Category No],Table8[Chapter List],FALSE)</f>
        <v>0</v>
      </c>
      <c r="D575" s="34"/>
      <c r="E575" s="34"/>
      <c r="F575" s="34"/>
    </row>
    <row r="576" spans="1:6" x14ac:dyDescent="0.3">
      <c r="A576" s="32">
        <v>570</v>
      </c>
      <c r="B576" s="32"/>
      <c r="C576" s="32" t="b">
        <f>_xlfn.XLOOKUP(Table610111213[[#This Row],[Category No]],Table8[Category No],Table8[Chapter List],FALSE)</f>
        <v>0</v>
      </c>
      <c r="D576" s="34"/>
      <c r="E576" s="34"/>
      <c r="F576" s="34"/>
    </row>
    <row r="577" spans="1:6" x14ac:dyDescent="0.3">
      <c r="A577" s="32">
        <v>571</v>
      </c>
      <c r="B577" s="32"/>
      <c r="C577" s="32" t="b">
        <f>_xlfn.XLOOKUP(Table610111213[[#This Row],[Category No]],Table8[Category No],Table8[Chapter List],FALSE)</f>
        <v>0</v>
      </c>
      <c r="D577" s="34"/>
      <c r="E577" s="34"/>
      <c r="F577" s="34"/>
    </row>
    <row r="578" spans="1:6" x14ac:dyDescent="0.3">
      <c r="A578" s="32">
        <v>572</v>
      </c>
      <c r="B578" s="32"/>
      <c r="C578" s="32" t="b">
        <f>_xlfn.XLOOKUP(Table610111213[[#This Row],[Category No]],Table8[Category No],Table8[Chapter List],FALSE)</f>
        <v>0</v>
      </c>
      <c r="D578" s="34"/>
      <c r="E578" s="34"/>
      <c r="F578" s="34"/>
    </row>
    <row r="579" spans="1:6" x14ac:dyDescent="0.3">
      <c r="A579" s="32">
        <v>573</v>
      </c>
      <c r="B579" s="32"/>
      <c r="C579" s="32" t="b">
        <f>_xlfn.XLOOKUP(Table610111213[[#This Row],[Category No]],Table8[Category No],Table8[Chapter List],FALSE)</f>
        <v>0</v>
      </c>
      <c r="D579" s="34"/>
      <c r="E579" s="34"/>
      <c r="F579" s="34"/>
    </row>
    <row r="580" spans="1:6" x14ac:dyDescent="0.3">
      <c r="A580" s="32">
        <v>574</v>
      </c>
      <c r="B580" s="32"/>
      <c r="C580" s="32" t="b">
        <f>_xlfn.XLOOKUP(Table610111213[[#This Row],[Category No]],Table8[Category No],Table8[Chapter List],FALSE)</f>
        <v>0</v>
      </c>
      <c r="D580" s="34"/>
      <c r="E580" s="34"/>
      <c r="F580" s="34"/>
    </row>
    <row r="581" spans="1:6" x14ac:dyDescent="0.3">
      <c r="A581" s="32">
        <v>575</v>
      </c>
      <c r="B581" s="32"/>
      <c r="C581" s="32" t="b">
        <f>_xlfn.XLOOKUP(Table610111213[[#This Row],[Category No]],Table8[Category No],Table8[Chapter List],FALSE)</f>
        <v>0</v>
      </c>
      <c r="D581" s="34"/>
      <c r="E581" s="34"/>
      <c r="F581" s="34"/>
    </row>
    <row r="582" spans="1:6" x14ac:dyDescent="0.3">
      <c r="A582" s="32">
        <v>576</v>
      </c>
      <c r="B582" s="32"/>
      <c r="C582" s="32" t="b">
        <f>_xlfn.XLOOKUP(Table610111213[[#This Row],[Category No]],Table8[Category No],Table8[Chapter List],FALSE)</f>
        <v>0</v>
      </c>
      <c r="D582" s="34"/>
      <c r="E582" s="34"/>
      <c r="F582" s="34"/>
    </row>
    <row r="583" spans="1:6" x14ac:dyDescent="0.3">
      <c r="A583" s="32">
        <v>577</v>
      </c>
      <c r="B583" s="32"/>
      <c r="C583" s="32" t="b">
        <f>_xlfn.XLOOKUP(Table610111213[[#This Row],[Category No]],Table8[Category No],Table8[Chapter List],FALSE)</f>
        <v>0</v>
      </c>
      <c r="D583" s="34"/>
      <c r="E583" s="34"/>
      <c r="F583" s="34"/>
    </row>
    <row r="584" spans="1:6" x14ac:dyDescent="0.3">
      <c r="A584" s="32">
        <v>578</v>
      </c>
      <c r="B584" s="32"/>
      <c r="C584" s="32" t="b">
        <f>_xlfn.XLOOKUP(Table610111213[[#This Row],[Category No]],Table8[Category No],Table8[Chapter List],FALSE)</f>
        <v>0</v>
      </c>
      <c r="D584" s="34"/>
      <c r="E584" s="34"/>
      <c r="F584" s="34"/>
    </row>
    <row r="585" spans="1:6" x14ac:dyDescent="0.3">
      <c r="A585" s="32">
        <v>579</v>
      </c>
      <c r="B585" s="32"/>
      <c r="C585" s="32" t="b">
        <f>_xlfn.XLOOKUP(Table610111213[[#This Row],[Category No]],Table8[Category No],Table8[Chapter List],FALSE)</f>
        <v>0</v>
      </c>
      <c r="D585" s="34"/>
      <c r="E585" s="34"/>
      <c r="F585" s="34"/>
    </row>
    <row r="586" spans="1:6" x14ac:dyDescent="0.3">
      <c r="A586" s="32">
        <v>580</v>
      </c>
      <c r="B586" s="32"/>
      <c r="C586" s="32" t="b">
        <f>_xlfn.XLOOKUP(Table610111213[[#This Row],[Category No]],Table8[Category No],Table8[Chapter List],FALSE)</f>
        <v>0</v>
      </c>
      <c r="D586" s="34"/>
      <c r="E586" s="34"/>
      <c r="F586" s="34"/>
    </row>
    <row r="587" spans="1:6" x14ac:dyDescent="0.3">
      <c r="A587" s="32">
        <v>581</v>
      </c>
      <c r="B587" s="32"/>
      <c r="C587" s="32" t="b">
        <f>_xlfn.XLOOKUP(Table610111213[[#This Row],[Category No]],Table8[Category No],Table8[Chapter List],FALSE)</f>
        <v>0</v>
      </c>
      <c r="D587" s="34"/>
      <c r="E587" s="34"/>
      <c r="F587" s="34"/>
    </row>
    <row r="588" spans="1:6" x14ac:dyDescent="0.3">
      <c r="A588" s="32">
        <v>582</v>
      </c>
      <c r="B588" s="32"/>
      <c r="C588" s="32" t="b">
        <f>_xlfn.XLOOKUP(Table610111213[[#This Row],[Category No]],Table8[Category No],Table8[Chapter List],FALSE)</f>
        <v>0</v>
      </c>
      <c r="D588" s="34"/>
      <c r="E588" s="34"/>
      <c r="F588" s="34"/>
    </row>
    <row r="589" spans="1:6" x14ac:dyDescent="0.3">
      <c r="A589" s="32">
        <v>583</v>
      </c>
      <c r="B589" s="32"/>
      <c r="C589" s="32" t="b">
        <f>_xlfn.XLOOKUP(Table610111213[[#This Row],[Category No]],Table8[Category No],Table8[Chapter List],FALSE)</f>
        <v>0</v>
      </c>
      <c r="D589" s="34"/>
      <c r="E589" s="34"/>
      <c r="F589" s="34"/>
    </row>
    <row r="590" spans="1:6" x14ac:dyDescent="0.3">
      <c r="A590" s="32">
        <v>584</v>
      </c>
      <c r="B590" s="32"/>
      <c r="C590" s="32" t="b">
        <f>_xlfn.XLOOKUP(Table610111213[[#This Row],[Category No]],Table8[Category No],Table8[Chapter List],FALSE)</f>
        <v>0</v>
      </c>
      <c r="D590" s="34"/>
      <c r="E590" s="34"/>
      <c r="F590" s="34"/>
    </row>
    <row r="591" spans="1:6" x14ac:dyDescent="0.3">
      <c r="A591" s="32">
        <v>585</v>
      </c>
      <c r="B591" s="32"/>
      <c r="C591" s="32" t="b">
        <f>_xlfn.XLOOKUP(Table610111213[[#This Row],[Category No]],Table8[Category No],Table8[Chapter List],FALSE)</f>
        <v>0</v>
      </c>
      <c r="D591" s="34"/>
      <c r="E591" s="34"/>
      <c r="F591" s="34"/>
    </row>
    <row r="592" spans="1:6" x14ac:dyDescent="0.3">
      <c r="A592" s="32">
        <v>586</v>
      </c>
      <c r="B592" s="32"/>
      <c r="C592" s="32" t="b">
        <f>_xlfn.XLOOKUP(Table610111213[[#This Row],[Category No]],Table8[Category No],Table8[Chapter List],FALSE)</f>
        <v>0</v>
      </c>
      <c r="D592" s="34"/>
      <c r="E592" s="34"/>
      <c r="F592" s="34"/>
    </row>
    <row r="593" spans="1:6" x14ac:dyDescent="0.3">
      <c r="A593" s="32">
        <v>587</v>
      </c>
      <c r="B593" s="32"/>
      <c r="C593" s="32" t="b">
        <f>_xlfn.XLOOKUP(Table610111213[[#This Row],[Category No]],Table8[Category No],Table8[Chapter List],FALSE)</f>
        <v>0</v>
      </c>
      <c r="D593" s="34"/>
      <c r="E593" s="34"/>
      <c r="F593" s="34"/>
    </row>
    <row r="594" spans="1:6" x14ac:dyDescent="0.3">
      <c r="A594" s="32">
        <v>588</v>
      </c>
      <c r="B594" s="32"/>
      <c r="C594" s="32" t="b">
        <f>_xlfn.XLOOKUP(Table610111213[[#This Row],[Category No]],Table8[Category No],Table8[Chapter List],FALSE)</f>
        <v>0</v>
      </c>
      <c r="D594" s="34"/>
      <c r="E594" s="34"/>
      <c r="F594" s="34"/>
    </row>
    <row r="595" spans="1:6" x14ac:dyDescent="0.3">
      <c r="A595" s="32">
        <v>589</v>
      </c>
      <c r="B595" s="32"/>
      <c r="C595" s="32" t="b">
        <f>_xlfn.XLOOKUP(Table610111213[[#This Row],[Category No]],Table8[Category No],Table8[Chapter List],FALSE)</f>
        <v>0</v>
      </c>
      <c r="D595" s="34"/>
      <c r="E595" s="34"/>
      <c r="F595" s="34"/>
    </row>
    <row r="596" spans="1:6" x14ac:dyDescent="0.3">
      <c r="A596" s="32">
        <v>590</v>
      </c>
      <c r="B596" s="32"/>
      <c r="C596" s="32" t="b">
        <f>_xlfn.XLOOKUP(Table610111213[[#This Row],[Category No]],Table8[Category No],Table8[Chapter List],FALSE)</f>
        <v>0</v>
      </c>
      <c r="D596" s="34"/>
      <c r="E596" s="34"/>
      <c r="F596" s="34"/>
    </row>
    <row r="597" spans="1:6" x14ac:dyDescent="0.3">
      <c r="A597" s="32">
        <v>591</v>
      </c>
      <c r="B597" s="32"/>
      <c r="C597" s="32" t="b">
        <f>_xlfn.XLOOKUP(Table610111213[[#This Row],[Category No]],Table8[Category No],Table8[Chapter List],FALSE)</f>
        <v>0</v>
      </c>
      <c r="D597" s="34"/>
      <c r="E597" s="34"/>
      <c r="F597" s="34"/>
    </row>
    <row r="598" spans="1:6" x14ac:dyDescent="0.3">
      <c r="A598" s="32">
        <v>592</v>
      </c>
      <c r="B598" s="32"/>
      <c r="C598" s="32" t="b">
        <f>_xlfn.XLOOKUP(Table610111213[[#This Row],[Category No]],Table8[Category No],Table8[Chapter List],FALSE)</f>
        <v>0</v>
      </c>
      <c r="D598" s="34"/>
      <c r="E598" s="34"/>
      <c r="F598" s="34"/>
    </row>
    <row r="599" spans="1:6" x14ac:dyDescent="0.3">
      <c r="A599" s="32">
        <v>593</v>
      </c>
      <c r="B599" s="32"/>
      <c r="C599" s="32" t="b">
        <f>_xlfn.XLOOKUP(Table610111213[[#This Row],[Category No]],Table8[Category No],Table8[Chapter List],FALSE)</f>
        <v>0</v>
      </c>
      <c r="D599" s="34"/>
      <c r="E599" s="34"/>
      <c r="F599" s="34"/>
    </row>
    <row r="600" spans="1:6" x14ac:dyDescent="0.3">
      <c r="A600" s="32">
        <v>594</v>
      </c>
      <c r="B600" s="32"/>
      <c r="C600" s="32" t="b">
        <f>_xlfn.XLOOKUP(Table610111213[[#This Row],[Category No]],Table8[Category No],Table8[Chapter List],FALSE)</f>
        <v>0</v>
      </c>
      <c r="D600" s="34"/>
      <c r="E600" s="34"/>
      <c r="F600" s="34"/>
    </row>
    <row r="601" spans="1:6" x14ac:dyDescent="0.3">
      <c r="A601" s="32">
        <v>595</v>
      </c>
      <c r="B601" s="32"/>
      <c r="C601" s="32" t="b">
        <f>_xlfn.XLOOKUP(Table610111213[[#This Row],[Category No]],Table8[Category No],Table8[Chapter List],FALSE)</f>
        <v>0</v>
      </c>
      <c r="D601" s="34"/>
      <c r="E601" s="34"/>
      <c r="F601" s="34"/>
    </row>
    <row r="602" spans="1:6" x14ac:dyDescent="0.3">
      <c r="A602" s="32">
        <v>596</v>
      </c>
      <c r="B602" s="32"/>
      <c r="C602" s="32" t="b">
        <f>_xlfn.XLOOKUP(Table610111213[[#This Row],[Category No]],Table8[Category No],Table8[Chapter List],FALSE)</f>
        <v>0</v>
      </c>
      <c r="D602" s="34"/>
      <c r="E602" s="34"/>
      <c r="F602" s="34"/>
    </row>
    <row r="603" spans="1:6" x14ac:dyDescent="0.3">
      <c r="A603" s="32">
        <v>597</v>
      </c>
      <c r="B603" s="32"/>
      <c r="C603" s="32" t="b">
        <f>_xlfn.XLOOKUP(Table610111213[[#This Row],[Category No]],Table8[Category No],Table8[Chapter List],FALSE)</f>
        <v>0</v>
      </c>
      <c r="D603" s="34"/>
      <c r="E603" s="34"/>
      <c r="F603" s="34"/>
    </row>
    <row r="604" spans="1:6" x14ac:dyDescent="0.3">
      <c r="A604" s="32">
        <v>598</v>
      </c>
      <c r="B604" s="32"/>
      <c r="C604" s="32" t="b">
        <f>_xlfn.XLOOKUP(Table610111213[[#This Row],[Category No]],Table8[Category No],Table8[Chapter List],FALSE)</f>
        <v>0</v>
      </c>
      <c r="D604" s="34"/>
      <c r="E604" s="34"/>
      <c r="F604" s="34"/>
    </row>
    <row r="605" spans="1:6" x14ac:dyDescent="0.3">
      <c r="A605" s="32">
        <v>599</v>
      </c>
      <c r="B605" s="32"/>
      <c r="C605" s="32" t="b">
        <f>_xlfn.XLOOKUP(Table610111213[[#This Row],[Category No]],Table8[Category No],Table8[Chapter List],FALSE)</f>
        <v>0</v>
      </c>
      <c r="D605" s="34"/>
      <c r="E605" s="34"/>
      <c r="F605" s="34"/>
    </row>
    <row r="606" spans="1:6" x14ac:dyDescent="0.3">
      <c r="A606" s="32">
        <v>600</v>
      </c>
      <c r="B606" s="32"/>
      <c r="C606" s="32" t="b">
        <f>_xlfn.XLOOKUP(Table610111213[[#This Row],[Category No]],Table8[Category No],Table8[Chapter List],FALSE)</f>
        <v>0</v>
      </c>
      <c r="D606" s="34"/>
      <c r="E606" s="34"/>
      <c r="F606" s="34"/>
    </row>
    <row r="607" spans="1:6" x14ac:dyDescent="0.3">
      <c r="A607" s="32">
        <v>601</v>
      </c>
      <c r="B607" s="32"/>
      <c r="C607" s="32" t="b">
        <f>_xlfn.XLOOKUP(Table610111213[[#This Row],[Category No]],Table8[Category No],Table8[Chapter List],FALSE)</f>
        <v>0</v>
      </c>
      <c r="D607" s="34"/>
      <c r="E607" s="34"/>
      <c r="F607" s="34"/>
    </row>
    <row r="608" spans="1:6" x14ac:dyDescent="0.3">
      <c r="A608" s="32">
        <v>602</v>
      </c>
      <c r="B608" s="32"/>
      <c r="C608" s="32" t="b">
        <f>_xlfn.XLOOKUP(Table610111213[[#This Row],[Category No]],Table8[Category No],Table8[Chapter List],FALSE)</f>
        <v>0</v>
      </c>
      <c r="D608" s="34"/>
      <c r="E608" s="34"/>
      <c r="F608" s="34"/>
    </row>
    <row r="609" spans="1:6" x14ac:dyDescent="0.3">
      <c r="A609" s="32">
        <v>603</v>
      </c>
      <c r="B609" s="32"/>
      <c r="C609" s="32" t="b">
        <f>_xlfn.XLOOKUP(Table610111213[[#This Row],[Category No]],Table8[Category No],Table8[Chapter List],FALSE)</f>
        <v>0</v>
      </c>
      <c r="D609" s="34"/>
      <c r="E609" s="34"/>
      <c r="F609" s="34"/>
    </row>
    <row r="610" spans="1:6" x14ac:dyDescent="0.3">
      <c r="A610" s="32">
        <v>604</v>
      </c>
      <c r="B610" s="32"/>
      <c r="C610" s="32" t="b">
        <f>_xlfn.XLOOKUP(Table610111213[[#This Row],[Category No]],Table8[Category No],Table8[Chapter List],FALSE)</f>
        <v>0</v>
      </c>
      <c r="D610" s="34"/>
      <c r="E610" s="34"/>
      <c r="F610" s="34"/>
    </row>
    <row r="611" spans="1:6" x14ac:dyDescent="0.3">
      <c r="A611" s="32">
        <v>605</v>
      </c>
      <c r="B611" s="32"/>
      <c r="C611" s="32" t="b">
        <f>_xlfn.XLOOKUP(Table610111213[[#This Row],[Category No]],Table8[Category No],Table8[Chapter List],FALSE)</f>
        <v>0</v>
      </c>
      <c r="D611" s="34"/>
      <c r="E611" s="34"/>
      <c r="F611" s="34"/>
    </row>
    <row r="612" spans="1:6" x14ac:dyDescent="0.3">
      <c r="A612" s="32">
        <v>606</v>
      </c>
      <c r="B612" s="32"/>
      <c r="C612" s="32" t="b">
        <f>_xlfn.XLOOKUP(Table610111213[[#This Row],[Category No]],Table8[Category No],Table8[Chapter List],FALSE)</f>
        <v>0</v>
      </c>
      <c r="D612" s="34"/>
      <c r="E612" s="34"/>
      <c r="F612" s="34"/>
    </row>
    <row r="613" spans="1:6" x14ac:dyDescent="0.3">
      <c r="A613" s="32">
        <v>607</v>
      </c>
      <c r="B613" s="32"/>
      <c r="C613" s="32" t="b">
        <f>_xlfn.XLOOKUP(Table610111213[[#This Row],[Category No]],Table8[Category No],Table8[Chapter List],FALSE)</f>
        <v>0</v>
      </c>
      <c r="D613" s="34"/>
      <c r="E613" s="34"/>
      <c r="F613" s="34"/>
    </row>
    <row r="614" spans="1:6" x14ac:dyDescent="0.3">
      <c r="A614" s="32">
        <v>608</v>
      </c>
      <c r="B614" s="32"/>
      <c r="C614" s="32" t="b">
        <f>_xlfn.XLOOKUP(Table610111213[[#This Row],[Category No]],Table8[Category No],Table8[Chapter List],FALSE)</f>
        <v>0</v>
      </c>
      <c r="D614" s="34"/>
      <c r="E614" s="34"/>
      <c r="F614" s="34"/>
    </row>
    <row r="615" spans="1:6" x14ac:dyDescent="0.3">
      <c r="A615" s="32">
        <v>609</v>
      </c>
      <c r="B615" s="32"/>
      <c r="C615" s="32" t="b">
        <f>_xlfn.XLOOKUP(Table610111213[[#This Row],[Category No]],Table8[Category No],Table8[Chapter List],FALSE)</f>
        <v>0</v>
      </c>
      <c r="D615" s="34"/>
      <c r="E615" s="34"/>
      <c r="F615" s="34"/>
    </row>
    <row r="616" spans="1:6" x14ac:dyDescent="0.3">
      <c r="A616" s="32">
        <v>610</v>
      </c>
      <c r="B616" s="32"/>
      <c r="C616" s="32" t="b">
        <f>_xlfn.XLOOKUP(Table610111213[[#This Row],[Category No]],Table8[Category No],Table8[Chapter List],FALSE)</f>
        <v>0</v>
      </c>
      <c r="D616" s="34"/>
      <c r="E616" s="34"/>
      <c r="F616" s="34"/>
    </row>
    <row r="617" spans="1:6" x14ac:dyDescent="0.3">
      <c r="A617" s="32">
        <v>611</v>
      </c>
      <c r="B617" s="32"/>
      <c r="C617" s="32" t="b">
        <f>_xlfn.XLOOKUP(Table610111213[[#This Row],[Category No]],Table8[Category No],Table8[Chapter List],FALSE)</f>
        <v>0</v>
      </c>
      <c r="D617" s="34"/>
      <c r="E617" s="34"/>
      <c r="F617" s="34"/>
    </row>
    <row r="618" spans="1:6" x14ac:dyDescent="0.3">
      <c r="A618" s="32">
        <v>612</v>
      </c>
      <c r="B618" s="32"/>
      <c r="C618" s="32" t="b">
        <f>_xlfn.XLOOKUP(Table610111213[[#This Row],[Category No]],Table8[Category No],Table8[Chapter List],FALSE)</f>
        <v>0</v>
      </c>
      <c r="D618" s="34"/>
      <c r="E618" s="34"/>
      <c r="F618" s="34"/>
    </row>
    <row r="619" spans="1:6" x14ac:dyDescent="0.3">
      <c r="A619" s="32">
        <v>613</v>
      </c>
      <c r="B619" s="32"/>
      <c r="C619" s="32" t="b">
        <f>_xlfn.XLOOKUP(Table610111213[[#This Row],[Category No]],Table8[Category No],Table8[Chapter List],FALSE)</f>
        <v>0</v>
      </c>
      <c r="D619" s="34"/>
      <c r="E619" s="34"/>
      <c r="F619" s="34"/>
    </row>
    <row r="620" spans="1:6" x14ac:dyDescent="0.3">
      <c r="A620" s="32">
        <v>614</v>
      </c>
      <c r="B620" s="32"/>
      <c r="C620" s="32" t="b">
        <f>_xlfn.XLOOKUP(Table610111213[[#This Row],[Category No]],Table8[Category No],Table8[Chapter List],FALSE)</f>
        <v>0</v>
      </c>
      <c r="D620" s="34"/>
      <c r="E620" s="34"/>
      <c r="F620" s="34"/>
    </row>
    <row r="621" spans="1:6" x14ac:dyDescent="0.3">
      <c r="A621" s="32">
        <v>615</v>
      </c>
      <c r="B621" s="32"/>
      <c r="C621" s="32" t="b">
        <f>_xlfn.XLOOKUP(Table610111213[[#This Row],[Category No]],Table8[Category No],Table8[Chapter List],FALSE)</f>
        <v>0</v>
      </c>
      <c r="D621" s="34"/>
      <c r="E621" s="34"/>
      <c r="F621" s="34"/>
    </row>
    <row r="622" spans="1:6" x14ac:dyDescent="0.3">
      <c r="A622" s="32">
        <v>616</v>
      </c>
      <c r="B622" s="32"/>
      <c r="C622" s="32" t="b">
        <f>_xlfn.XLOOKUP(Table610111213[[#This Row],[Category No]],Table8[Category No],Table8[Chapter List],FALSE)</f>
        <v>0</v>
      </c>
      <c r="D622" s="34"/>
      <c r="E622" s="34"/>
      <c r="F622" s="34"/>
    </row>
    <row r="623" spans="1:6" x14ac:dyDescent="0.3">
      <c r="A623" s="32">
        <v>617</v>
      </c>
      <c r="B623" s="32"/>
      <c r="C623" s="32" t="b">
        <f>_xlfn.XLOOKUP(Table610111213[[#This Row],[Category No]],Table8[Category No],Table8[Chapter List],FALSE)</f>
        <v>0</v>
      </c>
      <c r="D623" s="34"/>
      <c r="E623" s="34"/>
      <c r="F623" s="34"/>
    </row>
    <row r="624" spans="1:6" x14ac:dyDescent="0.3">
      <c r="A624" s="32">
        <v>618</v>
      </c>
      <c r="B624" s="32"/>
      <c r="C624" s="32" t="b">
        <f>_xlfn.XLOOKUP(Table610111213[[#This Row],[Category No]],Table8[Category No],Table8[Chapter List],FALSE)</f>
        <v>0</v>
      </c>
      <c r="D624" s="34"/>
      <c r="E624" s="34"/>
      <c r="F624" s="34"/>
    </row>
    <row r="625" spans="1:6" x14ac:dyDescent="0.3">
      <c r="A625" s="32">
        <v>619</v>
      </c>
      <c r="B625" s="32"/>
      <c r="C625" s="32" t="b">
        <f>_xlfn.XLOOKUP(Table610111213[[#This Row],[Category No]],Table8[Category No],Table8[Chapter List],FALSE)</f>
        <v>0</v>
      </c>
      <c r="D625" s="34"/>
      <c r="E625" s="34"/>
      <c r="F625" s="34"/>
    </row>
    <row r="626" spans="1:6" x14ac:dyDescent="0.3">
      <c r="A626" s="32">
        <v>620</v>
      </c>
      <c r="B626" s="32"/>
      <c r="C626" s="32" t="b">
        <f>_xlfn.XLOOKUP(Table610111213[[#This Row],[Category No]],Table8[Category No],Table8[Chapter List],FALSE)</f>
        <v>0</v>
      </c>
      <c r="D626" s="34"/>
      <c r="E626" s="34"/>
      <c r="F626" s="34"/>
    </row>
    <row r="627" spans="1:6" x14ac:dyDescent="0.3">
      <c r="A627" s="32">
        <v>621</v>
      </c>
      <c r="B627" s="32"/>
      <c r="C627" s="32" t="b">
        <f>_xlfn.XLOOKUP(Table610111213[[#This Row],[Category No]],Table8[Category No],Table8[Chapter List],FALSE)</f>
        <v>0</v>
      </c>
      <c r="D627" s="34"/>
      <c r="E627" s="34"/>
      <c r="F627" s="34"/>
    </row>
    <row r="628" spans="1:6" x14ac:dyDescent="0.3">
      <c r="A628" s="32">
        <v>622</v>
      </c>
      <c r="B628" s="32"/>
      <c r="C628" s="32" t="b">
        <f>_xlfn.XLOOKUP(Table610111213[[#This Row],[Category No]],Table8[Category No],Table8[Chapter List],FALSE)</f>
        <v>0</v>
      </c>
      <c r="D628" s="34"/>
      <c r="E628" s="34"/>
      <c r="F628" s="34"/>
    </row>
    <row r="629" spans="1:6" x14ac:dyDescent="0.3">
      <c r="A629" s="32">
        <v>623</v>
      </c>
      <c r="B629" s="32"/>
      <c r="C629" s="32" t="b">
        <f>_xlfn.XLOOKUP(Table610111213[[#This Row],[Category No]],Table8[Category No],Table8[Chapter List],FALSE)</f>
        <v>0</v>
      </c>
      <c r="D629" s="34"/>
      <c r="E629" s="34"/>
      <c r="F629" s="34"/>
    </row>
    <row r="630" spans="1:6" x14ac:dyDescent="0.3">
      <c r="A630" s="32">
        <v>624</v>
      </c>
      <c r="B630" s="32"/>
      <c r="C630" s="32" t="b">
        <f>_xlfn.XLOOKUP(Table610111213[[#This Row],[Category No]],Table8[Category No],Table8[Chapter List],FALSE)</f>
        <v>0</v>
      </c>
      <c r="D630" s="34"/>
      <c r="E630" s="34"/>
      <c r="F630" s="34"/>
    </row>
    <row r="631" spans="1:6" x14ac:dyDescent="0.3">
      <c r="A631" s="32">
        <v>625</v>
      </c>
      <c r="B631" s="32"/>
      <c r="C631" s="32" t="b">
        <f>_xlfn.XLOOKUP(Table610111213[[#This Row],[Category No]],Table8[Category No],Table8[Chapter List],FALSE)</f>
        <v>0</v>
      </c>
      <c r="D631" s="34"/>
      <c r="E631" s="34"/>
      <c r="F631" s="34"/>
    </row>
    <row r="632" spans="1:6" x14ac:dyDescent="0.3">
      <c r="A632" s="32">
        <v>626</v>
      </c>
      <c r="B632" s="32"/>
      <c r="C632" s="32" t="b">
        <f>_xlfn.XLOOKUP(Table610111213[[#This Row],[Category No]],Table8[Category No],Table8[Chapter List],FALSE)</f>
        <v>0</v>
      </c>
      <c r="D632" s="34"/>
      <c r="E632" s="34"/>
      <c r="F632" s="34"/>
    </row>
    <row r="633" spans="1:6" x14ac:dyDescent="0.3">
      <c r="A633" s="32">
        <v>627</v>
      </c>
      <c r="B633" s="32"/>
      <c r="C633" s="32" t="b">
        <f>_xlfn.XLOOKUP(Table610111213[[#This Row],[Category No]],Table8[Category No],Table8[Chapter List],FALSE)</f>
        <v>0</v>
      </c>
      <c r="D633" s="34"/>
      <c r="E633" s="34"/>
      <c r="F633" s="34"/>
    </row>
    <row r="634" spans="1:6" x14ac:dyDescent="0.3">
      <c r="A634" s="32">
        <v>628</v>
      </c>
      <c r="B634" s="32"/>
      <c r="C634" s="32" t="b">
        <f>_xlfn.XLOOKUP(Table610111213[[#This Row],[Category No]],Table8[Category No],Table8[Chapter List],FALSE)</f>
        <v>0</v>
      </c>
      <c r="D634" s="34"/>
      <c r="E634" s="34"/>
      <c r="F634" s="34"/>
    </row>
    <row r="635" spans="1:6" x14ac:dyDescent="0.3">
      <c r="A635" s="32">
        <v>629</v>
      </c>
      <c r="B635" s="32"/>
      <c r="C635" s="32" t="b">
        <f>_xlfn.XLOOKUP(Table610111213[[#This Row],[Category No]],Table8[Category No],Table8[Chapter List],FALSE)</f>
        <v>0</v>
      </c>
      <c r="D635" s="34"/>
      <c r="E635" s="34"/>
      <c r="F635" s="34"/>
    </row>
    <row r="636" spans="1:6" x14ac:dyDescent="0.3">
      <c r="A636" s="32">
        <v>630</v>
      </c>
      <c r="B636" s="32"/>
      <c r="C636" s="32" t="b">
        <f>_xlfn.XLOOKUP(Table610111213[[#This Row],[Category No]],Table8[Category No],Table8[Chapter List],FALSE)</f>
        <v>0</v>
      </c>
      <c r="D636" s="34"/>
      <c r="E636" s="34"/>
      <c r="F636" s="34"/>
    </row>
    <row r="637" spans="1:6" x14ac:dyDescent="0.3">
      <c r="A637" s="32">
        <v>631</v>
      </c>
      <c r="B637" s="32"/>
      <c r="C637" s="32" t="b">
        <f>_xlfn.XLOOKUP(Table610111213[[#This Row],[Category No]],Table8[Category No],Table8[Chapter List],FALSE)</f>
        <v>0</v>
      </c>
      <c r="D637" s="34"/>
      <c r="E637" s="34"/>
      <c r="F637" s="34"/>
    </row>
    <row r="638" spans="1:6" x14ac:dyDescent="0.3">
      <c r="A638" s="32">
        <v>632</v>
      </c>
      <c r="B638" s="32"/>
      <c r="C638" s="32" t="b">
        <f>_xlfn.XLOOKUP(Table610111213[[#This Row],[Category No]],Table8[Category No],Table8[Chapter List],FALSE)</f>
        <v>0</v>
      </c>
      <c r="D638" s="34"/>
      <c r="E638" s="34"/>
      <c r="F638" s="34"/>
    </row>
    <row r="639" spans="1:6" x14ac:dyDescent="0.3">
      <c r="A639" s="32">
        <v>633</v>
      </c>
      <c r="B639" s="32"/>
      <c r="C639" s="32" t="b">
        <f>_xlfn.XLOOKUP(Table610111213[[#This Row],[Category No]],Table8[Category No],Table8[Chapter List],FALSE)</f>
        <v>0</v>
      </c>
      <c r="D639" s="34"/>
      <c r="E639" s="34"/>
      <c r="F639" s="34"/>
    </row>
    <row r="640" spans="1:6" x14ac:dyDescent="0.3">
      <c r="A640" s="32">
        <v>634</v>
      </c>
      <c r="B640" s="32"/>
      <c r="C640" s="32" t="b">
        <f>_xlfn.XLOOKUP(Table610111213[[#This Row],[Category No]],Table8[Category No],Table8[Chapter List],FALSE)</f>
        <v>0</v>
      </c>
      <c r="D640" s="34"/>
      <c r="E640" s="34"/>
      <c r="F640" s="34"/>
    </row>
    <row r="641" spans="1:6" x14ac:dyDescent="0.3">
      <c r="A641" s="32">
        <v>635</v>
      </c>
      <c r="B641" s="32"/>
      <c r="C641" s="32" t="b">
        <f>_xlfn.XLOOKUP(Table610111213[[#This Row],[Category No]],Table8[Category No],Table8[Chapter List],FALSE)</f>
        <v>0</v>
      </c>
      <c r="D641" s="34"/>
      <c r="E641" s="34"/>
      <c r="F641" s="34"/>
    </row>
    <row r="642" spans="1:6" x14ac:dyDescent="0.3">
      <c r="A642" s="32">
        <v>636</v>
      </c>
      <c r="B642" s="32"/>
      <c r="C642" s="32" t="b">
        <f>_xlfn.XLOOKUP(Table610111213[[#This Row],[Category No]],Table8[Category No],Table8[Chapter List],FALSE)</f>
        <v>0</v>
      </c>
      <c r="D642" s="34"/>
      <c r="E642" s="34"/>
      <c r="F642" s="34"/>
    </row>
    <row r="643" spans="1:6" x14ac:dyDescent="0.3">
      <c r="A643" s="32">
        <v>637</v>
      </c>
      <c r="B643" s="32"/>
      <c r="C643" s="32" t="b">
        <f>_xlfn.XLOOKUP(Table610111213[[#This Row],[Category No]],Table8[Category No],Table8[Chapter List],FALSE)</f>
        <v>0</v>
      </c>
      <c r="D643" s="34"/>
      <c r="E643" s="34"/>
      <c r="F643" s="34"/>
    </row>
    <row r="644" spans="1:6" x14ac:dyDescent="0.3">
      <c r="A644" s="32">
        <v>638</v>
      </c>
      <c r="B644" s="32"/>
      <c r="C644" s="32" t="b">
        <f>_xlfn.XLOOKUP(Table610111213[[#This Row],[Category No]],Table8[Category No],Table8[Chapter List],FALSE)</f>
        <v>0</v>
      </c>
      <c r="D644" s="34"/>
      <c r="E644" s="34"/>
      <c r="F644" s="34"/>
    </row>
    <row r="645" spans="1:6" x14ac:dyDescent="0.3">
      <c r="A645" s="32">
        <v>639</v>
      </c>
      <c r="B645" s="32"/>
      <c r="C645" s="32" t="b">
        <f>_xlfn.XLOOKUP(Table610111213[[#This Row],[Category No]],Table8[Category No],Table8[Chapter List],FALSE)</f>
        <v>0</v>
      </c>
      <c r="D645" s="34"/>
      <c r="E645" s="34"/>
      <c r="F645" s="34"/>
    </row>
    <row r="646" spans="1:6" x14ac:dyDescent="0.3">
      <c r="A646" s="32">
        <v>640</v>
      </c>
      <c r="B646" s="32"/>
      <c r="C646" s="32" t="b">
        <f>_xlfn.XLOOKUP(Table610111213[[#This Row],[Category No]],Table8[Category No],Table8[Chapter List],FALSE)</f>
        <v>0</v>
      </c>
      <c r="D646" s="34"/>
      <c r="E646" s="34"/>
      <c r="F646" s="34"/>
    </row>
    <row r="647" spans="1:6" x14ac:dyDescent="0.3">
      <c r="A647" s="32">
        <v>641</v>
      </c>
      <c r="B647" s="32"/>
      <c r="C647" s="32" t="b">
        <f>_xlfn.XLOOKUP(Table610111213[[#This Row],[Category No]],Table8[Category No],Table8[Chapter List],FALSE)</f>
        <v>0</v>
      </c>
      <c r="D647" s="34"/>
      <c r="E647" s="34"/>
      <c r="F647" s="34"/>
    </row>
    <row r="648" spans="1:6" x14ac:dyDescent="0.3">
      <c r="A648" s="32">
        <v>642</v>
      </c>
      <c r="B648" s="32"/>
      <c r="C648" s="32" t="b">
        <f>_xlfn.XLOOKUP(Table610111213[[#This Row],[Category No]],Table8[Category No],Table8[Chapter List],FALSE)</f>
        <v>0</v>
      </c>
      <c r="D648" s="34"/>
      <c r="E648" s="34"/>
      <c r="F648" s="34"/>
    </row>
    <row r="649" spans="1:6" x14ac:dyDescent="0.3">
      <c r="A649" s="32">
        <v>643</v>
      </c>
      <c r="B649" s="32"/>
      <c r="C649" s="32" t="b">
        <f>_xlfn.XLOOKUP(Table610111213[[#This Row],[Category No]],Table8[Category No],Table8[Chapter List],FALSE)</f>
        <v>0</v>
      </c>
      <c r="D649" s="34"/>
      <c r="E649" s="34"/>
      <c r="F649" s="34"/>
    </row>
    <row r="650" spans="1:6" x14ac:dyDescent="0.3">
      <c r="A650" s="32">
        <v>644</v>
      </c>
      <c r="B650" s="32"/>
      <c r="C650" s="32" t="b">
        <f>_xlfn.XLOOKUP(Table610111213[[#This Row],[Category No]],Table8[Category No],Table8[Chapter List],FALSE)</f>
        <v>0</v>
      </c>
      <c r="D650" s="34"/>
      <c r="E650" s="34"/>
      <c r="F650" s="34"/>
    </row>
    <row r="651" spans="1:6" x14ac:dyDescent="0.3">
      <c r="A651" s="32">
        <v>645</v>
      </c>
      <c r="B651" s="32"/>
      <c r="C651" s="32" t="b">
        <f>_xlfn.XLOOKUP(Table610111213[[#This Row],[Category No]],Table8[Category No],Table8[Chapter List],FALSE)</f>
        <v>0</v>
      </c>
      <c r="D651" s="34"/>
      <c r="E651" s="34"/>
      <c r="F651" s="34"/>
    </row>
    <row r="652" spans="1:6" x14ac:dyDescent="0.3">
      <c r="A652" s="32">
        <v>646</v>
      </c>
      <c r="B652" s="32"/>
      <c r="C652" s="32" t="b">
        <f>_xlfn.XLOOKUP(Table610111213[[#This Row],[Category No]],Table8[Category No],Table8[Chapter List],FALSE)</f>
        <v>0</v>
      </c>
      <c r="D652" s="34"/>
      <c r="E652" s="34"/>
      <c r="F652" s="34"/>
    </row>
    <row r="653" spans="1:6" x14ac:dyDescent="0.3">
      <c r="A653" s="32">
        <v>647</v>
      </c>
      <c r="B653" s="32"/>
      <c r="C653" s="32" t="b">
        <f>_xlfn.XLOOKUP(Table610111213[[#This Row],[Category No]],Table8[Category No],Table8[Chapter List],FALSE)</f>
        <v>0</v>
      </c>
      <c r="D653" s="34"/>
      <c r="E653" s="34"/>
      <c r="F653" s="34"/>
    </row>
    <row r="654" spans="1:6" x14ac:dyDescent="0.3">
      <c r="A654" s="32">
        <v>648</v>
      </c>
      <c r="B654" s="32"/>
      <c r="C654" s="32" t="b">
        <f>_xlfn.XLOOKUP(Table610111213[[#This Row],[Category No]],Table8[Category No],Table8[Chapter List],FALSE)</f>
        <v>0</v>
      </c>
      <c r="D654" s="34"/>
      <c r="E654" s="34"/>
      <c r="F654" s="34"/>
    </row>
    <row r="655" spans="1:6" x14ac:dyDescent="0.3">
      <c r="A655" s="32">
        <v>649</v>
      </c>
      <c r="B655" s="32"/>
      <c r="C655" s="32" t="b">
        <f>_xlfn.XLOOKUP(Table610111213[[#This Row],[Category No]],Table8[Category No],Table8[Chapter List],FALSE)</f>
        <v>0</v>
      </c>
      <c r="D655" s="34"/>
      <c r="E655" s="34"/>
      <c r="F655" s="34"/>
    </row>
    <row r="656" spans="1:6" x14ac:dyDescent="0.3">
      <c r="A656" s="32">
        <v>650</v>
      </c>
      <c r="B656" s="32"/>
      <c r="C656" s="32" t="b">
        <f>_xlfn.XLOOKUP(Table610111213[[#This Row],[Category No]],Table8[Category No],Table8[Chapter List],FALSE)</f>
        <v>0</v>
      </c>
      <c r="D656" s="34"/>
      <c r="E656" s="34"/>
      <c r="F656" s="34"/>
    </row>
    <row r="657" spans="1:6" x14ac:dyDescent="0.3">
      <c r="A657" s="32">
        <v>651</v>
      </c>
      <c r="B657" s="32"/>
      <c r="C657" s="32" t="b">
        <f>_xlfn.XLOOKUP(Table610111213[[#This Row],[Category No]],Table8[Category No],Table8[Chapter List],FALSE)</f>
        <v>0</v>
      </c>
      <c r="D657" s="34"/>
      <c r="E657" s="34"/>
      <c r="F657" s="34"/>
    </row>
    <row r="658" spans="1:6" x14ac:dyDescent="0.3">
      <c r="A658" s="32">
        <v>652</v>
      </c>
      <c r="B658" s="32"/>
      <c r="C658" s="32" t="b">
        <f>_xlfn.XLOOKUP(Table610111213[[#This Row],[Category No]],Table8[Category No],Table8[Chapter List],FALSE)</f>
        <v>0</v>
      </c>
      <c r="D658" s="34"/>
      <c r="E658" s="34"/>
      <c r="F658" s="34"/>
    </row>
    <row r="659" spans="1:6" x14ac:dyDescent="0.3">
      <c r="A659" s="32">
        <v>653</v>
      </c>
      <c r="B659" s="32"/>
      <c r="C659" s="32" t="b">
        <f>_xlfn.XLOOKUP(Table610111213[[#This Row],[Category No]],Table8[Category No],Table8[Chapter List],FALSE)</f>
        <v>0</v>
      </c>
      <c r="D659" s="34"/>
      <c r="E659" s="34"/>
      <c r="F659" s="34"/>
    </row>
    <row r="660" spans="1:6" x14ac:dyDescent="0.3">
      <c r="A660" s="32">
        <v>654</v>
      </c>
      <c r="B660" s="32"/>
      <c r="C660" s="32" t="b">
        <f>_xlfn.XLOOKUP(Table610111213[[#This Row],[Category No]],Table8[Category No],Table8[Chapter List],FALSE)</f>
        <v>0</v>
      </c>
      <c r="D660" s="34"/>
      <c r="E660" s="34"/>
      <c r="F660" s="34"/>
    </row>
    <row r="661" spans="1:6" x14ac:dyDescent="0.3">
      <c r="A661" s="32">
        <v>655</v>
      </c>
      <c r="B661" s="32"/>
      <c r="C661" s="32" t="b">
        <f>_xlfn.XLOOKUP(Table610111213[[#This Row],[Category No]],Table8[Category No],Table8[Chapter List],FALSE)</f>
        <v>0</v>
      </c>
      <c r="D661" s="34"/>
      <c r="E661" s="34"/>
      <c r="F661" s="34"/>
    </row>
    <row r="662" spans="1:6" x14ac:dyDescent="0.3">
      <c r="A662" s="32">
        <v>656</v>
      </c>
      <c r="B662" s="32"/>
      <c r="C662" s="32" t="b">
        <f>_xlfn.XLOOKUP(Table610111213[[#This Row],[Category No]],Table8[Category No],Table8[Chapter List],FALSE)</f>
        <v>0</v>
      </c>
      <c r="D662" s="34"/>
      <c r="E662" s="34"/>
      <c r="F662" s="34"/>
    </row>
    <row r="663" spans="1:6" x14ac:dyDescent="0.3">
      <c r="A663" s="32">
        <v>657</v>
      </c>
      <c r="B663" s="32"/>
      <c r="C663" s="32" t="b">
        <f>_xlfn.XLOOKUP(Table610111213[[#This Row],[Category No]],Table8[Category No],Table8[Chapter List],FALSE)</f>
        <v>0</v>
      </c>
      <c r="D663" s="34"/>
      <c r="E663" s="34"/>
      <c r="F663" s="34"/>
    </row>
    <row r="664" spans="1:6" x14ac:dyDescent="0.3">
      <c r="A664" s="32">
        <v>658</v>
      </c>
      <c r="B664" s="32"/>
      <c r="C664" s="32" t="b">
        <f>_xlfn.XLOOKUP(Table610111213[[#This Row],[Category No]],Table8[Category No],Table8[Chapter List],FALSE)</f>
        <v>0</v>
      </c>
      <c r="D664" s="34"/>
      <c r="E664" s="34"/>
      <c r="F664" s="34"/>
    </row>
    <row r="665" spans="1:6" x14ac:dyDescent="0.3">
      <c r="A665" s="32">
        <v>659</v>
      </c>
      <c r="B665" s="32"/>
      <c r="C665" s="32" t="b">
        <f>_xlfn.XLOOKUP(Table610111213[[#This Row],[Category No]],Table8[Category No],Table8[Chapter List],FALSE)</f>
        <v>0</v>
      </c>
      <c r="D665" s="34"/>
      <c r="E665" s="34"/>
      <c r="F665" s="34"/>
    </row>
    <row r="666" spans="1:6" x14ac:dyDescent="0.3">
      <c r="A666" s="32">
        <v>660</v>
      </c>
      <c r="B666" s="32"/>
      <c r="C666" s="32" t="b">
        <f>_xlfn.XLOOKUP(Table610111213[[#This Row],[Category No]],Table8[Category No],Table8[Chapter List],FALSE)</f>
        <v>0</v>
      </c>
      <c r="D666" s="34"/>
      <c r="E666" s="34"/>
      <c r="F666" s="34"/>
    </row>
    <row r="667" spans="1:6" x14ac:dyDescent="0.3">
      <c r="A667" s="32">
        <v>661</v>
      </c>
      <c r="B667" s="32"/>
      <c r="C667" s="32" t="b">
        <f>_xlfn.XLOOKUP(Table610111213[[#This Row],[Category No]],Table8[Category No],Table8[Chapter List],FALSE)</f>
        <v>0</v>
      </c>
      <c r="D667" s="34"/>
      <c r="E667" s="34"/>
      <c r="F667" s="34"/>
    </row>
    <row r="668" spans="1:6" x14ac:dyDescent="0.3">
      <c r="A668" s="32">
        <v>662</v>
      </c>
      <c r="B668" s="32"/>
      <c r="C668" s="32" t="b">
        <f>_xlfn.XLOOKUP(Table610111213[[#This Row],[Category No]],Table8[Category No],Table8[Chapter List],FALSE)</f>
        <v>0</v>
      </c>
      <c r="D668" s="34"/>
      <c r="E668" s="34"/>
      <c r="F668" s="34"/>
    </row>
    <row r="669" spans="1:6" x14ac:dyDescent="0.3">
      <c r="A669" s="32">
        <v>663</v>
      </c>
      <c r="B669" s="32"/>
      <c r="C669" s="32" t="b">
        <f>_xlfn.XLOOKUP(Table610111213[[#This Row],[Category No]],Table8[Category No],Table8[Chapter List],FALSE)</f>
        <v>0</v>
      </c>
      <c r="D669" s="34"/>
      <c r="E669" s="34"/>
      <c r="F669" s="34"/>
    </row>
    <row r="670" spans="1:6" x14ac:dyDescent="0.3">
      <c r="A670" s="32">
        <v>664</v>
      </c>
      <c r="B670" s="32"/>
      <c r="C670" s="32" t="b">
        <f>_xlfn.XLOOKUP(Table610111213[[#This Row],[Category No]],Table8[Category No],Table8[Chapter List],FALSE)</f>
        <v>0</v>
      </c>
      <c r="D670" s="34"/>
      <c r="E670" s="34"/>
      <c r="F670" s="34"/>
    </row>
    <row r="671" spans="1:6" x14ac:dyDescent="0.3">
      <c r="A671" s="32">
        <v>665</v>
      </c>
      <c r="B671" s="32"/>
      <c r="C671" s="32" t="b">
        <f>_xlfn.XLOOKUP(Table610111213[[#This Row],[Category No]],Table8[Category No],Table8[Chapter List],FALSE)</f>
        <v>0</v>
      </c>
      <c r="D671" s="34"/>
      <c r="E671" s="34"/>
      <c r="F671" s="34"/>
    </row>
    <row r="672" spans="1:6" x14ac:dyDescent="0.3">
      <c r="A672" s="32">
        <v>666</v>
      </c>
      <c r="B672" s="32"/>
      <c r="C672" s="32" t="b">
        <f>_xlfn.XLOOKUP(Table610111213[[#This Row],[Category No]],Table8[Category No],Table8[Chapter List],FALSE)</f>
        <v>0</v>
      </c>
      <c r="D672" s="34"/>
      <c r="E672" s="34"/>
      <c r="F672" s="34"/>
    </row>
    <row r="673" spans="1:6" x14ac:dyDescent="0.3">
      <c r="A673" s="32">
        <v>667</v>
      </c>
      <c r="B673" s="32"/>
      <c r="C673" s="32" t="b">
        <f>_xlfn.XLOOKUP(Table610111213[[#This Row],[Category No]],Table8[Category No],Table8[Chapter List],FALSE)</f>
        <v>0</v>
      </c>
      <c r="D673" s="34"/>
      <c r="E673" s="34"/>
      <c r="F673" s="34"/>
    </row>
    <row r="674" spans="1:6" x14ac:dyDescent="0.3">
      <c r="A674" s="32">
        <v>668</v>
      </c>
      <c r="B674" s="32"/>
      <c r="C674" s="32" t="b">
        <f>_xlfn.XLOOKUP(Table610111213[[#This Row],[Category No]],Table8[Category No],Table8[Chapter List],FALSE)</f>
        <v>0</v>
      </c>
      <c r="D674" s="34"/>
      <c r="E674" s="34"/>
      <c r="F674" s="34"/>
    </row>
    <row r="675" spans="1:6" x14ac:dyDescent="0.3">
      <c r="A675" s="32">
        <v>669</v>
      </c>
      <c r="B675" s="32"/>
      <c r="C675" s="32" t="b">
        <f>_xlfn.XLOOKUP(Table610111213[[#This Row],[Category No]],Table8[Category No],Table8[Chapter List],FALSE)</f>
        <v>0</v>
      </c>
      <c r="D675" s="34"/>
      <c r="E675" s="34"/>
      <c r="F675" s="34"/>
    </row>
    <row r="676" spans="1:6" x14ac:dyDescent="0.3">
      <c r="A676" s="32">
        <v>670</v>
      </c>
      <c r="B676" s="32"/>
      <c r="C676" s="32" t="b">
        <f>_xlfn.XLOOKUP(Table610111213[[#This Row],[Category No]],Table8[Category No],Table8[Chapter List],FALSE)</f>
        <v>0</v>
      </c>
      <c r="D676" s="34"/>
      <c r="E676" s="34"/>
      <c r="F676" s="34"/>
    </row>
    <row r="677" spans="1:6" x14ac:dyDescent="0.3">
      <c r="A677" s="32">
        <v>671</v>
      </c>
      <c r="B677" s="32"/>
      <c r="C677" s="32" t="b">
        <f>_xlfn.XLOOKUP(Table610111213[[#This Row],[Category No]],Table8[Category No],Table8[Chapter List],FALSE)</f>
        <v>0</v>
      </c>
      <c r="D677" s="34"/>
      <c r="E677" s="34"/>
      <c r="F677" s="34"/>
    </row>
    <row r="678" spans="1:6" x14ac:dyDescent="0.3">
      <c r="A678" s="32">
        <v>672</v>
      </c>
      <c r="B678" s="32"/>
      <c r="C678" s="32" t="b">
        <f>_xlfn.XLOOKUP(Table610111213[[#This Row],[Category No]],Table8[Category No],Table8[Chapter List],FALSE)</f>
        <v>0</v>
      </c>
      <c r="D678" s="34"/>
      <c r="E678" s="34"/>
      <c r="F678" s="34"/>
    </row>
    <row r="679" spans="1:6" x14ac:dyDescent="0.3">
      <c r="A679" s="32">
        <v>673</v>
      </c>
      <c r="B679" s="32"/>
      <c r="C679" s="32" t="b">
        <f>_xlfn.XLOOKUP(Table610111213[[#This Row],[Category No]],Table8[Category No],Table8[Chapter List],FALSE)</f>
        <v>0</v>
      </c>
      <c r="D679" s="34"/>
      <c r="E679" s="34"/>
      <c r="F679" s="34"/>
    </row>
    <row r="680" spans="1:6" x14ac:dyDescent="0.3">
      <c r="A680" s="32">
        <v>674</v>
      </c>
      <c r="B680" s="32"/>
      <c r="C680" s="32" t="b">
        <f>_xlfn.XLOOKUP(Table610111213[[#This Row],[Category No]],Table8[Category No],Table8[Chapter List],FALSE)</f>
        <v>0</v>
      </c>
      <c r="D680" s="34"/>
      <c r="E680" s="34"/>
      <c r="F680" s="34"/>
    </row>
    <row r="681" spans="1:6" x14ac:dyDescent="0.3">
      <c r="A681" s="32">
        <v>675</v>
      </c>
      <c r="B681" s="32"/>
      <c r="C681" s="32" t="b">
        <f>_xlfn.XLOOKUP(Table610111213[[#This Row],[Category No]],Table8[Category No],Table8[Chapter List],FALSE)</f>
        <v>0</v>
      </c>
      <c r="D681" s="34"/>
      <c r="E681" s="34"/>
      <c r="F681" s="34"/>
    </row>
    <row r="682" spans="1:6" x14ac:dyDescent="0.3">
      <c r="A682" s="32">
        <v>676</v>
      </c>
      <c r="B682" s="32"/>
      <c r="C682" s="32" t="b">
        <f>_xlfn.XLOOKUP(Table610111213[[#This Row],[Category No]],Table8[Category No],Table8[Chapter List],FALSE)</f>
        <v>0</v>
      </c>
      <c r="D682" s="34"/>
      <c r="E682" s="34"/>
      <c r="F682" s="34"/>
    </row>
    <row r="683" spans="1:6" x14ac:dyDescent="0.3">
      <c r="A683" s="32">
        <v>677</v>
      </c>
      <c r="B683" s="32"/>
      <c r="C683" s="32" t="b">
        <f>_xlfn.XLOOKUP(Table610111213[[#This Row],[Category No]],Table8[Category No],Table8[Chapter List],FALSE)</f>
        <v>0</v>
      </c>
      <c r="D683" s="34"/>
      <c r="E683" s="34"/>
      <c r="F683" s="34"/>
    </row>
    <row r="684" spans="1:6" x14ac:dyDescent="0.3">
      <c r="A684" s="32">
        <v>678</v>
      </c>
      <c r="B684" s="32"/>
      <c r="C684" s="32" t="b">
        <f>_xlfn.XLOOKUP(Table610111213[[#This Row],[Category No]],Table8[Category No],Table8[Chapter List],FALSE)</f>
        <v>0</v>
      </c>
      <c r="D684" s="34"/>
      <c r="E684" s="34"/>
      <c r="F684" s="34"/>
    </row>
    <row r="685" spans="1:6" x14ac:dyDescent="0.3">
      <c r="A685" s="32">
        <v>679</v>
      </c>
      <c r="B685" s="32"/>
      <c r="C685" s="32" t="b">
        <f>_xlfn.XLOOKUP(Table610111213[[#This Row],[Category No]],Table8[Category No],Table8[Chapter List],FALSE)</f>
        <v>0</v>
      </c>
      <c r="D685" s="34"/>
      <c r="E685" s="34"/>
      <c r="F685" s="34"/>
    </row>
    <row r="686" spans="1:6" x14ac:dyDescent="0.3">
      <c r="A686" s="32">
        <v>680</v>
      </c>
      <c r="B686" s="32"/>
      <c r="C686" s="32" t="b">
        <f>_xlfn.XLOOKUP(Table610111213[[#This Row],[Category No]],Table8[Category No],Table8[Chapter List],FALSE)</f>
        <v>0</v>
      </c>
      <c r="D686" s="34"/>
      <c r="E686" s="34"/>
      <c r="F686" s="34"/>
    </row>
    <row r="687" spans="1:6" x14ac:dyDescent="0.3">
      <c r="A687" s="32">
        <v>681</v>
      </c>
      <c r="B687" s="32"/>
      <c r="C687" s="32" t="b">
        <f>_xlfn.XLOOKUP(Table610111213[[#This Row],[Category No]],Table8[Category No],Table8[Chapter List],FALSE)</f>
        <v>0</v>
      </c>
      <c r="D687" s="34"/>
      <c r="E687" s="34"/>
      <c r="F687" s="34"/>
    </row>
    <row r="688" spans="1:6" x14ac:dyDescent="0.3">
      <c r="A688" s="32">
        <v>682</v>
      </c>
      <c r="B688" s="32"/>
      <c r="C688" s="32" t="b">
        <f>_xlfn.XLOOKUP(Table610111213[[#This Row],[Category No]],Table8[Category No],Table8[Chapter List],FALSE)</f>
        <v>0</v>
      </c>
      <c r="D688" s="34"/>
      <c r="E688" s="34"/>
      <c r="F688" s="34"/>
    </row>
    <row r="689" spans="1:6" x14ac:dyDescent="0.3">
      <c r="A689" s="32">
        <v>683</v>
      </c>
      <c r="B689" s="32"/>
      <c r="C689" s="32" t="b">
        <f>_xlfn.XLOOKUP(Table610111213[[#This Row],[Category No]],Table8[Category No],Table8[Chapter List],FALSE)</f>
        <v>0</v>
      </c>
      <c r="D689" s="34"/>
      <c r="E689" s="34"/>
      <c r="F689" s="34"/>
    </row>
    <row r="690" spans="1:6" x14ac:dyDescent="0.3">
      <c r="A690" s="32">
        <v>684</v>
      </c>
      <c r="B690" s="32"/>
      <c r="C690" s="32" t="b">
        <f>_xlfn.XLOOKUP(Table610111213[[#This Row],[Category No]],Table8[Category No],Table8[Chapter List],FALSE)</f>
        <v>0</v>
      </c>
      <c r="D690" s="34"/>
      <c r="E690" s="34"/>
      <c r="F690" s="34"/>
    </row>
    <row r="691" spans="1:6" x14ac:dyDescent="0.3">
      <c r="A691" s="32">
        <v>685</v>
      </c>
      <c r="B691" s="32"/>
      <c r="C691" s="32" t="b">
        <f>_xlfn.XLOOKUP(Table610111213[[#This Row],[Category No]],Table8[Category No],Table8[Chapter List],FALSE)</f>
        <v>0</v>
      </c>
      <c r="D691" s="34"/>
      <c r="E691" s="34"/>
      <c r="F691" s="34"/>
    </row>
    <row r="692" spans="1:6" x14ac:dyDescent="0.3">
      <c r="A692" s="32">
        <v>686</v>
      </c>
      <c r="B692" s="32"/>
      <c r="C692" s="32" t="b">
        <f>_xlfn.XLOOKUP(Table610111213[[#This Row],[Category No]],Table8[Category No],Table8[Chapter List],FALSE)</f>
        <v>0</v>
      </c>
      <c r="D692" s="34"/>
      <c r="E692" s="34"/>
      <c r="F692" s="34"/>
    </row>
    <row r="693" spans="1:6" x14ac:dyDescent="0.3">
      <c r="A693" s="32">
        <v>687</v>
      </c>
      <c r="B693" s="32"/>
      <c r="C693" s="32" t="b">
        <f>_xlfn.XLOOKUP(Table610111213[[#This Row],[Category No]],Table8[Category No],Table8[Chapter List],FALSE)</f>
        <v>0</v>
      </c>
      <c r="D693" s="34"/>
      <c r="E693" s="34"/>
      <c r="F693" s="34"/>
    </row>
    <row r="694" spans="1:6" x14ac:dyDescent="0.3">
      <c r="A694" s="32">
        <v>688</v>
      </c>
      <c r="B694" s="32"/>
      <c r="C694" s="32" t="b">
        <f>_xlfn.XLOOKUP(Table610111213[[#This Row],[Category No]],Table8[Category No],Table8[Chapter List],FALSE)</f>
        <v>0</v>
      </c>
      <c r="D694" s="34"/>
      <c r="E694" s="34"/>
      <c r="F694" s="34"/>
    </row>
    <row r="695" spans="1:6" x14ac:dyDescent="0.3">
      <c r="A695" s="32">
        <v>689</v>
      </c>
      <c r="B695" s="32"/>
      <c r="C695" s="32" t="b">
        <f>_xlfn.XLOOKUP(Table610111213[[#This Row],[Category No]],Table8[Category No],Table8[Chapter List],FALSE)</f>
        <v>0</v>
      </c>
      <c r="D695" s="34"/>
      <c r="E695" s="34"/>
      <c r="F695" s="34"/>
    </row>
    <row r="696" spans="1:6" x14ac:dyDescent="0.3">
      <c r="A696" s="32">
        <v>690</v>
      </c>
      <c r="B696" s="32"/>
      <c r="C696" s="32" t="b">
        <f>_xlfn.XLOOKUP(Table610111213[[#This Row],[Category No]],Table8[Category No],Table8[Chapter List],FALSE)</f>
        <v>0</v>
      </c>
      <c r="D696" s="34"/>
      <c r="E696" s="34"/>
      <c r="F696" s="34"/>
    </row>
    <row r="697" spans="1:6" x14ac:dyDescent="0.3">
      <c r="A697" s="32">
        <v>691</v>
      </c>
      <c r="B697" s="32"/>
      <c r="C697" s="32" t="b">
        <f>_xlfn.XLOOKUP(Table610111213[[#This Row],[Category No]],Table8[Category No],Table8[Chapter List],FALSE)</f>
        <v>0</v>
      </c>
      <c r="D697" s="34"/>
      <c r="E697" s="34"/>
      <c r="F697" s="34"/>
    </row>
    <row r="698" spans="1:6" x14ac:dyDescent="0.3">
      <c r="A698" s="32">
        <v>692</v>
      </c>
      <c r="B698" s="32"/>
      <c r="C698" s="32" t="b">
        <f>_xlfn.XLOOKUP(Table610111213[[#This Row],[Category No]],Table8[Category No],Table8[Chapter List],FALSE)</f>
        <v>0</v>
      </c>
      <c r="D698" s="34"/>
      <c r="E698" s="34"/>
      <c r="F698" s="34"/>
    </row>
    <row r="699" spans="1:6" x14ac:dyDescent="0.3">
      <c r="A699" s="32">
        <v>693</v>
      </c>
      <c r="B699" s="32"/>
      <c r="C699" s="32" t="b">
        <f>_xlfn.XLOOKUP(Table610111213[[#This Row],[Category No]],Table8[Category No],Table8[Chapter List],FALSE)</f>
        <v>0</v>
      </c>
      <c r="D699" s="34"/>
      <c r="E699" s="34"/>
      <c r="F699" s="34"/>
    </row>
    <row r="700" spans="1:6" x14ac:dyDescent="0.3">
      <c r="A700" s="32">
        <v>694</v>
      </c>
      <c r="B700" s="32"/>
      <c r="C700" s="32" t="b">
        <f>_xlfn.XLOOKUP(Table610111213[[#This Row],[Category No]],Table8[Category No],Table8[Chapter List],FALSE)</f>
        <v>0</v>
      </c>
      <c r="D700" s="34"/>
      <c r="E700" s="34"/>
      <c r="F700" s="34"/>
    </row>
    <row r="701" spans="1:6" x14ac:dyDescent="0.3">
      <c r="A701" s="32">
        <v>695</v>
      </c>
      <c r="B701" s="32"/>
      <c r="C701" s="32" t="b">
        <f>_xlfn.XLOOKUP(Table610111213[[#This Row],[Category No]],Table8[Category No],Table8[Chapter List],FALSE)</f>
        <v>0</v>
      </c>
      <c r="D701" s="34"/>
      <c r="E701" s="34"/>
      <c r="F701" s="34"/>
    </row>
    <row r="702" spans="1:6" x14ac:dyDescent="0.3">
      <c r="A702" s="32">
        <v>696</v>
      </c>
      <c r="B702" s="32"/>
      <c r="C702" s="32" t="b">
        <f>_xlfn.XLOOKUP(Table610111213[[#This Row],[Category No]],Table8[Category No],Table8[Chapter List],FALSE)</f>
        <v>0</v>
      </c>
      <c r="D702" s="34"/>
      <c r="E702" s="34"/>
      <c r="F702" s="34"/>
    </row>
    <row r="703" spans="1:6" x14ac:dyDescent="0.3">
      <c r="A703" s="32">
        <v>697</v>
      </c>
      <c r="B703" s="32"/>
      <c r="C703" s="32" t="b">
        <f>_xlfn.XLOOKUP(Table610111213[[#This Row],[Category No]],Table8[Category No],Table8[Chapter List],FALSE)</f>
        <v>0</v>
      </c>
      <c r="D703" s="34"/>
      <c r="E703" s="34"/>
      <c r="F703" s="34"/>
    </row>
    <row r="704" spans="1:6" x14ac:dyDescent="0.3">
      <c r="A704" s="32">
        <v>698</v>
      </c>
      <c r="B704" s="32"/>
      <c r="C704" s="32" t="b">
        <f>_xlfn.XLOOKUP(Table610111213[[#This Row],[Category No]],Table8[Category No],Table8[Chapter List],FALSE)</f>
        <v>0</v>
      </c>
      <c r="D704" s="34"/>
      <c r="E704" s="34"/>
      <c r="F704" s="34"/>
    </row>
    <row r="705" spans="1:6" x14ac:dyDescent="0.3">
      <c r="A705" s="32">
        <v>699</v>
      </c>
      <c r="B705" s="32"/>
      <c r="C705" s="32" t="b">
        <f>_xlfn.XLOOKUP(Table610111213[[#This Row],[Category No]],Table8[Category No],Table8[Chapter List],FALSE)</f>
        <v>0</v>
      </c>
      <c r="D705" s="34"/>
      <c r="E705" s="34"/>
      <c r="F705" s="34"/>
    </row>
    <row r="706" spans="1:6" x14ac:dyDescent="0.3">
      <c r="A706" s="32">
        <v>700</v>
      </c>
      <c r="B706" s="32"/>
      <c r="C706" s="32" t="b">
        <f>_xlfn.XLOOKUP(Table610111213[[#This Row],[Category No]],Table8[Category No],Table8[Chapter List],FALSE)</f>
        <v>0</v>
      </c>
      <c r="D706" s="34"/>
      <c r="E706" s="34"/>
      <c r="F706" s="34"/>
    </row>
    <row r="707" spans="1:6" x14ac:dyDescent="0.3">
      <c r="A707" s="32">
        <v>701</v>
      </c>
      <c r="B707" s="32"/>
      <c r="C707" s="32" t="b">
        <f>_xlfn.XLOOKUP(Table610111213[[#This Row],[Category No]],Table8[Category No],Table8[Chapter List],FALSE)</f>
        <v>0</v>
      </c>
      <c r="D707" s="34"/>
      <c r="E707" s="34"/>
      <c r="F707" s="34"/>
    </row>
    <row r="708" spans="1:6" x14ac:dyDescent="0.3">
      <c r="A708" s="32">
        <v>702</v>
      </c>
      <c r="B708" s="32"/>
      <c r="C708" s="32" t="b">
        <f>_xlfn.XLOOKUP(Table610111213[[#This Row],[Category No]],Table8[Category No],Table8[Chapter List],FALSE)</f>
        <v>0</v>
      </c>
      <c r="D708" s="34"/>
      <c r="E708" s="34"/>
      <c r="F708" s="34"/>
    </row>
    <row r="709" spans="1:6" x14ac:dyDescent="0.3">
      <c r="A709" s="32">
        <v>703</v>
      </c>
      <c r="B709" s="32"/>
      <c r="C709" s="32" t="b">
        <f>_xlfn.XLOOKUP(Table610111213[[#This Row],[Category No]],Table8[Category No],Table8[Chapter List],FALSE)</f>
        <v>0</v>
      </c>
      <c r="D709" s="34"/>
      <c r="E709" s="34"/>
      <c r="F709" s="34"/>
    </row>
    <row r="710" spans="1:6" x14ac:dyDescent="0.3">
      <c r="A710" s="32">
        <v>704</v>
      </c>
      <c r="B710" s="32"/>
      <c r="C710" s="32" t="b">
        <f>_xlfn.XLOOKUP(Table610111213[[#This Row],[Category No]],Table8[Category No],Table8[Chapter List],FALSE)</f>
        <v>0</v>
      </c>
      <c r="D710" s="34"/>
      <c r="E710" s="34"/>
      <c r="F710" s="34"/>
    </row>
    <row r="711" spans="1:6" x14ac:dyDescent="0.3">
      <c r="A711" s="32">
        <v>705</v>
      </c>
      <c r="B711" s="32"/>
      <c r="C711" s="32" t="b">
        <f>_xlfn.XLOOKUP(Table610111213[[#This Row],[Category No]],Table8[Category No],Table8[Chapter List],FALSE)</f>
        <v>0</v>
      </c>
      <c r="D711" s="34"/>
      <c r="E711" s="34"/>
      <c r="F711" s="34"/>
    </row>
    <row r="712" spans="1:6" x14ac:dyDescent="0.3">
      <c r="A712" s="32">
        <v>706</v>
      </c>
      <c r="B712" s="32"/>
      <c r="C712" s="32" t="b">
        <f>_xlfn.XLOOKUP(Table610111213[[#This Row],[Category No]],Table8[Category No],Table8[Chapter List],FALSE)</f>
        <v>0</v>
      </c>
      <c r="D712" s="34"/>
      <c r="E712" s="34"/>
      <c r="F712" s="34"/>
    </row>
    <row r="713" spans="1:6" x14ac:dyDescent="0.3">
      <c r="A713" s="32">
        <v>707</v>
      </c>
      <c r="B713" s="32"/>
      <c r="C713" s="32" t="b">
        <f>_xlfn.XLOOKUP(Table610111213[[#This Row],[Category No]],Table8[Category No],Table8[Chapter List],FALSE)</f>
        <v>0</v>
      </c>
      <c r="D713" s="34"/>
      <c r="E713" s="34"/>
      <c r="F713" s="34"/>
    </row>
    <row r="714" spans="1:6" x14ac:dyDescent="0.3">
      <c r="A714" s="32">
        <v>708</v>
      </c>
      <c r="B714" s="32"/>
      <c r="C714" s="32" t="b">
        <f>_xlfn.XLOOKUP(Table610111213[[#This Row],[Category No]],Table8[Category No],Table8[Chapter List],FALSE)</f>
        <v>0</v>
      </c>
      <c r="D714" s="34"/>
      <c r="E714" s="34"/>
      <c r="F714" s="34"/>
    </row>
    <row r="715" spans="1:6" x14ac:dyDescent="0.3">
      <c r="A715" s="32">
        <v>709</v>
      </c>
      <c r="B715" s="32"/>
      <c r="C715" s="32" t="b">
        <f>_xlfn.XLOOKUP(Table610111213[[#This Row],[Category No]],Table8[Category No],Table8[Chapter List],FALSE)</f>
        <v>0</v>
      </c>
      <c r="D715" s="34"/>
      <c r="E715" s="34"/>
      <c r="F715" s="34"/>
    </row>
    <row r="716" spans="1:6" x14ac:dyDescent="0.3">
      <c r="A716" s="32">
        <v>710</v>
      </c>
      <c r="B716" s="32"/>
      <c r="C716" s="32" t="b">
        <f>_xlfn.XLOOKUP(Table610111213[[#This Row],[Category No]],Table8[Category No],Table8[Chapter List],FALSE)</f>
        <v>0</v>
      </c>
      <c r="D716" s="34"/>
      <c r="E716" s="34"/>
      <c r="F716" s="34"/>
    </row>
    <row r="717" spans="1:6" x14ac:dyDescent="0.3">
      <c r="A717" s="32">
        <v>711</v>
      </c>
      <c r="B717" s="32"/>
      <c r="C717" s="32" t="b">
        <f>_xlfn.XLOOKUP(Table610111213[[#This Row],[Category No]],Table8[Category No],Table8[Chapter List],FALSE)</f>
        <v>0</v>
      </c>
      <c r="D717" s="34"/>
      <c r="E717" s="34"/>
      <c r="F717" s="34"/>
    </row>
    <row r="718" spans="1:6" x14ac:dyDescent="0.3">
      <c r="A718" s="32">
        <v>712</v>
      </c>
      <c r="B718" s="32"/>
      <c r="C718" s="32" t="b">
        <f>_xlfn.XLOOKUP(Table610111213[[#This Row],[Category No]],Table8[Category No],Table8[Chapter List],FALSE)</f>
        <v>0</v>
      </c>
      <c r="D718" s="34"/>
      <c r="E718" s="34"/>
      <c r="F718" s="34"/>
    </row>
    <row r="719" spans="1:6" x14ac:dyDescent="0.3">
      <c r="A719" s="32">
        <v>713</v>
      </c>
      <c r="B719" s="32"/>
      <c r="C719" s="32" t="b">
        <f>_xlfn.XLOOKUP(Table610111213[[#This Row],[Category No]],Table8[Category No],Table8[Chapter List],FALSE)</f>
        <v>0</v>
      </c>
      <c r="D719" s="34"/>
      <c r="E719" s="34"/>
      <c r="F719" s="34"/>
    </row>
    <row r="720" spans="1:6" x14ac:dyDescent="0.3">
      <c r="A720" s="32">
        <v>714</v>
      </c>
      <c r="B720" s="32"/>
      <c r="C720" s="32" t="b">
        <f>_xlfn.XLOOKUP(Table610111213[[#This Row],[Category No]],Table8[Category No],Table8[Chapter List],FALSE)</f>
        <v>0</v>
      </c>
      <c r="D720" s="34"/>
      <c r="E720" s="34"/>
      <c r="F720" s="34"/>
    </row>
    <row r="721" spans="1:6" x14ac:dyDescent="0.3">
      <c r="A721" s="32">
        <v>715</v>
      </c>
      <c r="B721" s="32"/>
      <c r="C721" s="32" t="b">
        <f>_xlfn.XLOOKUP(Table610111213[[#This Row],[Category No]],Table8[Category No],Table8[Chapter List],FALSE)</f>
        <v>0</v>
      </c>
      <c r="D721" s="34"/>
      <c r="E721" s="34"/>
      <c r="F721" s="34"/>
    </row>
    <row r="722" spans="1:6" x14ac:dyDescent="0.3">
      <c r="A722" s="32">
        <v>716</v>
      </c>
      <c r="B722" s="32"/>
      <c r="C722" s="32" t="b">
        <f>_xlfn.XLOOKUP(Table610111213[[#This Row],[Category No]],Table8[Category No],Table8[Chapter List],FALSE)</f>
        <v>0</v>
      </c>
      <c r="D722" s="34"/>
      <c r="E722" s="34"/>
      <c r="F722" s="34"/>
    </row>
    <row r="723" spans="1:6" x14ac:dyDescent="0.3">
      <c r="A723" s="32">
        <v>717</v>
      </c>
      <c r="B723" s="32"/>
      <c r="C723" s="32" t="b">
        <f>_xlfn.XLOOKUP(Table610111213[[#This Row],[Category No]],Table8[Category No],Table8[Chapter List],FALSE)</f>
        <v>0</v>
      </c>
      <c r="D723" s="34"/>
      <c r="E723" s="34"/>
      <c r="F723" s="34"/>
    </row>
    <row r="724" spans="1:6" x14ac:dyDescent="0.3">
      <c r="A724" s="32">
        <v>718</v>
      </c>
      <c r="B724" s="32"/>
      <c r="C724" s="32" t="b">
        <f>_xlfn.XLOOKUP(Table610111213[[#This Row],[Category No]],Table8[Category No],Table8[Chapter List],FALSE)</f>
        <v>0</v>
      </c>
      <c r="D724" s="34"/>
      <c r="E724" s="34"/>
      <c r="F724" s="34"/>
    </row>
    <row r="725" spans="1:6" x14ac:dyDescent="0.3">
      <c r="A725" s="32">
        <v>719</v>
      </c>
      <c r="B725" s="32"/>
      <c r="C725" s="32" t="b">
        <f>_xlfn.XLOOKUP(Table610111213[[#This Row],[Category No]],Table8[Category No],Table8[Chapter List],FALSE)</f>
        <v>0</v>
      </c>
      <c r="D725" s="34"/>
      <c r="E725" s="34"/>
      <c r="F725" s="34"/>
    </row>
    <row r="726" spans="1:6" x14ac:dyDescent="0.3">
      <c r="A726" s="32">
        <v>720</v>
      </c>
      <c r="B726" s="32"/>
      <c r="C726" s="32" t="b">
        <f>_xlfn.XLOOKUP(Table610111213[[#This Row],[Category No]],Table8[Category No],Table8[Chapter List],FALSE)</f>
        <v>0</v>
      </c>
      <c r="D726" s="34"/>
      <c r="E726" s="34"/>
      <c r="F726" s="34"/>
    </row>
    <row r="727" spans="1:6" x14ac:dyDescent="0.3">
      <c r="A727" s="32">
        <v>721</v>
      </c>
      <c r="B727" s="32"/>
      <c r="C727" s="32" t="b">
        <f>_xlfn.XLOOKUP(Table610111213[[#This Row],[Category No]],Table8[Category No],Table8[Chapter List],FALSE)</f>
        <v>0</v>
      </c>
      <c r="D727" s="34"/>
      <c r="E727" s="34"/>
      <c r="F727" s="34"/>
    </row>
    <row r="728" spans="1:6" x14ac:dyDescent="0.3">
      <c r="A728" s="32">
        <v>722</v>
      </c>
      <c r="B728" s="32"/>
      <c r="C728" s="32" t="b">
        <f>_xlfn.XLOOKUP(Table610111213[[#This Row],[Category No]],Table8[Category No],Table8[Chapter List],FALSE)</f>
        <v>0</v>
      </c>
      <c r="D728" s="34"/>
      <c r="E728" s="34"/>
      <c r="F728" s="34"/>
    </row>
    <row r="729" spans="1:6" x14ac:dyDescent="0.3">
      <c r="A729" s="32">
        <v>723</v>
      </c>
      <c r="B729" s="32"/>
      <c r="C729" s="32" t="b">
        <f>_xlfn.XLOOKUP(Table610111213[[#This Row],[Category No]],Table8[Category No],Table8[Chapter List],FALSE)</f>
        <v>0</v>
      </c>
      <c r="D729" s="34"/>
      <c r="E729" s="34"/>
      <c r="F729" s="34"/>
    </row>
    <row r="730" spans="1:6" x14ac:dyDescent="0.3">
      <c r="A730" s="32">
        <v>724</v>
      </c>
      <c r="B730" s="32"/>
      <c r="C730" s="32" t="b">
        <f>_xlfn.XLOOKUP(Table610111213[[#This Row],[Category No]],Table8[Category No],Table8[Chapter List],FALSE)</f>
        <v>0</v>
      </c>
      <c r="D730" s="34"/>
      <c r="E730" s="34"/>
      <c r="F730" s="34"/>
    </row>
    <row r="731" spans="1:6" x14ac:dyDescent="0.3">
      <c r="A731" s="32">
        <v>725</v>
      </c>
      <c r="B731" s="32"/>
      <c r="C731" s="32" t="b">
        <f>_xlfn.XLOOKUP(Table610111213[[#This Row],[Category No]],Table8[Category No],Table8[Chapter List],FALSE)</f>
        <v>0</v>
      </c>
      <c r="D731" s="34"/>
      <c r="E731" s="34"/>
      <c r="F731" s="34"/>
    </row>
    <row r="732" spans="1:6" x14ac:dyDescent="0.3">
      <c r="A732" s="32">
        <v>726</v>
      </c>
      <c r="B732" s="32"/>
      <c r="C732" s="32" t="b">
        <f>_xlfn.XLOOKUP(Table610111213[[#This Row],[Category No]],Table8[Category No],Table8[Chapter List],FALSE)</f>
        <v>0</v>
      </c>
      <c r="D732" s="34"/>
      <c r="E732" s="34"/>
      <c r="F732" s="34"/>
    </row>
    <row r="733" spans="1:6" x14ac:dyDescent="0.3">
      <c r="A733" s="32">
        <v>727</v>
      </c>
      <c r="B733" s="32"/>
      <c r="C733" s="32" t="b">
        <f>_xlfn.XLOOKUP(Table610111213[[#This Row],[Category No]],Table8[Category No],Table8[Chapter List],FALSE)</f>
        <v>0</v>
      </c>
      <c r="D733" s="34"/>
      <c r="E733" s="34"/>
      <c r="F733" s="34"/>
    </row>
    <row r="734" spans="1:6" x14ac:dyDescent="0.3">
      <c r="A734" s="32">
        <v>728</v>
      </c>
      <c r="B734" s="32"/>
      <c r="C734" s="32" t="b">
        <f>_xlfn.XLOOKUP(Table610111213[[#This Row],[Category No]],Table8[Category No],Table8[Chapter List],FALSE)</f>
        <v>0</v>
      </c>
      <c r="D734" s="34"/>
      <c r="E734" s="34"/>
      <c r="F734" s="34"/>
    </row>
    <row r="735" spans="1:6" x14ac:dyDescent="0.3">
      <c r="A735" s="32">
        <v>729</v>
      </c>
      <c r="B735" s="32"/>
      <c r="C735" s="32" t="b">
        <f>_xlfn.XLOOKUP(Table610111213[[#This Row],[Category No]],Table8[Category No],Table8[Chapter List],FALSE)</f>
        <v>0</v>
      </c>
      <c r="D735" s="34"/>
      <c r="E735" s="34"/>
      <c r="F735" s="34"/>
    </row>
    <row r="736" spans="1:6" x14ac:dyDescent="0.3">
      <c r="A736" s="32">
        <v>730</v>
      </c>
      <c r="B736" s="32"/>
      <c r="C736" s="32" t="b">
        <f>_xlfn.XLOOKUP(Table610111213[[#This Row],[Category No]],Table8[Category No],Table8[Chapter List],FALSE)</f>
        <v>0</v>
      </c>
      <c r="D736" s="34"/>
      <c r="E736" s="34"/>
      <c r="F736" s="34"/>
    </row>
    <row r="737" spans="1:6" x14ac:dyDescent="0.3">
      <c r="A737" s="32">
        <v>731</v>
      </c>
      <c r="B737" s="32"/>
      <c r="C737" s="32" t="b">
        <f>_xlfn.XLOOKUP(Table610111213[[#This Row],[Category No]],Table8[Category No],Table8[Chapter List],FALSE)</f>
        <v>0</v>
      </c>
      <c r="D737" s="34"/>
      <c r="E737" s="34"/>
      <c r="F737" s="34"/>
    </row>
    <row r="738" spans="1:6" x14ac:dyDescent="0.3">
      <c r="A738" s="32">
        <v>732</v>
      </c>
      <c r="B738" s="32"/>
      <c r="C738" s="32" t="b">
        <f>_xlfn.XLOOKUP(Table610111213[[#This Row],[Category No]],Table8[Category No],Table8[Chapter List],FALSE)</f>
        <v>0</v>
      </c>
      <c r="D738" s="34"/>
      <c r="E738" s="34"/>
      <c r="F738" s="34"/>
    </row>
    <row r="739" spans="1:6" x14ac:dyDescent="0.3">
      <c r="A739" s="32">
        <v>733</v>
      </c>
      <c r="B739" s="32"/>
      <c r="C739" s="32" t="b">
        <f>_xlfn.XLOOKUP(Table610111213[[#This Row],[Category No]],Table8[Category No],Table8[Chapter List],FALSE)</f>
        <v>0</v>
      </c>
      <c r="D739" s="34"/>
      <c r="E739" s="34"/>
      <c r="F739" s="34"/>
    </row>
    <row r="740" spans="1:6" x14ac:dyDescent="0.3">
      <c r="A740" s="32">
        <v>734</v>
      </c>
      <c r="B740" s="32"/>
      <c r="C740" s="32" t="b">
        <f>_xlfn.XLOOKUP(Table610111213[[#This Row],[Category No]],Table8[Category No],Table8[Chapter List],FALSE)</f>
        <v>0</v>
      </c>
      <c r="D740" s="34"/>
      <c r="E740" s="34"/>
      <c r="F740" s="34"/>
    </row>
    <row r="741" spans="1:6" x14ac:dyDescent="0.3">
      <c r="A741" s="32">
        <v>735</v>
      </c>
      <c r="B741" s="32"/>
      <c r="C741" s="32" t="b">
        <f>_xlfn.XLOOKUP(Table610111213[[#This Row],[Category No]],Table8[Category No],Table8[Chapter List],FALSE)</f>
        <v>0</v>
      </c>
      <c r="D741" s="34"/>
      <c r="E741" s="34"/>
      <c r="F741" s="34"/>
    </row>
    <row r="742" spans="1:6" x14ac:dyDescent="0.3">
      <c r="A742" s="32">
        <v>736</v>
      </c>
      <c r="B742" s="32"/>
      <c r="C742" s="32" t="b">
        <f>_xlfn.XLOOKUP(Table610111213[[#This Row],[Category No]],Table8[Category No],Table8[Chapter List],FALSE)</f>
        <v>0</v>
      </c>
      <c r="D742" s="34"/>
      <c r="E742" s="34"/>
      <c r="F742" s="34"/>
    </row>
    <row r="743" spans="1:6" x14ac:dyDescent="0.3">
      <c r="A743" s="32">
        <v>737</v>
      </c>
      <c r="B743" s="32"/>
      <c r="C743" s="32" t="b">
        <f>_xlfn.XLOOKUP(Table610111213[[#This Row],[Category No]],Table8[Category No],Table8[Chapter List],FALSE)</f>
        <v>0</v>
      </c>
      <c r="D743" s="34"/>
      <c r="E743" s="34"/>
      <c r="F743" s="34"/>
    </row>
    <row r="744" spans="1:6" x14ac:dyDescent="0.3">
      <c r="A744" s="32">
        <v>738</v>
      </c>
      <c r="B744" s="32"/>
      <c r="C744" s="32" t="b">
        <f>_xlfn.XLOOKUP(Table610111213[[#This Row],[Category No]],Table8[Category No],Table8[Chapter List],FALSE)</f>
        <v>0</v>
      </c>
      <c r="D744" s="34"/>
      <c r="E744" s="34"/>
      <c r="F744" s="34"/>
    </row>
    <row r="745" spans="1:6" x14ac:dyDescent="0.3">
      <c r="A745" s="32">
        <v>739</v>
      </c>
      <c r="B745" s="32"/>
      <c r="C745" s="32" t="b">
        <f>_xlfn.XLOOKUP(Table610111213[[#This Row],[Category No]],Table8[Category No],Table8[Chapter List],FALSE)</f>
        <v>0</v>
      </c>
      <c r="D745" s="34"/>
      <c r="E745" s="34"/>
      <c r="F745" s="34"/>
    </row>
    <row r="746" spans="1:6" x14ac:dyDescent="0.3">
      <c r="A746" s="32">
        <v>740</v>
      </c>
      <c r="B746" s="32"/>
      <c r="C746" s="32" t="b">
        <f>_xlfn.XLOOKUP(Table610111213[[#This Row],[Category No]],Table8[Category No],Table8[Chapter List],FALSE)</f>
        <v>0</v>
      </c>
      <c r="D746" s="34"/>
      <c r="E746" s="34"/>
      <c r="F746" s="34"/>
    </row>
    <row r="747" spans="1:6" x14ac:dyDescent="0.3">
      <c r="A747" s="32">
        <v>741</v>
      </c>
      <c r="B747" s="32"/>
      <c r="C747" s="32" t="b">
        <f>_xlfn.XLOOKUP(Table610111213[[#This Row],[Category No]],Table8[Category No],Table8[Chapter List],FALSE)</f>
        <v>0</v>
      </c>
      <c r="D747" s="34"/>
      <c r="E747" s="34"/>
      <c r="F747" s="34"/>
    </row>
    <row r="748" spans="1:6" x14ac:dyDescent="0.3">
      <c r="A748" s="32">
        <v>742</v>
      </c>
      <c r="B748" s="32"/>
      <c r="C748" s="32" t="b">
        <f>_xlfn.XLOOKUP(Table610111213[[#This Row],[Category No]],Table8[Category No],Table8[Chapter List],FALSE)</f>
        <v>0</v>
      </c>
      <c r="D748" s="34"/>
      <c r="E748" s="34"/>
      <c r="F748" s="34"/>
    </row>
    <row r="749" spans="1:6" x14ac:dyDescent="0.3">
      <c r="A749" s="32">
        <v>743</v>
      </c>
      <c r="B749" s="32"/>
      <c r="C749" s="32" t="b">
        <f>_xlfn.XLOOKUP(Table610111213[[#This Row],[Category No]],Table8[Category No],Table8[Chapter List],FALSE)</f>
        <v>0</v>
      </c>
      <c r="D749" s="34"/>
      <c r="E749" s="34"/>
      <c r="F749" s="34"/>
    </row>
    <row r="750" spans="1:6" x14ac:dyDescent="0.3">
      <c r="A750" s="32">
        <v>744</v>
      </c>
      <c r="B750" s="32"/>
      <c r="C750" s="32" t="b">
        <f>_xlfn.XLOOKUP(Table610111213[[#This Row],[Category No]],Table8[Category No],Table8[Chapter List],FALSE)</f>
        <v>0</v>
      </c>
      <c r="D750" s="34"/>
      <c r="E750" s="34"/>
      <c r="F750" s="34"/>
    </row>
    <row r="751" spans="1:6" x14ac:dyDescent="0.3">
      <c r="A751" s="32">
        <v>745</v>
      </c>
      <c r="B751" s="32"/>
      <c r="C751" s="32" t="b">
        <f>_xlfn.XLOOKUP(Table610111213[[#This Row],[Category No]],Table8[Category No],Table8[Chapter List],FALSE)</f>
        <v>0</v>
      </c>
      <c r="D751" s="34"/>
      <c r="E751" s="34"/>
      <c r="F751" s="34"/>
    </row>
    <row r="752" spans="1:6" x14ac:dyDescent="0.3">
      <c r="A752" s="32">
        <v>746</v>
      </c>
      <c r="B752" s="32"/>
      <c r="C752" s="32" t="b">
        <f>_xlfn.XLOOKUP(Table610111213[[#This Row],[Category No]],Table8[Category No],Table8[Chapter List],FALSE)</f>
        <v>0</v>
      </c>
      <c r="D752" s="34"/>
      <c r="E752" s="34"/>
      <c r="F752" s="34"/>
    </row>
    <row r="753" spans="1:6" x14ac:dyDescent="0.3">
      <c r="A753" s="32">
        <v>747</v>
      </c>
      <c r="B753" s="32"/>
      <c r="C753" s="32" t="b">
        <f>_xlfn.XLOOKUP(Table610111213[[#This Row],[Category No]],Table8[Category No],Table8[Chapter List],FALSE)</f>
        <v>0</v>
      </c>
      <c r="D753" s="34"/>
      <c r="E753" s="34"/>
      <c r="F753" s="34"/>
    </row>
    <row r="754" spans="1:6" x14ac:dyDescent="0.3">
      <c r="A754" s="32">
        <v>748</v>
      </c>
      <c r="B754" s="32"/>
      <c r="C754" s="32" t="b">
        <f>_xlfn.XLOOKUP(Table610111213[[#This Row],[Category No]],Table8[Category No],Table8[Chapter List],FALSE)</f>
        <v>0</v>
      </c>
      <c r="D754" s="34"/>
      <c r="E754" s="34"/>
      <c r="F754" s="34"/>
    </row>
    <row r="755" spans="1:6" x14ac:dyDescent="0.3">
      <c r="A755" s="32">
        <v>749</v>
      </c>
      <c r="B755" s="32"/>
      <c r="C755" s="32" t="b">
        <f>_xlfn.XLOOKUP(Table610111213[[#This Row],[Category No]],Table8[Category No],Table8[Chapter List],FALSE)</f>
        <v>0</v>
      </c>
      <c r="D755" s="34"/>
      <c r="E755" s="34"/>
      <c r="F755" s="34"/>
    </row>
    <row r="756" spans="1:6" x14ac:dyDescent="0.3">
      <c r="A756" s="32">
        <v>750</v>
      </c>
      <c r="B756" s="32"/>
      <c r="C756" s="32" t="b">
        <f>_xlfn.XLOOKUP(Table610111213[[#This Row],[Category No]],Table8[Category No],Table8[Chapter List],FALSE)</f>
        <v>0</v>
      </c>
      <c r="D756" s="34"/>
      <c r="E756" s="34"/>
      <c r="F756" s="34"/>
    </row>
    <row r="757" spans="1:6" x14ac:dyDescent="0.3">
      <c r="A757" s="32">
        <v>751</v>
      </c>
      <c r="B757" s="32"/>
      <c r="C757" s="32" t="b">
        <f>_xlfn.XLOOKUP(Table610111213[[#This Row],[Category No]],Table8[Category No],Table8[Chapter List],FALSE)</f>
        <v>0</v>
      </c>
      <c r="D757" s="34"/>
      <c r="E757" s="34"/>
      <c r="F757" s="34"/>
    </row>
    <row r="758" spans="1:6" x14ac:dyDescent="0.3">
      <c r="A758" s="32">
        <v>752</v>
      </c>
      <c r="B758" s="32"/>
      <c r="C758" s="32" t="b">
        <f>_xlfn.XLOOKUP(Table610111213[[#This Row],[Category No]],Table8[Category No],Table8[Chapter List],FALSE)</f>
        <v>0</v>
      </c>
      <c r="D758" s="34"/>
      <c r="E758" s="34"/>
      <c r="F758" s="34"/>
    </row>
    <row r="759" spans="1:6" x14ac:dyDescent="0.3">
      <c r="A759" s="32">
        <v>753</v>
      </c>
      <c r="B759" s="32"/>
      <c r="C759" s="32" t="b">
        <f>_xlfn.XLOOKUP(Table610111213[[#This Row],[Category No]],Table8[Category No],Table8[Chapter List],FALSE)</f>
        <v>0</v>
      </c>
      <c r="D759" s="34"/>
      <c r="E759" s="34"/>
      <c r="F759" s="34"/>
    </row>
    <row r="760" spans="1:6" x14ac:dyDescent="0.3">
      <c r="A760" s="32">
        <v>754</v>
      </c>
      <c r="B760" s="32"/>
      <c r="C760" s="32" t="b">
        <f>_xlfn.XLOOKUP(Table610111213[[#This Row],[Category No]],Table8[Category No],Table8[Chapter List],FALSE)</f>
        <v>0</v>
      </c>
      <c r="D760" s="34"/>
      <c r="E760" s="34"/>
      <c r="F760" s="34"/>
    </row>
    <row r="761" spans="1:6" x14ac:dyDescent="0.3">
      <c r="A761" s="32">
        <v>755</v>
      </c>
      <c r="B761" s="32"/>
      <c r="C761" s="32" t="b">
        <f>_xlfn.XLOOKUP(Table610111213[[#This Row],[Category No]],Table8[Category No],Table8[Chapter List],FALSE)</f>
        <v>0</v>
      </c>
      <c r="D761" s="34"/>
      <c r="E761" s="34"/>
      <c r="F761" s="34"/>
    </row>
    <row r="762" spans="1:6" x14ac:dyDescent="0.3">
      <c r="A762" s="32">
        <v>756</v>
      </c>
      <c r="B762" s="32"/>
      <c r="C762" s="32" t="b">
        <f>_xlfn.XLOOKUP(Table610111213[[#This Row],[Category No]],Table8[Category No],Table8[Chapter List],FALSE)</f>
        <v>0</v>
      </c>
      <c r="D762" s="34"/>
      <c r="E762" s="34"/>
      <c r="F762" s="34"/>
    </row>
    <row r="763" spans="1:6" x14ac:dyDescent="0.3">
      <c r="A763" s="32">
        <v>757</v>
      </c>
      <c r="B763" s="32"/>
      <c r="C763" s="32" t="b">
        <f>_xlfn.XLOOKUP(Table610111213[[#This Row],[Category No]],Table8[Category No],Table8[Chapter List],FALSE)</f>
        <v>0</v>
      </c>
      <c r="D763" s="34"/>
      <c r="E763" s="34"/>
      <c r="F763" s="34"/>
    </row>
    <row r="764" spans="1:6" x14ac:dyDescent="0.3">
      <c r="A764" s="32">
        <v>758</v>
      </c>
      <c r="B764" s="32"/>
      <c r="C764" s="32" t="b">
        <f>_xlfn.XLOOKUP(Table610111213[[#This Row],[Category No]],Table8[Category No],Table8[Chapter List],FALSE)</f>
        <v>0</v>
      </c>
      <c r="D764" s="34"/>
      <c r="E764" s="34"/>
      <c r="F764" s="34"/>
    </row>
    <row r="765" spans="1:6" x14ac:dyDescent="0.3">
      <c r="A765" s="32">
        <v>759</v>
      </c>
      <c r="B765" s="32"/>
      <c r="C765" s="32" t="b">
        <f>_xlfn.XLOOKUP(Table610111213[[#This Row],[Category No]],Table8[Category No],Table8[Chapter List],FALSE)</f>
        <v>0</v>
      </c>
      <c r="D765" s="34"/>
      <c r="E765" s="34"/>
      <c r="F765" s="34"/>
    </row>
    <row r="766" spans="1:6" x14ac:dyDescent="0.3">
      <c r="A766" s="32">
        <v>760</v>
      </c>
      <c r="B766" s="32"/>
      <c r="C766" s="32" t="b">
        <f>_xlfn.XLOOKUP(Table610111213[[#This Row],[Category No]],Table8[Category No],Table8[Chapter List],FALSE)</f>
        <v>0</v>
      </c>
      <c r="D766" s="34"/>
      <c r="E766" s="34"/>
      <c r="F766" s="34"/>
    </row>
    <row r="767" spans="1:6" x14ac:dyDescent="0.3">
      <c r="A767" s="32">
        <v>761</v>
      </c>
      <c r="B767" s="32"/>
      <c r="C767" s="32" t="b">
        <f>_xlfn.XLOOKUP(Table610111213[[#This Row],[Category No]],Table8[Category No],Table8[Chapter List],FALSE)</f>
        <v>0</v>
      </c>
      <c r="D767" s="34"/>
      <c r="E767" s="34"/>
      <c r="F767" s="34"/>
    </row>
    <row r="768" spans="1:6" x14ac:dyDescent="0.3">
      <c r="A768" s="32">
        <v>762</v>
      </c>
      <c r="B768" s="32"/>
      <c r="C768" s="32" t="b">
        <f>_xlfn.XLOOKUP(Table610111213[[#This Row],[Category No]],Table8[Category No],Table8[Chapter List],FALSE)</f>
        <v>0</v>
      </c>
      <c r="D768" s="34"/>
      <c r="E768" s="34"/>
      <c r="F768" s="34"/>
    </row>
    <row r="769" spans="1:6" x14ac:dyDescent="0.3">
      <c r="A769" s="32">
        <v>763</v>
      </c>
      <c r="B769" s="32"/>
      <c r="C769" s="32" t="b">
        <f>_xlfn.XLOOKUP(Table610111213[[#This Row],[Category No]],Table8[Category No],Table8[Chapter List],FALSE)</f>
        <v>0</v>
      </c>
      <c r="D769" s="34"/>
      <c r="E769" s="34"/>
      <c r="F769" s="34"/>
    </row>
    <row r="770" spans="1:6" x14ac:dyDescent="0.3">
      <c r="A770" s="32">
        <v>764</v>
      </c>
      <c r="B770" s="32"/>
      <c r="C770" s="32" t="b">
        <f>_xlfn.XLOOKUP(Table610111213[[#This Row],[Category No]],Table8[Category No],Table8[Chapter List],FALSE)</f>
        <v>0</v>
      </c>
      <c r="D770" s="34"/>
      <c r="E770" s="34"/>
      <c r="F770" s="34"/>
    </row>
    <row r="771" spans="1:6" x14ac:dyDescent="0.3">
      <c r="A771" s="32">
        <v>765</v>
      </c>
      <c r="B771" s="32"/>
      <c r="C771" s="32" t="b">
        <f>_xlfn.XLOOKUP(Table610111213[[#This Row],[Category No]],Table8[Category No],Table8[Chapter List],FALSE)</f>
        <v>0</v>
      </c>
      <c r="D771" s="34"/>
      <c r="E771" s="34"/>
      <c r="F771" s="34"/>
    </row>
    <row r="772" spans="1:6" x14ac:dyDescent="0.3">
      <c r="A772" s="32">
        <v>766</v>
      </c>
      <c r="B772" s="32"/>
      <c r="C772" s="32" t="b">
        <f>_xlfn.XLOOKUP(Table610111213[[#This Row],[Category No]],Table8[Category No],Table8[Chapter List],FALSE)</f>
        <v>0</v>
      </c>
      <c r="D772" s="34"/>
      <c r="E772" s="34"/>
      <c r="F772" s="34"/>
    </row>
    <row r="773" spans="1:6" x14ac:dyDescent="0.3">
      <c r="A773" s="32">
        <v>767</v>
      </c>
      <c r="B773" s="32"/>
      <c r="C773" s="32" t="b">
        <f>_xlfn.XLOOKUP(Table610111213[[#This Row],[Category No]],Table8[Category No],Table8[Chapter List],FALSE)</f>
        <v>0</v>
      </c>
      <c r="D773" s="34"/>
      <c r="E773" s="34"/>
      <c r="F773" s="34"/>
    </row>
    <row r="774" spans="1:6" x14ac:dyDescent="0.3">
      <c r="A774" s="32">
        <v>768</v>
      </c>
      <c r="B774" s="32"/>
      <c r="C774" s="32" t="b">
        <f>_xlfn.XLOOKUP(Table610111213[[#This Row],[Category No]],Table8[Category No],Table8[Chapter List],FALSE)</f>
        <v>0</v>
      </c>
      <c r="D774" s="34"/>
      <c r="E774" s="34"/>
      <c r="F774" s="34"/>
    </row>
    <row r="775" spans="1:6" x14ac:dyDescent="0.3">
      <c r="A775" s="32">
        <v>769</v>
      </c>
      <c r="B775" s="32"/>
      <c r="C775" s="32" t="b">
        <f>_xlfn.XLOOKUP(Table610111213[[#This Row],[Category No]],Table8[Category No],Table8[Chapter List],FALSE)</f>
        <v>0</v>
      </c>
      <c r="D775" s="34"/>
      <c r="E775" s="34"/>
      <c r="F775" s="34"/>
    </row>
    <row r="776" spans="1:6" x14ac:dyDescent="0.3">
      <c r="A776" s="32">
        <v>770</v>
      </c>
      <c r="B776" s="32"/>
      <c r="C776" s="32" t="b">
        <f>_xlfn.XLOOKUP(Table610111213[[#This Row],[Category No]],Table8[Category No],Table8[Chapter List],FALSE)</f>
        <v>0</v>
      </c>
      <c r="D776" s="34"/>
      <c r="E776" s="34"/>
      <c r="F776" s="34"/>
    </row>
    <row r="777" spans="1:6" x14ac:dyDescent="0.3">
      <c r="A777" s="32">
        <v>771</v>
      </c>
      <c r="B777" s="32"/>
      <c r="C777" s="32" t="b">
        <f>_xlfn.XLOOKUP(Table610111213[[#This Row],[Category No]],Table8[Category No],Table8[Chapter List],FALSE)</f>
        <v>0</v>
      </c>
      <c r="D777" s="34"/>
      <c r="E777" s="34"/>
      <c r="F777" s="34"/>
    </row>
    <row r="778" spans="1:6" x14ac:dyDescent="0.3">
      <c r="A778" s="32">
        <v>772</v>
      </c>
      <c r="B778" s="32"/>
      <c r="C778" s="32" t="b">
        <f>_xlfn.XLOOKUP(Table610111213[[#This Row],[Category No]],Table8[Category No],Table8[Chapter List],FALSE)</f>
        <v>0</v>
      </c>
      <c r="D778" s="34"/>
      <c r="E778" s="34"/>
      <c r="F778" s="34"/>
    </row>
    <row r="779" spans="1:6" x14ac:dyDescent="0.3">
      <c r="A779" s="32">
        <v>773</v>
      </c>
      <c r="B779" s="32"/>
      <c r="C779" s="32" t="b">
        <f>_xlfn.XLOOKUP(Table610111213[[#This Row],[Category No]],Table8[Category No],Table8[Chapter List],FALSE)</f>
        <v>0</v>
      </c>
      <c r="D779" s="34"/>
      <c r="E779" s="34"/>
      <c r="F779" s="34"/>
    </row>
    <row r="780" spans="1:6" x14ac:dyDescent="0.3">
      <c r="A780" s="32">
        <v>774</v>
      </c>
      <c r="B780" s="32"/>
      <c r="C780" s="32" t="b">
        <f>_xlfn.XLOOKUP(Table610111213[[#This Row],[Category No]],Table8[Category No],Table8[Chapter List],FALSE)</f>
        <v>0</v>
      </c>
      <c r="D780" s="34"/>
      <c r="E780" s="34"/>
      <c r="F780" s="34"/>
    </row>
    <row r="781" spans="1:6" x14ac:dyDescent="0.3">
      <c r="A781" s="32">
        <v>775</v>
      </c>
      <c r="B781" s="32"/>
      <c r="C781" s="32" t="b">
        <f>_xlfn.XLOOKUP(Table610111213[[#This Row],[Category No]],Table8[Category No],Table8[Chapter List],FALSE)</f>
        <v>0</v>
      </c>
      <c r="D781" s="34"/>
      <c r="E781" s="34"/>
      <c r="F781" s="34"/>
    </row>
    <row r="782" spans="1:6" x14ac:dyDescent="0.3">
      <c r="A782" s="32">
        <v>776</v>
      </c>
      <c r="B782" s="32"/>
      <c r="C782" s="32" t="b">
        <f>_xlfn.XLOOKUP(Table610111213[[#This Row],[Category No]],Table8[Category No],Table8[Chapter List],FALSE)</f>
        <v>0</v>
      </c>
      <c r="D782" s="34"/>
      <c r="E782" s="34"/>
      <c r="F782" s="34"/>
    </row>
    <row r="783" spans="1:6" x14ac:dyDescent="0.3">
      <c r="A783" s="32">
        <v>777</v>
      </c>
      <c r="B783" s="32"/>
      <c r="C783" s="32" t="b">
        <f>_xlfn.XLOOKUP(Table610111213[[#This Row],[Category No]],Table8[Category No],Table8[Chapter List],FALSE)</f>
        <v>0</v>
      </c>
      <c r="D783" s="34"/>
      <c r="E783" s="34"/>
      <c r="F783" s="34"/>
    </row>
    <row r="784" spans="1:6" x14ac:dyDescent="0.3">
      <c r="A784" s="32">
        <v>778</v>
      </c>
      <c r="B784" s="32"/>
      <c r="C784" s="32" t="b">
        <f>_xlfn.XLOOKUP(Table610111213[[#This Row],[Category No]],Table8[Category No],Table8[Chapter List],FALSE)</f>
        <v>0</v>
      </c>
      <c r="D784" s="34"/>
      <c r="E784" s="34"/>
      <c r="F784" s="34"/>
    </row>
    <row r="785" spans="1:6" x14ac:dyDescent="0.3">
      <c r="A785" s="32">
        <v>779</v>
      </c>
      <c r="B785" s="32"/>
      <c r="C785" s="32" t="b">
        <f>_xlfn.XLOOKUP(Table610111213[[#This Row],[Category No]],Table8[Category No],Table8[Chapter List],FALSE)</f>
        <v>0</v>
      </c>
      <c r="D785" s="34"/>
      <c r="E785" s="34"/>
      <c r="F785" s="34"/>
    </row>
    <row r="786" spans="1:6" x14ac:dyDescent="0.3">
      <c r="A786" s="32">
        <v>780</v>
      </c>
      <c r="B786" s="32"/>
      <c r="C786" s="32" t="b">
        <f>_xlfn.XLOOKUP(Table610111213[[#This Row],[Category No]],Table8[Category No],Table8[Chapter List],FALSE)</f>
        <v>0</v>
      </c>
      <c r="D786" s="34"/>
      <c r="E786" s="34"/>
      <c r="F786" s="34"/>
    </row>
    <row r="787" spans="1:6" x14ac:dyDescent="0.3">
      <c r="A787" s="32">
        <v>781</v>
      </c>
      <c r="B787" s="32"/>
      <c r="C787" s="32" t="b">
        <f>_xlfn.XLOOKUP(Table610111213[[#This Row],[Category No]],Table8[Category No],Table8[Chapter List],FALSE)</f>
        <v>0</v>
      </c>
      <c r="D787" s="34"/>
      <c r="E787" s="34"/>
      <c r="F787" s="34"/>
    </row>
    <row r="788" spans="1:6" x14ac:dyDescent="0.3">
      <c r="A788" s="32">
        <v>782</v>
      </c>
      <c r="B788" s="32"/>
      <c r="C788" s="32" t="b">
        <f>_xlfn.XLOOKUP(Table610111213[[#This Row],[Category No]],Table8[Category No],Table8[Chapter List],FALSE)</f>
        <v>0</v>
      </c>
      <c r="D788" s="34"/>
      <c r="E788" s="34"/>
      <c r="F788" s="34"/>
    </row>
    <row r="789" spans="1:6" x14ac:dyDescent="0.3">
      <c r="A789" s="32">
        <v>783</v>
      </c>
      <c r="B789" s="32"/>
      <c r="C789" s="32" t="b">
        <f>_xlfn.XLOOKUP(Table610111213[[#This Row],[Category No]],Table8[Category No],Table8[Chapter List],FALSE)</f>
        <v>0</v>
      </c>
      <c r="D789" s="34"/>
      <c r="E789" s="34"/>
      <c r="F789" s="34"/>
    </row>
    <row r="790" spans="1:6" x14ac:dyDescent="0.3">
      <c r="A790" s="32">
        <v>784</v>
      </c>
      <c r="B790" s="32"/>
      <c r="C790" s="32" t="b">
        <f>_xlfn.XLOOKUP(Table610111213[[#This Row],[Category No]],Table8[Category No],Table8[Chapter List],FALSE)</f>
        <v>0</v>
      </c>
      <c r="D790" s="34"/>
      <c r="E790" s="34"/>
      <c r="F790" s="34"/>
    </row>
    <row r="791" spans="1:6" x14ac:dyDescent="0.3">
      <c r="A791" s="32">
        <v>785</v>
      </c>
      <c r="B791" s="32"/>
      <c r="C791" s="32" t="b">
        <f>_xlfn.XLOOKUP(Table610111213[[#This Row],[Category No]],Table8[Category No],Table8[Chapter List],FALSE)</f>
        <v>0</v>
      </c>
      <c r="D791" s="34"/>
      <c r="E791" s="34"/>
      <c r="F791" s="34"/>
    </row>
    <row r="792" spans="1:6" x14ac:dyDescent="0.3">
      <c r="A792" s="32">
        <v>786</v>
      </c>
      <c r="B792" s="32"/>
      <c r="C792" s="32" t="b">
        <f>_xlfn.XLOOKUP(Table610111213[[#This Row],[Category No]],Table8[Category No],Table8[Chapter List],FALSE)</f>
        <v>0</v>
      </c>
      <c r="D792" s="34"/>
      <c r="E792" s="34"/>
      <c r="F792" s="34"/>
    </row>
    <row r="793" spans="1:6" x14ac:dyDescent="0.3">
      <c r="A793" s="32">
        <v>787</v>
      </c>
      <c r="B793" s="32"/>
      <c r="C793" s="32" t="b">
        <f>_xlfn.XLOOKUP(Table610111213[[#This Row],[Category No]],Table8[Category No],Table8[Chapter List],FALSE)</f>
        <v>0</v>
      </c>
      <c r="D793" s="34"/>
      <c r="E793" s="34"/>
      <c r="F793" s="34"/>
    </row>
    <row r="794" spans="1:6" x14ac:dyDescent="0.3">
      <c r="A794" s="32">
        <v>788</v>
      </c>
      <c r="B794" s="32"/>
      <c r="C794" s="32" t="b">
        <f>_xlfn.XLOOKUP(Table610111213[[#This Row],[Category No]],Table8[Category No],Table8[Chapter List],FALSE)</f>
        <v>0</v>
      </c>
      <c r="D794" s="34"/>
      <c r="E794" s="34"/>
      <c r="F794" s="34"/>
    </row>
    <row r="795" spans="1:6" x14ac:dyDescent="0.3">
      <c r="A795" s="32">
        <v>789</v>
      </c>
      <c r="B795" s="32"/>
      <c r="C795" s="32" t="b">
        <f>_xlfn.XLOOKUP(Table610111213[[#This Row],[Category No]],Table8[Category No],Table8[Chapter List],FALSE)</f>
        <v>0</v>
      </c>
      <c r="D795" s="34"/>
      <c r="E795" s="34"/>
      <c r="F795" s="34"/>
    </row>
    <row r="796" spans="1:6" x14ac:dyDescent="0.3">
      <c r="A796" s="32">
        <v>790</v>
      </c>
      <c r="B796" s="32"/>
      <c r="C796" s="32" t="b">
        <f>_xlfn.XLOOKUP(Table610111213[[#This Row],[Category No]],Table8[Category No],Table8[Chapter List],FALSE)</f>
        <v>0</v>
      </c>
      <c r="D796" s="34"/>
      <c r="E796" s="34"/>
      <c r="F796" s="34"/>
    </row>
    <row r="797" spans="1:6" x14ac:dyDescent="0.3">
      <c r="A797" s="32">
        <v>791</v>
      </c>
      <c r="B797" s="32"/>
      <c r="C797" s="32" t="b">
        <f>_xlfn.XLOOKUP(Table610111213[[#This Row],[Category No]],Table8[Category No],Table8[Chapter List],FALSE)</f>
        <v>0</v>
      </c>
      <c r="D797" s="34"/>
      <c r="E797" s="34"/>
      <c r="F797" s="34"/>
    </row>
    <row r="798" spans="1:6" x14ac:dyDescent="0.3">
      <c r="A798" s="32">
        <v>792</v>
      </c>
      <c r="B798" s="32"/>
      <c r="C798" s="32" t="b">
        <f>_xlfn.XLOOKUP(Table610111213[[#This Row],[Category No]],Table8[Category No],Table8[Chapter List],FALSE)</f>
        <v>0</v>
      </c>
      <c r="D798" s="34"/>
      <c r="E798" s="34"/>
      <c r="F798" s="34"/>
    </row>
    <row r="799" spans="1:6" x14ac:dyDescent="0.3">
      <c r="A799" s="32">
        <v>793</v>
      </c>
      <c r="B799" s="32"/>
      <c r="C799" s="32" t="b">
        <f>_xlfn.XLOOKUP(Table610111213[[#This Row],[Category No]],Table8[Category No],Table8[Chapter List],FALSE)</f>
        <v>0</v>
      </c>
      <c r="D799" s="34"/>
      <c r="E799" s="34"/>
      <c r="F799" s="34"/>
    </row>
    <row r="800" spans="1:6" x14ac:dyDescent="0.3">
      <c r="A800" s="32">
        <v>794</v>
      </c>
      <c r="B800" s="32"/>
      <c r="C800" s="32" t="b">
        <f>_xlfn.XLOOKUP(Table610111213[[#This Row],[Category No]],Table8[Category No],Table8[Chapter List],FALSE)</f>
        <v>0</v>
      </c>
      <c r="D800" s="34"/>
      <c r="E800" s="34"/>
      <c r="F800" s="34"/>
    </row>
    <row r="801" spans="1:6" x14ac:dyDescent="0.3">
      <c r="A801" s="32">
        <v>795</v>
      </c>
      <c r="B801" s="32"/>
      <c r="C801" s="32" t="b">
        <f>_xlfn.XLOOKUP(Table610111213[[#This Row],[Category No]],Table8[Category No],Table8[Chapter List],FALSE)</f>
        <v>0</v>
      </c>
      <c r="D801" s="34"/>
      <c r="E801" s="34"/>
      <c r="F801" s="34"/>
    </row>
    <row r="802" spans="1:6" x14ac:dyDescent="0.3">
      <c r="A802" s="32">
        <v>796</v>
      </c>
      <c r="B802" s="32"/>
      <c r="C802" s="32" t="b">
        <f>_xlfn.XLOOKUP(Table610111213[[#This Row],[Category No]],Table8[Category No],Table8[Chapter List],FALSE)</f>
        <v>0</v>
      </c>
      <c r="D802" s="34"/>
      <c r="E802" s="34"/>
      <c r="F802" s="34"/>
    </row>
    <row r="803" spans="1:6" x14ac:dyDescent="0.3">
      <c r="A803" s="32">
        <v>797</v>
      </c>
      <c r="B803" s="32"/>
      <c r="C803" s="32" t="b">
        <f>_xlfn.XLOOKUP(Table610111213[[#This Row],[Category No]],Table8[Category No],Table8[Chapter List],FALSE)</f>
        <v>0</v>
      </c>
      <c r="D803" s="34"/>
      <c r="E803" s="34"/>
      <c r="F803" s="34"/>
    </row>
    <row r="804" spans="1:6" x14ac:dyDescent="0.3">
      <c r="A804" s="32">
        <v>798</v>
      </c>
      <c r="B804" s="32"/>
      <c r="C804" s="32" t="b">
        <f>_xlfn.XLOOKUP(Table610111213[[#This Row],[Category No]],Table8[Category No],Table8[Chapter List],FALSE)</f>
        <v>0</v>
      </c>
      <c r="D804" s="34"/>
      <c r="E804" s="34"/>
      <c r="F804" s="34"/>
    </row>
    <row r="805" spans="1:6" x14ac:dyDescent="0.3">
      <c r="A805" s="32">
        <v>799</v>
      </c>
      <c r="B805" s="32"/>
      <c r="C805" s="32" t="b">
        <f>_xlfn.XLOOKUP(Table610111213[[#This Row],[Category No]],Table8[Category No],Table8[Chapter List],FALSE)</f>
        <v>0</v>
      </c>
      <c r="D805" s="34"/>
      <c r="E805" s="34"/>
      <c r="F805" s="34"/>
    </row>
    <row r="806" spans="1:6" x14ac:dyDescent="0.3">
      <c r="A806" s="32">
        <v>800</v>
      </c>
      <c r="B806" s="32"/>
      <c r="C806" s="32" t="b">
        <f>_xlfn.XLOOKUP(Table610111213[[#This Row],[Category No]],Table8[Category No],Table8[Chapter List],FALSE)</f>
        <v>0</v>
      </c>
      <c r="D806" s="34"/>
      <c r="E806" s="34"/>
      <c r="F806" s="34"/>
    </row>
    <row r="807" spans="1:6" x14ac:dyDescent="0.3">
      <c r="A807" s="32">
        <v>801</v>
      </c>
      <c r="B807" s="32"/>
      <c r="C807" s="32" t="b">
        <f>_xlfn.XLOOKUP(Table610111213[[#This Row],[Category No]],Table8[Category No],Table8[Chapter List],FALSE)</f>
        <v>0</v>
      </c>
      <c r="D807" s="34"/>
      <c r="E807" s="34"/>
      <c r="F807" s="34"/>
    </row>
    <row r="808" spans="1:6" x14ac:dyDescent="0.3">
      <c r="A808" s="32">
        <v>802</v>
      </c>
      <c r="B808" s="32"/>
      <c r="C808" s="32" t="b">
        <f>_xlfn.XLOOKUP(Table610111213[[#This Row],[Category No]],Table8[Category No],Table8[Chapter List],FALSE)</f>
        <v>0</v>
      </c>
      <c r="D808" s="34"/>
      <c r="E808" s="34"/>
      <c r="F808" s="34"/>
    </row>
    <row r="809" spans="1:6" x14ac:dyDescent="0.3">
      <c r="A809" s="32">
        <v>803</v>
      </c>
      <c r="B809" s="32"/>
      <c r="C809" s="32" t="b">
        <f>_xlfn.XLOOKUP(Table610111213[[#This Row],[Category No]],Table8[Category No],Table8[Chapter List],FALSE)</f>
        <v>0</v>
      </c>
      <c r="D809" s="34"/>
      <c r="E809" s="34"/>
      <c r="F809" s="34"/>
    </row>
    <row r="810" spans="1:6" x14ac:dyDescent="0.3">
      <c r="A810" s="32">
        <v>804</v>
      </c>
      <c r="B810" s="32"/>
      <c r="C810" s="32" t="b">
        <f>_xlfn.XLOOKUP(Table610111213[[#This Row],[Category No]],Table8[Category No],Table8[Chapter List],FALSE)</f>
        <v>0</v>
      </c>
      <c r="D810" s="34"/>
      <c r="E810" s="34"/>
      <c r="F810" s="34"/>
    </row>
    <row r="811" spans="1:6" x14ac:dyDescent="0.3">
      <c r="A811" s="32">
        <v>805</v>
      </c>
      <c r="B811" s="32"/>
      <c r="C811" s="32" t="b">
        <f>_xlfn.XLOOKUP(Table610111213[[#This Row],[Category No]],Table8[Category No],Table8[Chapter List],FALSE)</f>
        <v>0</v>
      </c>
      <c r="D811" s="34"/>
      <c r="E811" s="34"/>
      <c r="F811" s="34"/>
    </row>
    <row r="812" spans="1:6" x14ac:dyDescent="0.3">
      <c r="A812" s="32">
        <v>806</v>
      </c>
      <c r="B812" s="32"/>
      <c r="C812" s="32" t="b">
        <f>_xlfn.XLOOKUP(Table610111213[[#This Row],[Category No]],Table8[Category No],Table8[Chapter List],FALSE)</f>
        <v>0</v>
      </c>
      <c r="D812" s="34"/>
      <c r="E812" s="34"/>
      <c r="F812" s="34"/>
    </row>
    <row r="813" spans="1:6" x14ac:dyDescent="0.3">
      <c r="A813" s="32">
        <v>807</v>
      </c>
      <c r="B813" s="32"/>
      <c r="C813" s="32" t="b">
        <f>_xlfn.XLOOKUP(Table610111213[[#This Row],[Category No]],Table8[Category No],Table8[Chapter List],FALSE)</f>
        <v>0</v>
      </c>
      <c r="D813" s="34"/>
      <c r="E813" s="34"/>
      <c r="F813" s="34"/>
    </row>
    <row r="814" spans="1:6" x14ac:dyDescent="0.3">
      <c r="A814" s="32">
        <v>808</v>
      </c>
      <c r="B814" s="32"/>
      <c r="C814" s="32" t="b">
        <f>_xlfn.XLOOKUP(Table610111213[[#This Row],[Category No]],Table8[Category No],Table8[Chapter List],FALSE)</f>
        <v>0</v>
      </c>
      <c r="D814" s="34"/>
      <c r="E814" s="34"/>
      <c r="F814" s="34"/>
    </row>
    <row r="815" spans="1:6" x14ac:dyDescent="0.3">
      <c r="A815" s="32">
        <v>809</v>
      </c>
      <c r="B815" s="32"/>
      <c r="C815" s="32" t="b">
        <f>_xlfn.XLOOKUP(Table610111213[[#This Row],[Category No]],Table8[Category No],Table8[Chapter List],FALSE)</f>
        <v>0</v>
      </c>
      <c r="D815" s="34"/>
      <c r="E815" s="34"/>
      <c r="F815" s="34"/>
    </row>
    <row r="816" spans="1:6" x14ac:dyDescent="0.3">
      <c r="A816" s="32">
        <v>810</v>
      </c>
      <c r="B816" s="32"/>
      <c r="C816" s="32" t="b">
        <f>_xlfn.XLOOKUP(Table610111213[[#This Row],[Category No]],Table8[Category No],Table8[Chapter List],FALSE)</f>
        <v>0</v>
      </c>
      <c r="D816" s="34"/>
      <c r="E816" s="34"/>
      <c r="F816" s="34"/>
    </row>
    <row r="817" spans="1:6" x14ac:dyDescent="0.3">
      <c r="A817" s="32">
        <v>811</v>
      </c>
      <c r="B817" s="32"/>
      <c r="C817" s="32" t="b">
        <f>_xlfn.XLOOKUP(Table610111213[[#This Row],[Category No]],Table8[Category No],Table8[Chapter List],FALSE)</f>
        <v>0</v>
      </c>
      <c r="D817" s="34"/>
      <c r="E817" s="34"/>
      <c r="F817" s="34"/>
    </row>
    <row r="818" spans="1:6" x14ac:dyDescent="0.3">
      <c r="A818" s="32">
        <v>812</v>
      </c>
      <c r="B818" s="32"/>
      <c r="C818" s="32" t="b">
        <f>_xlfn.XLOOKUP(Table610111213[[#This Row],[Category No]],Table8[Category No],Table8[Chapter List],FALSE)</f>
        <v>0</v>
      </c>
      <c r="D818" s="34"/>
      <c r="E818" s="34"/>
      <c r="F818" s="34"/>
    </row>
    <row r="819" spans="1:6" x14ac:dyDescent="0.3">
      <c r="A819" s="32">
        <v>813</v>
      </c>
      <c r="B819" s="32"/>
      <c r="C819" s="32" t="b">
        <f>_xlfn.XLOOKUP(Table610111213[[#This Row],[Category No]],Table8[Category No],Table8[Chapter List],FALSE)</f>
        <v>0</v>
      </c>
      <c r="D819" s="34"/>
      <c r="E819" s="34"/>
      <c r="F819" s="34"/>
    </row>
    <row r="820" spans="1:6" x14ac:dyDescent="0.3">
      <c r="A820" s="32">
        <v>814</v>
      </c>
      <c r="B820" s="32"/>
      <c r="C820" s="32" t="b">
        <f>_xlfn.XLOOKUP(Table610111213[[#This Row],[Category No]],Table8[Category No],Table8[Chapter List],FALSE)</f>
        <v>0</v>
      </c>
      <c r="D820" s="34"/>
      <c r="E820" s="34"/>
      <c r="F820" s="34"/>
    </row>
    <row r="821" spans="1:6" x14ac:dyDescent="0.3">
      <c r="A821" s="32">
        <v>815</v>
      </c>
      <c r="B821" s="32"/>
      <c r="C821" s="32" t="b">
        <f>_xlfn.XLOOKUP(Table610111213[[#This Row],[Category No]],Table8[Category No],Table8[Chapter List],FALSE)</f>
        <v>0</v>
      </c>
      <c r="D821" s="34"/>
      <c r="E821" s="34"/>
      <c r="F821" s="34"/>
    </row>
    <row r="822" spans="1:6" x14ac:dyDescent="0.3">
      <c r="A822" s="32">
        <v>816</v>
      </c>
      <c r="B822" s="32"/>
      <c r="C822" s="32" t="b">
        <f>_xlfn.XLOOKUP(Table610111213[[#This Row],[Category No]],Table8[Category No],Table8[Chapter List],FALSE)</f>
        <v>0</v>
      </c>
      <c r="D822" s="34"/>
      <c r="E822" s="34"/>
      <c r="F822" s="34"/>
    </row>
    <row r="823" spans="1:6" x14ac:dyDescent="0.3">
      <c r="A823" s="32">
        <v>817</v>
      </c>
      <c r="B823" s="32"/>
      <c r="C823" s="32" t="b">
        <f>_xlfn.XLOOKUP(Table610111213[[#This Row],[Category No]],Table8[Category No],Table8[Chapter List],FALSE)</f>
        <v>0</v>
      </c>
      <c r="D823" s="34"/>
      <c r="E823" s="34"/>
      <c r="F823" s="34"/>
    </row>
    <row r="824" spans="1:6" x14ac:dyDescent="0.3">
      <c r="A824" s="32">
        <v>818</v>
      </c>
      <c r="B824" s="32"/>
      <c r="C824" s="32" t="b">
        <f>_xlfn.XLOOKUP(Table610111213[[#This Row],[Category No]],Table8[Category No],Table8[Chapter List],FALSE)</f>
        <v>0</v>
      </c>
      <c r="D824" s="34"/>
      <c r="E824" s="34"/>
      <c r="F824" s="34"/>
    </row>
    <row r="825" spans="1:6" x14ac:dyDescent="0.3">
      <c r="A825" s="32">
        <v>819</v>
      </c>
      <c r="B825" s="32"/>
      <c r="C825" s="32" t="b">
        <f>_xlfn.XLOOKUP(Table610111213[[#This Row],[Category No]],Table8[Category No],Table8[Chapter List],FALSE)</f>
        <v>0</v>
      </c>
      <c r="D825" s="34"/>
      <c r="E825" s="34"/>
      <c r="F825" s="34"/>
    </row>
    <row r="826" spans="1:6" x14ac:dyDescent="0.3">
      <c r="A826" s="32">
        <v>820</v>
      </c>
      <c r="B826" s="32"/>
      <c r="C826" s="32" t="b">
        <f>_xlfn.XLOOKUP(Table610111213[[#This Row],[Category No]],Table8[Category No],Table8[Chapter List],FALSE)</f>
        <v>0</v>
      </c>
      <c r="D826" s="34"/>
      <c r="E826" s="34"/>
      <c r="F826" s="34"/>
    </row>
    <row r="827" spans="1:6" x14ac:dyDescent="0.3">
      <c r="A827" s="32">
        <v>821</v>
      </c>
      <c r="B827" s="32"/>
      <c r="C827" s="32" t="b">
        <f>_xlfn.XLOOKUP(Table610111213[[#This Row],[Category No]],Table8[Category No],Table8[Chapter List],FALSE)</f>
        <v>0</v>
      </c>
      <c r="D827" s="34"/>
      <c r="E827" s="34"/>
      <c r="F827" s="34"/>
    </row>
    <row r="828" spans="1:6" x14ac:dyDescent="0.3">
      <c r="A828" s="32">
        <v>822</v>
      </c>
      <c r="B828" s="32"/>
      <c r="C828" s="32" t="b">
        <f>_xlfn.XLOOKUP(Table610111213[[#This Row],[Category No]],Table8[Category No],Table8[Chapter List],FALSE)</f>
        <v>0</v>
      </c>
      <c r="D828" s="34"/>
      <c r="E828" s="34"/>
      <c r="F828" s="34"/>
    </row>
    <row r="829" spans="1:6" x14ac:dyDescent="0.3">
      <c r="A829" s="32">
        <v>823</v>
      </c>
      <c r="B829" s="32"/>
      <c r="C829" s="32" t="b">
        <f>_xlfn.XLOOKUP(Table610111213[[#This Row],[Category No]],Table8[Category No],Table8[Chapter List],FALSE)</f>
        <v>0</v>
      </c>
      <c r="D829" s="34"/>
      <c r="E829" s="34"/>
      <c r="F829" s="34"/>
    </row>
    <row r="830" spans="1:6" x14ac:dyDescent="0.3">
      <c r="A830" s="32">
        <v>824</v>
      </c>
      <c r="B830" s="32"/>
      <c r="C830" s="32" t="b">
        <f>_xlfn.XLOOKUP(Table610111213[[#This Row],[Category No]],Table8[Category No],Table8[Chapter List],FALSE)</f>
        <v>0</v>
      </c>
      <c r="D830" s="34"/>
      <c r="E830" s="34"/>
      <c r="F830" s="34"/>
    </row>
    <row r="831" spans="1:6" x14ac:dyDescent="0.3">
      <c r="A831" s="32">
        <v>825</v>
      </c>
      <c r="B831" s="32"/>
      <c r="C831" s="32" t="b">
        <f>_xlfn.XLOOKUP(Table610111213[[#This Row],[Category No]],Table8[Category No],Table8[Chapter List],FALSE)</f>
        <v>0</v>
      </c>
      <c r="D831" s="34"/>
      <c r="E831" s="34"/>
      <c r="F831" s="34"/>
    </row>
    <row r="832" spans="1:6" x14ac:dyDescent="0.3">
      <c r="A832" s="32">
        <v>826</v>
      </c>
      <c r="B832" s="32"/>
      <c r="C832" s="32" t="b">
        <f>_xlfn.XLOOKUP(Table610111213[[#This Row],[Category No]],Table8[Category No],Table8[Chapter List],FALSE)</f>
        <v>0</v>
      </c>
      <c r="D832" s="34"/>
      <c r="E832" s="34"/>
      <c r="F832" s="34"/>
    </row>
    <row r="833" spans="1:6" x14ac:dyDescent="0.3">
      <c r="A833" s="32">
        <v>827</v>
      </c>
      <c r="B833" s="32"/>
      <c r="C833" s="32" t="b">
        <f>_xlfn.XLOOKUP(Table610111213[[#This Row],[Category No]],Table8[Category No],Table8[Chapter List],FALSE)</f>
        <v>0</v>
      </c>
      <c r="D833" s="34"/>
      <c r="E833" s="34"/>
      <c r="F833" s="34"/>
    </row>
    <row r="834" spans="1:6" x14ac:dyDescent="0.3">
      <c r="A834" s="32">
        <v>828</v>
      </c>
      <c r="B834" s="32"/>
      <c r="C834" s="32" t="b">
        <f>_xlfn.XLOOKUP(Table610111213[[#This Row],[Category No]],Table8[Category No],Table8[Chapter List],FALSE)</f>
        <v>0</v>
      </c>
      <c r="D834" s="34"/>
      <c r="E834" s="34"/>
      <c r="F834" s="34"/>
    </row>
    <row r="835" spans="1:6" x14ac:dyDescent="0.3">
      <c r="A835" s="32">
        <v>829</v>
      </c>
      <c r="B835" s="32"/>
      <c r="C835" s="32" t="b">
        <f>_xlfn.XLOOKUP(Table610111213[[#This Row],[Category No]],Table8[Category No],Table8[Chapter List],FALSE)</f>
        <v>0</v>
      </c>
      <c r="D835" s="34"/>
      <c r="E835" s="34"/>
      <c r="F835" s="34"/>
    </row>
    <row r="836" spans="1:6" x14ac:dyDescent="0.3">
      <c r="A836" s="32">
        <v>830</v>
      </c>
      <c r="B836" s="32"/>
      <c r="C836" s="32" t="b">
        <f>_xlfn.XLOOKUP(Table610111213[[#This Row],[Category No]],Table8[Category No],Table8[Chapter List],FALSE)</f>
        <v>0</v>
      </c>
      <c r="D836" s="34"/>
      <c r="E836" s="34"/>
      <c r="F836" s="34"/>
    </row>
    <row r="837" spans="1:6" x14ac:dyDescent="0.3">
      <c r="A837" s="32">
        <v>831</v>
      </c>
      <c r="B837" s="32"/>
      <c r="C837" s="32" t="b">
        <f>_xlfn.XLOOKUP(Table610111213[[#This Row],[Category No]],Table8[Category No],Table8[Chapter List],FALSE)</f>
        <v>0</v>
      </c>
      <c r="D837" s="34"/>
      <c r="E837" s="34"/>
      <c r="F837" s="34"/>
    </row>
    <row r="838" spans="1:6" x14ac:dyDescent="0.3">
      <c r="A838" s="32">
        <v>832</v>
      </c>
      <c r="B838" s="32"/>
      <c r="C838" s="32" t="b">
        <f>_xlfn.XLOOKUP(Table610111213[[#This Row],[Category No]],Table8[Category No],Table8[Chapter List],FALSE)</f>
        <v>0</v>
      </c>
      <c r="D838" s="34"/>
      <c r="E838" s="34"/>
      <c r="F838" s="34"/>
    </row>
    <row r="839" spans="1:6" x14ac:dyDescent="0.3">
      <c r="A839" s="32">
        <v>833</v>
      </c>
      <c r="B839" s="32"/>
      <c r="C839" s="32" t="b">
        <f>_xlfn.XLOOKUP(Table610111213[[#This Row],[Category No]],Table8[Category No],Table8[Chapter List],FALSE)</f>
        <v>0</v>
      </c>
      <c r="D839" s="34"/>
      <c r="E839" s="34"/>
      <c r="F839" s="34"/>
    </row>
    <row r="840" spans="1:6" x14ac:dyDescent="0.3">
      <c r="A840" s="32">
        <v>834</v>
      </c>
      <c r="B840" s="32"/>
      <c r="C840" s="32" t="b">
        <f>_xlfn.XLOOKUP(Table610111213[[#This Row],[Category No]],Table8[Category No],Table8[Chapter List],FALSE)</f>
        <v>0</v>
      </c>
      <c r="D840" s="34"/>
      <c r="E840" s="34"/>
      <c r="F840" s="34"/>
    </row>
    <row r="841" spans="1:6" x14ac:dyDescent="0.3">
      <c r="A841" s="32">
        <v>835</v>
      </c>
      <c r="B841" s="32"/>
      <c r="C841" s="32" t="b">
        <f>_xlfn.XLOOKUP(Table610111213[[#This Row],[Category No]],Table8[Category No],Table8[Chapter List],FALSE)</f>
        <v>0</v>
      </c>
      <c r="D841" s="34"/>
      <c r="E841" s="34"/>
      <c r="F841" s="34"/>
    </row>
    <row r="842" spans="1:6" x14ac:dyDescent="0.3">
      <c r="A842" s="32">
        <v>836</v>
      </c>
      <c r="B842" s="32"/>
      <c r="C842" s="32" t="b">
        <f>_xlfn.XLOOKUP(Table610111213[[#This Row],[Category No]],Table8[Category No],Table8[Chapter List],FALSE)</f>
        <v>0</v>
      </c>
      <c r="D842" s="34"/>
      <c r="E842" s="34"/>
      <c r="F842" s="34"/>
    </row>
    <row r="843" spans="1:6" x14ac:dyDescent="0.3">
      <c r="A843" s="32">
        <v>837</v>
      </c>
      <c r="B843" s="32"/>
      <c r="C843" s="32" t="b">
        <f>_xlfn.XLOOKUP(Table610111213[[#This Row],[Category No]],Table8[Category No],Table8[Chapter List],FALSE)</f>
        <v>0</v>
      </c>
      <c r="D843" s="34"/>
      <c r="E843" s="34"/>
      <c r="F843" s="34"/>
    </row>
    <row r="844" spans="1:6" x14ac:dyDescent="0.3">
      <c r="A844" s="32">
        <v>838</v>
      </c>
      <c r="B844" s="32"/>
      <c r="C844" s="32" t="b">
        <f>_xlfn.XLOOKUP(Table610111213[[#This Row],[Category No]],Table8[Category No],Table8[Chapter List],FALSE)</f>
        <v>0</v>
      </c>
      <c r="D844" s="34"/>
      <c r="E844" s="34"/>
      <c r="F844" s="34"/>
    </row>
    <row r="845" spans="1:6" x14ac:dyDescent="0.3">
      <c r="A845" s="32">
        <v>839</v>
      </c>
      <c r="B845" s="32"/>
      <c r="C845" s="32" t="b">
        <f>_xlfn.XLOOKUP(Table610111213[[#This Row],[Category No]],Table8[Category No],Table8[Chapter List],FALSE)</f>
        <v>0</v>
      </c>
      <c r="D845" s="34"/>
      <c r="E845" s="34"/>
      <c r="F845" s="34"/>
    </row>
    <row r="846" spans="1:6" x14ac:dyDescent="0.3">
      <c r="A846" s="32">
        <v>840</v>
      </c>
      <c r="B846" s="32"/>
      <c r="C846" s="32" t="b">
        <f>_xlfn.XLOOKUP(Table610111213[[#This Row],[Category No]],Table8[Category No],Table8[Chapter List],FALSE)</f>
        <v>0</v>
      </c>
      <c r="D846" s="34"/>
      <c r="E846" s="34"/>
      <c r="F846" s="34"/>
    </row>
    <row r="847" spans="1:6" x14ac:dyDescent="0.3">
      <c r="A847" s="32">
        <v>841</v>
      </c>
      <c r="B847" s="32"/>
      <c r="C847" s="32" t="b">
        <f>_xlfn.XLOOKUP(Table610111213[[#This Row],[Category No]],Table8[Category No],Table8[Chapter List],FALSE)</f>
        <v>0</v>
      </c>
      <c r="D847" s="34"/>
      <c r="E847" s="34"/>
      <c r="F847" s="34"/>
    </row>
    <row r="848" spans="1:6" x14ac:dyDescent="0.3">
      <c r="A848" s="32">
        <v>842</v>
      </c>
      <c r="B848" s="32"/>
      <c r="C848" s="32" t="b">
        <f>_xlfn.XLOOKUP(Table610111213[[#This Row],[Category No]],Table8[Category No],Table8[Chapter List],FALSE)</f>
        <v>0</v>
      </c>
      <c r="D848" s="34"/>
      <c r="E848" s="34"/>
      <c r="F848" s="34"/>
    </row>
    <row r="849" spans="1:6" x14ac:dyDescent="0.3">
      <c r="A849" s="32">
        <v>843</v>
      </c>
      <c r="B849" s="32"/>
      <c r="C849" s="32" t="b">
        <f>_xlfn.XLOOKUP(Table610111213[[#This Row],[Category No]],Table8[Category No],Table8[Chapter List],FALSE)</f>
        <v>0</v>
      </c>
      <c r="D849" s="34"/>
      <c r="E849" s="34"/>
      <c r="F849" s="34"/>
    </row>
    <row r="850" spans="1:6" x14ac:dyDescent="0.3">
      <c r="A850" s="32">
        <v>844</v>
      </c>
      <c r="B850" s="32"/>
      <c r="C850" s="32" t="b">
        <f>_xlfn.XLOOKUP(Table610111213[[#This Row],[Category No]],Table8[Category No],Table8[Chapter List],FALSE)</f>
        <v>0</v>
      </c>
      <c r="D850" s="34"/>
      <c r="E850" s="34"/>
      <c r="F850" s="34"/>
    </row>
    <row r="851" spans="1:6" x14ac:dyDescent="0.3">
      <c r="A851" s="32">
        <v>845</v>
      </c>
      <c r="B851" s="32"/>
      <c r="C851" s="32" t="b">
        <f>_xlfn.XLOOKUP(Table610111213[[#This Row],[Category No]],Table8[Category No],Table8[Chapter List],FALSE)</f>
        <v>0</v>
      </c>
      <c r="D851" s="34"/>
      <c r="E851" s="34"/>
      <c r="F851" s="34"/>
    </row>
    <row r="852" spans="1:6" x14ac:dyDescent="0.3">
      <c r="A852" s="32">
        <v>846</v>
      </c>
      <c r="B852" s="32"/>
      <c r="C852" s="32" t="b">
        <f>_xlfn.XLOOKUP(Table610111213[[#This Row],[Category No]],Table8[Category No],Table8[Chapter List],FALSE)</f>
        <v>0</v>
      </c>
      <c r="D852" s="34"/>
      <c r="E852" s="34"/>
      <c r="F852" s="34"/>
    </row>
    <row r="853" spans="1:6" x14ac:dyDescent="0.3">
      <c r="A853" s="32">
        <v>847</v>
      </c>
      <c r="B853" s="32"/>
      <c r="C853" s="32" t="b">
        <f>_xlfn.XLOOKUP(Table610111213[[#This Row],[Category No]],Table8[Category No],Table8[Chapter List],FALSE)</f>
        <v>0</v>
      </c>
      <c r="D853" s="34"/>
      <c r="E853" s="34"/>
      <c r="F853" s="34"/>
    </row>
    <row r="854" spans="1:6" x14ac:dyDescent="0.3">
      <c r="A854" s="32">
        <v>848</v>
      </c>
      <c r="B854" s="32"/>
      <c r="C854" s="32" t="b">
        <f>_xlfn.XLOOKUP(Table610111213[[#This Row],[Category No]],Table8[Category No],Table8[Chapter List],FALSE)</f>
        <v>0</v>
      </c>
      <c r="D854" s="34"/>
      <c r="E854" s="34"/>
      <c r="F854" s="34"/>
    </row>
    <row r="855" spans="1:6" x14ac:dyDescent="0.3">
      <c r="A855" s="32">
        <v>849</v>
      </c>
      <c r="B855" s="32"/>
      <c r="C855" s="32" t="b">
        <f>_xlfn.XLOOKUP(Table610111213[[#This Row],[Category No]],Table8[Category No],Table8[Chapter List],FALSE)</f>
        <v>0</v>
      </c>
      <c r="D855" s="34"/>
      <c r="E855" s="34"/>
      <c r="F855" s="34"/>
    </row>
    <row r="856" spans="1:6" x14ac:dyDescent="0.3">
      <c r="A856" s="32">
        <v>850</v>
      </c>
      <c r="B856" s="32"/>
      <c r="C856" s="32" t="b">
        <f>_xlfn.XLOOKUP(Table610111213[[#This Row],[Category No]],Table8[Category No],Table8[Chapter List],FALSE)</f>
        <v>0</v>
      </c>
      <c r="D856" s="34"/>
      <c r="E856" s="34"/>
      <c r="F856" s="34"/>
    </row>
    <row r="857" spans="1:6" x14ac:dyDescent="0.3">
      <c r="A857" s="32">
        <v>851</v>
      </c>
      <c r="B857" s="32"/>
      <c r="C857" s="32" t="b">
        <f>_xlfn.XLOOKUP(Table610111213[[#This Row],[Category No]],Table8[Category No],Table8[Chapter List],FALSE)</f>
        <v>0</v>
      </c>
      <c r="D857" s="34"/>
      <c r="E857" s="34"/>
      <c r="F857" s="34"/>
    </row>
    <row r="858" spans="1:6" x14ac:dyDescent="0.3">
      <c r="A858" s="32">
        <v>852</v>
      </c>
      <c r="B858" s="32"/>
      <c r="C858" s="32" t="b">
        <f>_xlfn.XLOOKUP(Table610111213[[#This Row],[Category No]],Table8[Category No],Table8[Chapter List],FALSE)</f>
        <v>0</v>
      </c>
      <c r="D858" s="34"/>
      <c r="E858" s="34"/>
      <c r="F858" s="34"/>
    </row>
    <row r="859" spans="1:6" x14ac:dyDescent="0.3">
      <c r="A859" s="32">
        <v>853</v>
      </c>
      <c r="B859" s="32"/>
      <c r="C859" s="32" t="b">
        <f>_xlfn.XLOOKUP(Table610111213[[#This Row],[Category No]],Table8[Category No],Table8[Chapter List],FALSE)</f>
        <v>0</v>
      </c>
      <c r="D859" s="34"/>
      <c r="E859" s="34"/>
      <c r="F859" s="34"/>
    </row>
    <row r="860" spans="1:6" x14ac:dyDescent="0.3">
      <c r="A860" s="32">
        <v>854</v>
      </c>
      <c r="B860" s="32"/>
      <c r="C860" s="32" t="b">
        <f>_xlfn.XLOOKUP(Table610111213[[#This Row],[Category No]],Table8[Category No],Table8[Chapter List],FALSE)</f>
        <v>0</v>
      </c>
      <c r="D860" s="34"/>
      <c r="E860" s="34"/>
      <c r="F860" s="34"/>
    </row>
    <row r="861" spans="1:6" x14ac:dyDescent="0.3">
      <c r="A861" s="32">
        <v>855</v>
      </c>
      <c r="B861" s="32"/>
      <c r="C861" s="32" t="b">
        <f>_xlfn.XLOOKUP(Table610111213[[#This Row],[Category No]],Table8[Category No],Table8[Chapter List],FALSE)</f>
        <v>0</v>
      </c>
      <c r="D861" s="34"/>
      <c r="E861" s="34"/>
      <c r="F861" s="34"/>
    </row>
    <row r="862" spans="1:6" x14ac:dyDescent="0.3">
      <c r="A862" s="32">
        <v>856</v>
      </c>
      <c r="B862" s="32"/>
      <c r="C862" s="32" t="b">
        <f>_xlfn.XLOOKUP(Table610111213[[#This Row],[Category No]],Table8[Category No],Table8[Chapter List],FALSE)</f>
        <v>0</v>
      </c>
      <c r="D862" s="34"/>
      <c r="E862" s="34"/>
      <c r="F862" s="34"/>
    </row>
    <row r="863" spans="1:6" x14ac:dyDescent="0.3">
      <c r="A863" s="32">
        <v>857</v>
      </c>
      <c r="B863" s="32"/>
      <c r="C863" s="32" t="b">
        <f>_xlfn.XLOOKUP(Table610111213[[#This Row],[Category No]],Table8[Category No],Table8[Chapter List],FALSE)</f>
        <v>0</v>
      </c>
      <c r="D863" s="34"/>
      <c r="E863" s="34"/>
      <c r="F863" s="34"/>
    </row>
    <row r="864" spans="1:6" x14ac:dyDescent="0.3">
      <c r="A864" s="32">
        <v>858</v>
      </c>
      <c r="B864" s="32"/>
      <c r="C864" s="32" t="b">
        <f>_xlfn.XLOOKUP(Table610111213[[#This Row],[Category No]],Table8[Category No],Table8[Chapter List],FALSE)</f>
        <v>0</v>
      </c>
      <c r="D864" s="34"/>
      <c r="E864" s="34"/>
      <c r="F864" s="34"/>
    </row>
    <row r="865" spans="1:6" x14ac:dyDescent="0.3">
      <c r="A865" s="32">
        <v>859</v>
      </c>
      <c r="B865" s="32"/>
      <c r="C865" s="32" t="b">
        <f>_xlfn.XLOOKUP(Table610111213[[#This Row],[Category No]],Table8[Category No],Table8[Chapter List],FALSE)</f>
        <v>0</v>
      </c>
      <c r="D865" s="34"/>
      <c r="E865" s="34"/>
      <c r="F865" s="34"/>
    </row>
    <row r="866" spans="1:6" x14ac:dyDescent="0.3">
      <c r="A866" s="32">
        <v>860</v>
      </c>
      <c r="B866" s="32"/>
      <c r="C866" s="32" t="b">
        <f>_xlfn.XLOOKUP(Table610111213[[#This Row],[Category No]],Table8[Category No],Table8[Chapter List],FALSE)</f>
        <v>0</v>
      </c>
      <c r="D866" s="34"/>
      <c r="E866" s="34"/>
      <c r="F866" s="34"/>
    </row>
    <row r="867" spans="1:6" x14ac:dyDescent="0.3">
      <c r="A867" s="32">
        <v>861</v>
      </c>
      <c r="B867" s="32"/>
      <c r="C867" s="32" t="b">
        <f>_xlfn.XLOOKUP(Table610111213[[#This Row],[Category No]],Table8[Category No],Table8[Chapter List],FALSE)</f>
        <v>0</v>
      </c>
      <c r="D867" s="34"/>
      <c r="E867" s="34"/>
      <c r="F867" s="34"/>
    </row>
    <row r="868" spans="1:6" x14ac:dyDescent="0.3">
      <c r="A868" s="32">
        <v>862</v>
      </c>
      <c r="B868" s="32"/>
      <c r="C868" s="32" t="b">
        <f>_xlfn.XLOOKUP(Table610111213[[#This Row],[Category No]],Table8[Category No],Table8[Chapter List],FALSE)</f>
        <v>0</v>
      </c>
      <c r="D868" s="34"/>
      <c r="E868" s="34"/>
      <c r="F868" s="34"/>
    </row>
    <row r="869" spans="1:6" x14ac:dyDescent="0.3">
      <c r="A869" s="32">
        <v>863</v>
      </c>
      <c r="B869" s="32"/>
      <c r="C869" s="32" t="b">
        <f>_xlfn.XLOOKUP(Table610111213[[#This Row],[Category No]],Table8[Category No],Table8[Chapter List],FALSE)</f>
        <v>0</v>
      </c>
      <c r="D869" s="34"/>
      <c r="E869" s="34"/>
      <c r="F869" s="34"/>
    </row>
    <row r="870" spans="1:6" x14ac:dyDescent="0.3">
      <c r="A870" s="32">
        <v>864</v>
      </c>
      <c r="B870" s="32"/>
      <c r="C870" s="32" t="b">
        <f>_xlfn.XLOOKUP(Table610111213[[#This Row],[Category No]],Table8[Category No],Table8[Chapter List],FALSE)</f>
        <v>0</v>
      </c>
      <c r="D870" s="34"/>
      <c r="E870" s="34"/>
      <c r="F870" s="34"/>
    </row>
    <row r="871" spans="1:6" x14ac:dyDescent="0.3">
      <c r="A871" s="32">
        <v>865</v>
      </c>
      <c r="B871" s="32"/>
      <c r="C871" s="32" t="b">
        <f>_xlfn.XLOOKUP(Table610111213[[#This Row],[Category No]],Table8[Category No],Table8[Chapter List],FALSE)</f>
        <v>0</v>
      </c>
      <c r="D871" s="34"/>
      <c r="E871" s="34"/>
      <c r="F871" s="34"/>
    </row>
    <row r="872" spans="1:6" x14ac:dyDescent="0.3">
      <c r="A872" s="32">
        <v>866</v>
      </c>
      <c r="B872" s="32"/>
      <c r="C872" s="32" t="b">
        <f>_xlfn.XLOOKUP(Table610111213[[#This Row],[Category No]],Table8[Category No],Table8[Chapter List],FALSE)</f>
        <v>0</v>
      </c>
      <c r="D872" s="34"/>
      <c r="E872" s="34"/>
      <c r="F872" s="34"/>
    </row>
    <row r="873" spans="1:6" x14ac:dyDescent="0.3">
      <c r="A873" s="32">
        <v>867</v>
      </c>
      <c r="B873" s="32"/>
      <c r="C873" s="32" t="b">
        <f>_xlfn.XLOOKUP(Table610111213[[#This Row],[Category No]],Table8[Category No],Table8[Chapter List],FALSE)</f>
        <v>0</v>
      </c>
      <c r="D873" s="34"/>
      <c r="E873" s="34"/>
      <c r="F873" s="34"/>
    </row>
    <row r="874" spans="1:6" x14ac:dyDescent="0.3">
      <c r="A874" s="32">
        <v>868</v>
      </c>
      <c r="B874" s="32"/>
      <c r="C874" s="32" t="b">
        <f>_xlfn.XLOOKUP(Table610111213[[#This Row],[Category No]],Table8[Category No],Table8[Chapter List],FALSE)</f>
        <v>0</v>
      </c>
      <c r="D874" s="34"/>
      <c r="E874" s="34"/>
      <c r="F874" s="34"/>
    </row>
    <row r="875" spans="1:6" x14ac:dyDescent="0.3">
      <c r="A875" s="32">
        <v>869</v>
      </c>
      <c r="B875" s="32"/>
      <c r="C875" s="32" t="b">
        <f>_xlfn.XLOOKUP(Table610111213[[#This Row],[Category No]],Table8[Category No],Table8[Chapter List],FALSE)</f>
        <v>0</v>
      </c>
      <c r="D875" s="34"/>
      <c r="E875" s="34"/>
      <c r="F875" s="34"/>
    </row>
    <row r="876" spans="1:6" x14ac:dyDescent="0.3">
      <c r="A876" s="32">
        <v>870</v>
      </c>
      <c r="B876" s="32"/>
      <c r="C876" s="32" t="b">
        <f>_xlfn.XLOOKUP(Table610111213[[#This Row],[Category No]],Table8[Category No],Table8[Chapter List],FALSE)</f>
        <v>0</v>
      </c>
      <c r="D876" s="34"/>
      <c r="E876" s="34"/>
      <c r="F876" s="34"/>
    </row>
    <row r="877" spans="1:6" x14ac:dyDescent="0.3">
      <c r="A877" s="32">
        <v>871</v>
      </c>
      <c r="B877" s="32"/>
      <c r="C877" s="32" t="b">
        <f>_xlfn.XLOOKUP(Table610111213[[#This Row],[Category No]],Table8[Category No],Table8[Chapter List],FALSE)</f>
        <v>0</v>
      </c>
      <c r="D877" s="34"/>
      <c r="E877" s="34"/>
      <c r="F877" s="34"/>
    </row>
    <row r="878" spans="1:6" x14ac:dyDescent="0.3">
      <c r="A878" s="32">
        <v>872</v>
      </c>
      <c r="B878" s="32"/>
      <c r="C878" s="32" t="b">
        <f>_xlfn.XLOOKUP(Table610111213[[#This Row],[Category No]],Table8[Category No],Table8[Chapter List],FALSE)</f>
        <v>0</v>
      </c>
      <c r="D878" s="34"/>
      <c r="E878" s="34"/>
      <c r="F878" s="34"/>
    </row>
    <row r="879" spans="1:6" x14ac:dyDescent="0.3">
      <c r="A879" s="32">
        <v>873</v>
      </c>
      <c r="B879" s="32"/>
      <c r="C879" s="32" t="b">
        <f>_xlfn.XLOOKUP(Table610111213[[#This Row],[Category No]],Table8[Category No],Table8[Chapter List],FALSE)</f>
        <v>0</v>
      </c>
      <c r="D879" s="34"/>
      <c r="E879" s="34"/>
      <c r="F879" s="34"/>
    </row>
    <row r="880" spans="1:6" x14ac:dyDescent="0.3">
      <c r="A880" s="32">
        <v>874</v>
      </c>
      <c r="B880" s="32"/>
      <c r="C880" s="32" t="b">
        <f>_xlfn.XLOOKUP(Table610111213[[#This Row],[Category No]],Table8[Category No],Table8[Chapter List],FALSE)</f>
        <v>0</v>
      </c>
      <c r="D880" s="34"/>
      <c r="E880" s="34"/>
      <c r="F880" s="34"/>
    </row>
    <row r="881" spans="1:6" x14ac:dyDescent="0.3">
      <c r="A881" s="32">
        <v>875</v>
      </c>
      <c r="B881" s="32"/>
      <c r="C881" s="32" t="b">
        <f>_xlfn.XLOOKUP(Table610111213[[#This Row],[Category No]],Table8[Category No],Table8[Chapter List],FALSE)</f>
        <v>0</v>
      </c>
      <c r="D881" s="34"/>
      <c r="E881" s="34"/>
      <c r="F881" s="34"/>
    </row>
    <row r="882" spans="1:6" x14ac:dyDescent="0.3">
      <c r="A882" s="32">
        <v>876</v>
      </c>
      <c r="B882" s="32"/>
      <c r="C882" s="32" t="b">
        <f>_xlfn.XLOOKUP(Table610111213[[#This Row],[Category No]],Table8[Category No],Table8[Chapter List],FALSE)</f>
        <v>0</v>
      </c>
      <c r="D882" s="34"/>
      <c r="E882" s="34"/>
      <c r="F882" s="34"/>
    </row>
    <row r="883" spans="1:6" x14ac:dyDescent="0.3">
      <c r="A883" s="32">
        <v>877</v>
      </c>
      <c r="B883" s="32"/>
      <c r="C883" s="32" t="b">
        <f>_xlfn.XLOOKUP(Table610111213[[#This Row],[Category No]],Table8[Category No],Table8[Chapter List],FALSE)</f>
        <v>0</v>
      </c>
      <c r="D883" s="34"/>
      <c r="E883" s="34"/>
      <c r="F883" s="34"/>
    </row>
    <row r="884" spans="1:6" x14ac:dyDescent="0.3">
      <c r="A884" s="32">
        <v>878</v>
      </c>
      <c r="B884" s="32"/>
      <c r="C884" s="32" t="b">
        <f>_xlfn.XLOOKUP(Table610111213[[#This Row],[Category No]],Table8[Category No],Table8[Chapter List],FALSE)</f>
        <v>0</v>
      </c>
      <c r="D884" s="34"/>
      <c r="E884" s="34"/>
      <c r="F884" s="34"/>
    </row>
    <row r="885" spans="1:6" x14ac:dyDescent="0.3">
      <c r="A885" s="32">
        <v>879</v>
      </c>
      <c r="B885" s="32"/>
      <c r="C885" s="32" t="b">
        <f>_xlfn.XLOOKUP(Table610111213[[#This Row],[Category No]],Table8[Category No],Table8[Chapter List],FALSE)</f>
        <v>0</v>
      </c>
      <c r="D885" s="34"/>
      <c r="E885" s="34"/>
      <c r="F885" s="34"/>
    </row>
    <row r="886" spans="1:6" x14ac:dyDescent="0.3">
      <c r="A886" s="32">
        <v>880</v>
      </c>
      <c r="B886" s="32"/>
      <c r="C886" s="32" t="b">
        <f>_xlfn.XLOOKUP(Table610111213[[#This Row],[Category No]],Table8[Category No],Table8[Chapter List],FALSE)</f>
        <v>0</v>
      </c>
      <c r="D886" s="34"/>
      <c r="E886" s="34"/>
      <c r="F886" s="34"/>
    </row>
    <row r="887" spans="1:6" x14ac:dyDescent="0.3">
      <c r="A887" s="32">
        <v>881</v>
      </c>
      <c r="B887" s="32"/>
      <c r="C887" s="32" t="b">
        <f>_xlfn.XLOOKUP(Table610111213[[#This Row],[Category No]],Table8[Category No],Table8[Chapter List],FALSE)</f>
        <v>0</v>
      </c>
      <c r="D887" s="34"/>
      <c r="E887" s="34"/>
      <c r="F887" s="34"/>
    </row>
    <row r="888" spans="1:6" x14ac:dyDescent="0.3">
      <c r="A888" s="32">
        <v>882</v>
      </c>
      <c r="B888" s="32"/>
      <c r="C888" s="32" t="b">
        <f>_xlfn.XLOOKUP(Table610111213[[#This Row],[Category No]],Table8[Category No],Table8[Chapter List],FALSE)</f>
        <v>0</v>
      </c>
      <c r="D888" s="34"/>
      <c r="E888" s="34"/>
      <c r="F888" s="34"/>
    </row>
    <row r="889" spans="1:6" x14ac:dyDescent="0.3">
      <c r="A889" s="32">
        <v>883</v>
      </c>
      <c r="B889" s="32"/>
      <c r="C889" s="32" t="b">
        <f>_xlfn.XLOOKUP(Table610111213[[#This Row],[Category No]],Table8[Category No],Table8[Chapter List],FALSE)</f>
        <v>0</v>
      </c>
      <c r="D889" s="34"/>
      <c r="E889" s="34"/>
      <c r="F889" s="34"/>
    </row>
    <row r="890" spans="1:6" x14ac:dyDescent="0.3">
      <c r="A890" s="32">
        <v>884</v>
      </c>
      <c r="B890" s="32"/>
      <c r="C890" s="32" t="b">
        <f>_xlfn.XLOOKUP(Table610111213[[#This Row],[Category No]],Table8[Category No],Table8[Chapter List],FALSE)</f>
        <v>0</v>
      </c>
      <c r="D890" s="34"/>
      <c r="E890" s="34"/>
      <c r="F890" s="34"/>
    </row>
    <row r="891" spans="1:6" x14ac:dyDescent="0.3">
      <c r="A891" s="32">
        <v>885</v>
      </c>
      <c r="B891" s="32"/>
      <c r="C891" s="32" t="b">
        <f>_xlfn.XLOOKUP(Table610111213[[#This Row],[Category No]],Table8[Category No],Table8[Chapter List],FALSE)</f>
        <v>0</v>
      </c>
      <c r="D891" s="34"/>
      <c r="E891" s="34"/>
      <c r="F891" s="34"/>
    </row>
    <row r="892" spans="1:6" x14ac:dyDescent="0.3">
      <c r="A892" s="32">
        <v>886</v>
      </c>
      <c r="B892" s="32"/>
      <c r="C892" s="32" t="b">
        <f>_xlfn.XLOOKUP(Table610111213[[#This Row],[Category No]],Table8[Category No],Table8[Chapter List],FALSE)</f>
        <v>0</v>
      </c>
      <c r="D892" s="34"/>
      <c r="E892" s="34"/>
      <c r="F892" s="34"/>
    </row>
    <row r="893" spans="1:6" x14ac:dyDescent="0.3">
      <c r="A893" s="32">
        <v>887</v>
      </c>
      <c r="B893" s="32"/>
      <c r="C893" s="32" t="b">
        <f>_xlfn.XLOOKUP(Table610111213[[#This Row],[Category No]],Table8[Category No],Table8[Chapter List],FALSE)</f>
        <v>0</v>
      </c>
      <c r="D893" s="34"/>
      <c r="E893" s="34"/>
      <c r="F893" s="34"/>
    </row>
    <row r="894" spans="1:6" x14ac:dyDescent="0.3">
      <c r="A894" s="32">
        <v>888</v>
      </c>
      <c r="B894" s="32"/>
      <c r="C894" s="32" t="b">
        <f>_xlfn.XLOOKUP(Table610111213[[#This Row],[Category No]],Table8[Category No],Table8[Chapter List],FALSE)</f>
        <v>0</v>
      </c>
      <c r="D894" s="34"/>
      <c r="E894" s="34"/>
      <c r="F894" s="34"/>
    </row>
    <row r="895" spans="1:6" x14ac:dyDescent="0.3">
      <c r="A895" s="32">
        <v>889</v>
      </c>
      <c r="B895" s="32"/>
      <c r="C895" s="32" t="b">
        <f>_xlfn.XLOOKUP(Table610111213[[#This Row],[Category No]],Table8[Category No],Table8[Chapter List],FALSE)</f>
        <v>0</v>
      </c>
      <c r="D895" s="34"/>
      <c r="E895" s="34"/>
      <c r="F895" s="34"/>
    </row>
    <row r="896" spans="1:6" x14ac:dyDescent="0.3">
      <c r="A896" s="32">
        <v>890</v>
      </c>
      <c r="B896" s="32"/>
      <c r="C896" s="32" t="b">
        <f>_xlfn.XLOOKUP(Table610111213[[#This Row],[Category No]],Table8[Category No],Table8[Chapter List],FALSE)</f>
        <v>0</v>
      </c>
      <c r="D896" s="34"/>
      <c r="E896" s="34"/>
      <c r="F896" s="34"/>
    </row>
    <row r="897" spans="1:6" x14ac:dyDescent="0.3">
      <c r="A897" s="32">
        <v>891</v>
      </c>
      <c r="B897" s="32"/>
      <c r="C897" s="32" t="b">
        <f>_xlfn.XLOOKUP(Table610111213[[#This Row],[Category No]],Table8[Category No],Table8[Chapter List],FALSE)</f>
        <v>0</v>
      </c>
      <c r="D897" s="34"/>
      <c r="E897" s="34"/>
      <c r="F897" s="34"/>
    </row>
    <row r="898" spans="1:6" x14ac:dyDescent="0.3">
      <c r="A898" s="32">
        <v>892</v>
      </c>
      <c r="B898" s="32"/>
      <c r="C898" s="32" t="b">
        <f>_xlfn.XLOOKUP(Table610111213[[#This Row],[Category No]],Table8[Category No],Table8[Chapter List],FALSE)</f>
        <v>0</v>
      </c>
      <c r="D898" s="34"/>
      <c r="E898" s="34"/>
      <c r="F898" s="34"/>
    </row>
    <row r="899" spans="1:6" x14ac:dyDescent="0.3">
      <c r="A899" s="32">
        <v>893</v>
      </c>
      <c r="B899" s="32"/>
      <c r="C899" s="32" t="b">
        <f>_xlfn.XLOOKUP(Table610111213[[#This Row],[Category No]],Table8[Category No],Table8[Chapter List],FALSE)</f>
        <v>0</v>
      </c>
      <c r="D899" s="34"/>
      <c r="E899" s="34"/>
      <c r="F899" s="34"/>
    </row>
    <row r="900" spans="1:6" x14ac:dyDescent="0.3">
      <c r="A900" s="32">
        <v>894</v>
      </c>
      <c r="B900" s="32"/>
      <c r="C900" s="32" t="b">
        <f>_xlfn.XLOOKUP(Table610111213[[#This Row],[Category No]],Table8[Category No],Table8[Chapter List],FALSE)</f>
        <v>0</v>
      </c>
      <c r="D900" s="34"/>
      <c r="E900" s="34"/>
      <c r="F900" s="34"/>
    </row>
    <row r="901" spans="1:6" x14ac:dyDescent="0.3">
      <c r="A901" s="32">
        <v>895</v>
      </c>
      <c r="B901" s="32"/>
      <c r="C901" s="32" t="b">
        <f>_xlfn.XLOOKUP(Table610111213[[#This Row],[Category No]],Table8[Category No],Table8[Chapter List],FALSE)</f>
        <v>0</v>
      </c>
      <c r="D901" s="34"/>
      <c r="E901" s="34"/>
      <c r="F901" s="34"/>
    </row>
    <row r="902" spans="1:6" x14ac:dyDescent="0.3">
      <c r="A902" s="32">
        <v>896</v>
      </c>
      <c r="B902" s="32"/>
      <c r="C902" s="32" t="b">
        <f>_xlfn.XLOOKUP(Table610111213[[#This Row],[Category No]],Table8[Category No],Table8[Chapter List],FALSE)</f>
        <v>0</v>
      </c>
      <c r="D902" s="34"/>
      <c r="E902" s="34"/>
      <c r="F902" s="34"/>
    </row>
    <row r="903" spans="1:6" x14ac:dyDescent="0.3">
      <c r="A903" s="32">
        <v>897</v>
      </c>
      <c r="B903" s="32"/>
      <c r="C903" s="32" t="b">
        <f>_xlfn.XLOOKUP(Table610111213[[#This Row],[Category No]],Table8[Category No],Table8[Chapter List],FALSE)</f>
        <v>0</v>
      </c>
      <c r="D903" s="34"/>
      <c r="E903" s="34"/>
      <c r="F903" s="34"/>
    </row>
    <row r="904" spans="1:6" x14ac:dyDescent="0.3">
      <c r="A904" s="32">
        <v>898</v>
      </c>
      <c r="B904" s="32"/>
      <c r="C904" s="32" t="b">
        <f>_xlfn.XLOOKUP(Table610111213[[#This Row],[Category No]],Table8[Category No],Table8[Chapter List],FALSE)</f>
        <v>0</v>
      </c>
      <c r="D904" s="34"/>
      <c r="E904" s="34"/>
      <c r="F904" s="34"/>
    </row>
    <row r="905" spans="1:6" x14ac:dyDescent="0.3">
      <c r="A905" s="32">
        <v>899</v>
      </c>
      <c r="B905" s="32"/>
      <c r="C905" s="32" t="b">
        <f>_xlfn.XLOOKUP(Table610111213[[#This Row],[Category No]],Table8[Category No],Table8[Chapter List],FALSE)</f>
        <v>0</v>
      </c>
      <c r="D905" s="34"/>
      <c r="E905" s="34"/>
      <c r="F905" s="34"/>
    </row>
    <row r="906" spans="1:6" x14ac:dyDescent="0.3">
      <c r="A906" s="32">
        <v>900</v>
      </c>
      <c r="B906" s="32"/>
      <c r="C906" s="32" t="b">
        <f>_xlfn.XLOOKUP(Table610111213[[#This Row],[Category No]],Table8[Category No],Table8[Chapter List],FALSE)</f>
        <v>0</v>
      </c>
      <c r="D906" s="34"/>
      <c r="E906" s="34"/>
      <c r="F906" s="34"/>
    </row>
    <row r="907" spans="1:6" x14ac:dyDescent="0.3">
      <c r="A907" s="32">
        <v>901</v>
      </c>
      <c r="B907" s="32"/>
      <c r="C907" s="32" t="b">
        <f>_xlfn.XLOOKUP(Table610111213[[#This Row],[Category No]],Table8[Category No],Table8[Chapter List],FALSE)</f>
        <v>0</v>
      </c>
      <c r="D907" s="34"/>
      <c r="E907" s="34"/>
      <c r="F907" s="34"/>
    </row>
    <row r="908" spans="1:6" x14ac:dyDescent="0.3">
      <c r="A908" s="32">
        <v>902</v>
      </c>
      <c r="B908" s="32"/>
      <c r="C908" s="32" t="b">
        <f>_xlfn.XLOOKUP(Table610111213[[#This Row],[Category No]],Table8[Category No],Table8[Chapter List],FALSE)</f>
        <v>0</v>
      </c>
      <c r="D908" s="34"/>
      <c r="E908" s="34"/>
      <c r="F908" s="34"/>
    </row>
    <row r="909" spans="1:6" x14ac:dyDescent="0.3">
      <c r="A909" s="32">
        <v>903</v>
      </c>
      <c r="B909" s="32"/>
      <c r="C909" s="32" t="b">
        <f>_xlfn.XLOOKUP(Table610111213[[#This Row],[Category No]],Table8[Category No],Table8[Chapter List],FALSE)</f>
        <v>0</v>
      </c>
      <c r="D909" s="34"/>
      <c r="E909" s="34"/>
      <c r="F909" s="34"/>
    </row>
    <row r="910" spans="1:6" x14ac:dyDescent="0.3">
      <c r="A910" s="32">
        <v>904</v>
      </c>
      <c r="B910" s="32"/>
      <c r="C910" s="32" t="b">
        <f>_xlfn.XLOOKUP(Table610111213[[#This Row],[Category No]],Table8[Category No],Table8[Chapter List],FALSE)</f>
        <v>0</v>
      </c>
      <c r="D910" s="34"/>
      <c r="E910" s="34"/>
      <c r="F910" s="34"/>
    </row>
    <row r="911" spans="1:6" x14ac:dyDescent="0.3">
      <c r="A911" s="32">
        <v>905</v>
      </c>
      <c r="B911" s="32"/>
      <c r="C911" s="32" t="b">
        <f>_xlfn.XLOOKUP(Table610111213[[#This Row],[Category No]],Table8[Category No],Table8[Chapter List],FALSE)</f>
        <v>0</v>
      </c>
      <c r="D911" s="34"/>
      <c r="E911" s="34"/>
      <c r="F911" s="34"/>
    </row>
    <row r="912" spans="1:6" x14ac:dyDescent="0.3">
      <c r="A912" s="32">
        <v>906</v>
      </c>
      <c r="B912" s="32"/>
      <c r="C912" s="32" t="b">
        <f>_xlfn.XLOOKUP(Table610111213[[#This Row],[Category No]],Table8[Category No],Table8[Chapter List],FALSE)</f>
        <v>0</v>
      </c>
      <c r="D912" s="34"/>
      <c r="E912" s="34"/>
      <c r="F912" s="34"/>
    </row>
    <row r="913" spans="1:6" x14ac:dyDescent="0.3">
      <c r="A913" s="32">
        <v>907</v>
      </c>
      <c r="B913" s="32"/>
      <c r="C913" s="32" t="b">
        <f>_xlfn.XLOOKUP(Table610111213[[#This Row],[Category No]],Table8[Category No],Table8[Chapter List],FALSE)</f>
        <v>0</v>
      </c>
      <c r="D913" s="34"/>
      <c r="E913" s="34"/>
      <c r="F913" s="34"/>
    </row>
    <row r="914" spans="1:6" x14ac:dyDescent="0.3">
      <c r="A914" s="32">
        <v>908</v>
      </c>
      <c r="B914" s="32"/>
      <c r="C914" s="32" t="b">
        <f>_xlfn.XLOOKUP(Table610111213[[#This Row],[Category No]],Table8[Category No],Table8[Chapter List],FALSE)</f>
        <v>0</v>
      </c>
      <c r="D914" s="34"/>
      <c r="E914" s="34"/>
      <c r="F914" s="34"/>
    </row>
    <row r="915" spans="1:6" x14ac:dyDescent="0.3">
      <c r="A915" s="32">
        <v>909</v>
      </c>
      <c r="B915" s="32"/>
      <c r="C915" s="32" t="b">
        <f>_xlfn.XLOOKUP(Table610111213[[#This Row],[Category No]],Table8[Category No],Table8[Chapter List],FALSE)</f>
        <v>0</v>
      </c>
      <c r="D915" s="34"/>
      <c r="E915" s="34"/>
      <c r="F915" s="34"/>
    </row>
    <row r="916" spans="1:6" x14ac:dyDescent="0.3">
      <c r="A916" s="32">
        <v>910</v>
      </c>
      <c r="B916" s="32"/>
      <c r="C916" s="32" t="b">
        <f>_xlfn.XLOOKUP(Table610111213[[#This Row],[Category No]],Table8[Category No],Table8[Chapter List],FALSE)</f>
        <v>0</v>
      </c>
      <c r="D916" s="34"/>
      <c r="E916" s="34"/>
      <c r="F916" s="34"/>
    </row>
    <row r="917" spans="1:6" x14ac:dyDescent="0.3">
      <c r="A917" s="32">
        <v>911</v>
      </c>
      <c r="B917" s="32"/>
      <c r="C917" s="32" t="b">
        <f>_xlfn.XLOOKUP(Table610111213[[#This Row],[Category No]],Table8[Category No],Table8[Chapter List],FALSE)</f>
        <v>0</v>
      </c>
      <c r="D917" s="34"/>
      <c r="E917" s="34"/>
      <c r="F917" s="34"/>
    </row>
    <row r="918" spans="1:6" x14ac:dyDescent="0.3">
      <c r="A918" s="32">
        <v>912</v>
      </c>
      <c r="B918" s="32"/>
      <c r="C918" s="32" t="b">
        <f>_xlfn.XLOOKUP(Table610111213[[#This Row],[Category No]],Table8[Category No],Table8[Chapter List],FALSE)</f>
        <v>0</v>
      </c>
      <c r="D918" s="34"/>
      <c r="E918" s="34"/>
      <c r="F918" s="34"/>
    </row>
    <row r="919" spans="1:6" x14ac:dyDescent="0.3">
      <c r="A919" s="32">
        <v>913</v>
      </c>
      <c r="B919" s="32"/>
      <c r="C919" s="32" t="b">
        <f>_xlfn.XLOOKUP(Table610111213[[#This Row],[Category No]],Table8[Category No],Table8[Chapter List],FALSE)</f>
        <v>0</v>
      </c>
      <c r="D919" s="34"/>
      <c r="E919" s="34"/>
      <c r="F919" s="34"/>
    </row>
    <row r="920" spans="1:6" x14ac:dyDescent="0.3">
      <c r="A920" s="32">
        <v>914</v>
      </c>
      <c r="B920" s="32"/>
      <c r="C920" s="32" t="b">
        <f>_xlfn.XLOOKUP(Table610111213[[#This Row],[Category No]],Table8[Category No],Table8[Chapter List],FALSE)</f>
        <v>0</v>
      </c>
      <c r="D920" s="34"/>
      <c r="E920" s="34"/>
      <c r="F920" s="34"/>
    </row>
    <row r="921" spans="1:6" x14ac:dyDescent="0.3">
      <c r="A921" s="32">
        <v>915</v>
      </c>
      <c r="B921" s="32"/>
      <c r="C921" s="32" t="b">
        <f>_xlfn.XLOOKUP(Table610111213[[#This Row],[Category No]],Table8[Category No],Table8[Chapter List],FALSE)</f>
        <v>0</v>
      </c>
      <c r="D921" s="34"/>
      <c r="E921" s="34"/>
      <c r="F921" s="34"/>
    </row>
    <row r="922" spans="1:6" x14ac:dyDescent="0.3">
      <c r="A922" s="32">
        <v>916</v>
      </c>
      <c r="B922" s="32"/>
      <c r="C922" s="32" t="b">
        <f>_xlfn.XLOOKUP(Table610111213[[#This Row],[Category No]],Table8[Category No],Table8[Chapter List],FALSE)</f>
        <v>0</v>
      </c>
      <c r="D922" s="34"/>
      <c r="E922" s="34"/>
      <c r="F922" s="34"/>
    </row>
    <row r="923" spans="1:6" x14ac:dyDescent="0.3">
      <c r="A923" s="32">
        <v>917</v>
      </c>
      <c r="B923" s="32"/>
      <c r="C923" s="32" t="b">
        <f>_xlfn.XLOOKUP(Table610111213[[#This Row],[Category No]],Table8[Category No],Table8[Chapter List],FALSE)</f>
        <v>0</v>
      </c>
      <c r="D923" s="34"/>
      <c r="E923" s="34"/>
      <c r="F923" s="34"/>
    </row>
    <row r="924" spans="1:6" x14ac:dyDescent="0.3">
      <c r="A924" s="32">
        <v>918</v>
      </c>
      <c r="B924" s="32"/>
      <c r="C924" s="32" t="b">
        <f>_xlfn.XLOOKUP(Table610111213[[#This Row],[Category No]],Table8[Category No],Table8[Chapter List],FALSE)</f>
        <v>0</v>
      </c>
      <c r="D924" s="34"/>
      <c r="E924" s="34"/>
      <c r="F924" s="34"/>
    </row>
    <row r="925" spans="1:6" x14ac:dyDescent="0.3">
      <c r="A925" s="32">
        <v>919</v>
      </c>
      <c r="B925" s="32"/>
      <c r="C925" s="32" t="b">
        <f>_xlfn.XLOOKUP(Table610111213[[#This Row],[Category No]],Table8[Category No],Table8[Chapter List],FALSE)</f>
        <v>0</v>
      </c>
      <c r="D925" s="34"/>
      <c r="E925" s="34"/>
      <c r="F925" s="34"/>
    </row>
    <row r="926" spans="1:6" x14ac:dyDescent="0.3">
      <c r="A926" s="32">
        <v>920</v>
      </c>
      <c r="B926" s="32"/>
      <c r="C926" s="32" t="b">
        <f>_xlfn.XLOOKUP(Table610111213[[#This Row],[Category No]],Table8[Category No],Table8[Chapter List],FALSE)</f>
        <v>0</v>
      </c>
      <c r="D926" s="34"/>
      <c r="E926" s="34"/>
      <c r="F926" s="34"/>
    </row>
    <row r="927" spans="1:6" x14ac:dyDescent="0.3">
      <c r="A927" s="32">
        <v>921</v>
      </c>
      <c r="B927" s="32"/>
      <c r="C927" s="32" t="b">
        <f>_xlfn.XLOOKUP(Table610111213[[#This Row],[Category No]],Table8[Category No],Table8[Chapter List],FALSE)</f>
        <v>0</v>
      </c>
      <c r="D927" s="34"/>
      <c r="E927" s="34"/>
      <c r="F927" s="34"/>
    </row>
    <row r="928" spans="1:6" x14ac:dyDescent="0.3">
      <c r="A928" s="32">
        <v>922</v>
      </c>
      <c r="B928" s="32"/>
      <c r="C928" s="32" t="b">
        <f>_xlfn.XLOOKUP(Table610111213[[#This Row],[Category No]],Table8[Category No],Table8[Chapter List],FALSE)</f>
        <v>0</v>
      </c>
      <c r="D928" s="34"/>
      <c r="E928" s="34"/>
      <c r="F928" s="34"/>
    </row>
    <row r="929" spans="1:6" x14ac:dyDescent="0.3">
      <c r="A929" s="32">
        <v>923</v>
      </c>
      <c r="B929" s="32"/>
      <c r="C929" s="32" t="b">
        <f>_xlfn.XLOOKUP(Table610111213[[#This Row],[Category No]],Table8[Category No],Table8[Chapter List],FALSE)</f>
        <v>0</v>
      </c>
      <c r="D929" s="34"/>
      <c r="E929" s="34"/>
      <c r="F929" s="34"/>
    </row>
    <row r="930" spans="1:6" x14ac:dyDescent="0.3">
      <c r="A930" s="32">
        <v>924</v>
      </c>
      <c r="B930" s="32"/>
      <c r="C930" s="32" t="b">
        <f>_xlfn.XLOOKUP(Table610111213[[#This Row],[Category No]],Table8[Category No],Table8[Chapter List],FALSE)</f>
        <v>0</v>
      </c>
      <c r="D930" s="34"/>
      <c r="E930" s="34"/>
      <c r="F930" s="34"/>
    </row>
    <row r="931" spans="1:6" x14ac:dyDescent="0.3">
      <c r="A931" s="32">
        <v>925</v>
      </c>
      <c r="B931" s="32"/>
      <c r="C931" s="32" t="b">
        <f>_xlfn.XLOOKUP(Table610111213[[#This Row],[Category No]],Table8[Category No],Table8[Chapter List],FALSE)</f>
        <v>0</v>
      </c>
      <c r="D931" s="34"/>
      <c r="E931" s="34"/>
      <c r="F931" s="34"/>
    </row>
    <row r="932" spans="1:6" x14ac:dyDescent="0.3">
      <c r="A932" s="32">
        <v>926</v>
      </c>
      <c r="B932" s="32"/>
      <c r="C932" s="32" t="b">
        <f>_xlfn.XLOOKUP(Table610111213[[#This Row],[Category No]],Table8[Category No],Table8[Chapter List],FALSE)</f>
        <v>0</v>
      </c>
      <c r="D932" s="34"/>
      <c r="E932" s="34"/>
      <c r="F932" s="34"/>
    </row>
    <row r="933" spans="1:6" x14ac:dyDescent="0.3">
      <c r="A933" s="32">
        <v>927</v>
      </c>
      <c r="B933" s="32"/>
      <c r="C933" s="32" t="b">
        <f>_xlfn.XLOOKUP(Table610111213[[#This Row],[Category No]],Table8[Category No],Table8[Chapter List],FALSE)</f>
        <v>0</v>
      </c>
      <c r="D933" s="34"/>
      <c r="E933" s="34"/>
      <c r="F933" s="34"/>
    </row>
    <row r="934" spans="1:6" x14ac:dyDescent="0.3">
      <c r="A934" s="32">
        <v>928</v>
      </c>
      <c r="B934" s="32"/>
      <c r="C934" s="32" t="b">
        <f>_xlfn.XLOOKUP(Table610111213[[#This Row],[Category No]],Table8[Category No],Table8[Chapter List],FALSE)</f>
        <v>0</v>
      </c>
      <c r="D934" s="34"/>
      <c r="E934" s="34"/>
      <c r="F934" s="34"/>
    </row>
    <row r="935" spans="1:6" x14ac:dyDescent="0.3">
      <c r="A935" s="32">
        <v>929</v>
      </c>
      <c r="B935" s="32"/>
      <c r="C935" s="32" t="b">
        <f>_xlfn.XLOOKUP(Table610111213[[#This Row],[Category No]],Table8[Category No],Table8[Chapter List],FALSE)</f>
        <v>0</v>
      </c>
      <c r="D935" s="34"/>
      <c r="E935" s="34"/>
      <c r="F935" s="34"/>
    </row>
    <row r="936" spans="1:6" x14ac:dyDescent="0.3">
      <c r="A936" s="32">
        <v>930</v>
      </c>
      <c r="B936" s="32"/>
      <c r="C936" s="32" t="b">
        <f>_xlfn.XLOOKUP(Table610111213[[#This Row],[Category No]],Table8[Category No],Table8[Chapter List],FALSE)</f>
        <v>0</v>
      </c>
      <c r="D936" s="34"/>
      <c r="E936" s="34"/>
      <c r="F936" s="34"/>
    </row>
    <row r="937" spans="1:6" x14ac:dyDescent="0.3">
      <c r="A937" s="32">
        <v>931</v>
      </c>
      <c r="B937" s="32"/>
      <c r="C937" s="32" t="b">
        <f>_xlfn.XLOOKUP(Table610111213[[#This Row],[Category No]],Table8[Category No],Table8[Chapter List],FALSE)</f>
        <v>0</v>
      </c>
      <c r="D937" s="34"/>
      <c r="E937" s="34"/>
      <c r="F937" s="34"/>
    </row>
    <row r="938" spans="1:6" x14ac:dyDescent="0.3">
      <c r="A938" s="32">
        <v>932</v>
      </c>
      <c r="B938" s="32"/>
      <c r="C938" s="32" t="b">
        <f>_xlfn.XLOOKUP(Table610111213[[#This Row],[Category No]],Table8[Category No],Table8[Chapter List],FALSE)</f>
        <v>0</v>
      </c>
      <c r="D938" s="34"/>
      <c r="E938" s="34"/>
      <c r="F938" s="34"/>
    </row>
    <row r="939" spans="1:6" x14ac:dyDescent="0.3">
      <c r="A939" s="32">
        <v>933</v>
      </c>
      <c r="B939" s="32"/>
      <c r="C939" s="32" t="b">
        <f>_xlfn.XLOOKUP(Table610111213[[#This Row],[Category No]],Table8[Category No],Table8[Chapter List],FALSE)</f>
        <v>0</v>
      </c>
      <c r="D939" s="34"/>
      <c r="E939" s="34"/>
      <c r="F939" s="34"/>
    </row>
    <row r="940" spans="1:6" x14ac:dyDescent="0.3">
      <c r="A940" s="32">
        <v>934</v>
      </c>
      <c r="B940" s="32"/>
      <c r="C940" s="32" t="b">
        <f>_xlfn.XLOOKUP(Table610111213[[#This Row],[Category No]],Table8[Category No],Table8[Chapter List],FALSE)</f>
        <v>0</v>
      </c>
      <c r="D940" s="34"/>
      <c r="E940" s="34"/>
      <c r="F940" s="34"/>
    </row>
    <row r="941" spans="1:6" x14ac:dyDescent="0.3">
      <c r="A941" s="32">
        <v>935</v>
      </c>
      <c r="B941" s="32"/>
      <c r="C941" s="32" t="b">
        <f>_xlfn.XLOOKUP(Table610111213[[#This Row],[Category No]],Table8[Category No],Table8[Chapter List],FALSE)</f>
        <v>0</v>
      </c>
      <c r="D941" s="34"/>
      <c r="E941" s="34"/>
      <c r="F941" s="34"/>
    </row>
    <row r="942" spans="1:6" x14ac:dyDescent="0.3">
      <c r="A942" s="32">
        <v>936</v>
      </c>
      <c r="B942" s="32"/>
      <c r="C942" s="32" t="b">
        <f>_xlfn.XLOOKUP(Table610111213[[#This Row],[Category No]],Table8[Category No],Table8[Chapter List],FALSE)</f>
        <v>0</v>
      </c>
      <c r="D942" s="34"/>
      <c r="E942" s="34"/>
      <c r="F942" s="34"/>
    </row>
    <row r="943" spans="1:6" x14ac:dyDescent="0.3">
      <c r="A943" s="32">
        <v>937</v>
      </c>
      <c r="B943" s="32"/>
      <c r="C943" s="32" t="b">
        <f>_xlfn.XLOOKUP(Table610111213[[#This Row],[Category No]],Table8[Category No],Table8[Chapter List],FALSE)</f>
        <v>0</v>
      </c>
      <c r="D943" s="34"/>
      <c r="E943" s="34"/>
      <c r="F943" s="34"/>
    </row>
    <row r="944" spans="1:6" x14ac:dyDescent="0.3">
      <c r="A944" s="32">
        <v>938</v>
      </c>
      <c r="B944" s="32"/>
      <c r="C944" s="32" t="b">
        <f>_xlfn.XLOOKUP(Table610111213[[#This Row],[Category No]],Table8[Category No],Table8[Chapter List],FALSE)</f>
        <v>0</v>
      </c>
      <c r="D944" s="34"/>
      <c r="E944" s="34"/>
      <c r="F944" s="34"/>
    </row>
    <row r="945" spans="1:6" x14ac:dyDescent="0.3">
      <c r="A945" s="32">
        <v>939</v>
      </c>
      <c r="B945" s="32"/>
      <c r="C945" s="32" t="b">
        <f>_xlfn.XLOOKUP(Table610111213[[#This Row],[Category No]],Table8[Category No],Table8[Chapter List],FALSE)</f>
        <v>0</v>
      </c>
      <c r="D945" s="34"/>
      <c r="E945" s="34"/>
      <c r="F945" s="34"/>
    </row>
    <row r="946" spans="1:6" x14ac:dyDescent="0.3">
      <c r="A946" s="32">
        <v>940</v>
      </c>
      <c r="B946" s="32"/>
      <c r="C946" s="32" t="b">
        <f>_xlfn.XLOOKUP(Table610111213[[#This Row],[Category No]],Table8[Category No],Table8[Chapter List],FALSE)</f>
        <v>0</v>
      </c>
      <c r="D946" s="34"/>
      <c r="E946" s="34"/>
      <c r="F946" s="34"/>
    </row>
    <row r="947" spans="1:6" x14ac:dyDescent="0.3">
      <c r="A947" s="32">
        <v>941</v>
      </c>
      <c r="B947" s="32"/>
      <c r="C947" s="32" t="b">
        <f>_xlfn.XLOOKUP(Table610111213[[#This Row],[Category No]],Table8[Category No],Table8[Chapter List],FALSE)</f>
        <v>0</v>
      </c>
      <c r="D947" s="34"/>
      <c r="E947" s="34"/>
      <c r="F947" s="34"/>
    </row>
    <row r="948" spans="1:6" x14ac:dyDescent="0.3">
      <c r="A948" s="32">
        <v>942</v>
      </c>
      <c r="B948" s="32"/>
      <c r="C948" s="32" t="b">
        <f>_xlfn.XLOOKUP(Table610111213[[#This Row],[Category No]],Table8[Category No],Table8[Chapter List],FALSE)</f>
        <v>0</v>
      </c>
      <c r="D948" s="34"/>
      <c r="E948" s="34"/>
      <c r="F948" s="34"/>
    </row>
    <row r="949" spans="1:6" x14ac:dyDescent="0.3">
      <c r="A949" s="32">
        <v>943</v>
      </c>
      <c r="B949" s="32"/>
      <c r="C949" s="32" t="b">
        <f>_xlfn.XLOOKUP(Table610111213[[#This Row],[Category No]],Table8[Category No],Table8[Chapter List],FALSE)</f>
        <v>0</v>
      </c>
      <c r="D949" s="34"/>
      <c r="E949" s="34"/>
      <c r="F949" s="34"/>
    </row>
    <row r="950" spans="1:6" x14ac:dyDescent="0.3">
      <c r="A950" s="32">
        <v>944</v>
      </c>
      <c r="B950" s="32"/>
      <c r="C950" s="32" t="b">
        <f>_xlfn.XLOOKUP(Table610111213[[#This Row],[Category No]],Table8[Category No],Table8[Chapter List],FALSE)</f>
        <v>0</v>
      </c>
      <c r="D950" s="34"/>
      <c r="E950" s="34"/>
      <c r="F950" s="34"/>
    </row>
    <row r="951" spans="1:6" x14ac:dyDescent="0.3">
      <c r="A951" s="32">
        <v>945</v>
      </c>
      <c r="B951" s="32"/>
      <c r="C951" s="32" t="b">
        <f>_xlfn.XLOOKUP(Table610111213[[#This Row],[Category No]],Table8[Category No],Table8[Chapter List],FALSE)</f>
        <v>0</v>
      </c>
      <c r="D951" s="34"/>
      <c r="E951" s="34"/>
      <c r="F951" s="34"/>
    </row>
    <row r="952" spans="1:6" x14ac:dyDescent="0.3">
      <c r="A952" s="32">
        <v>946</v>
      </c>
      <c r="B952" s="32"/>
      <c r="C952" s="32" t="b">
        <f>_xlfn.XLOOKUP(Table610111213[[#This Row],[Category No]],Table8[Category No],Table8[Chapter List],FALSE)</f>
        <v>0</v>
      </c>
      <c r="D952" s="34"/>
      <c r="E952" s="34"/>
      <c r="F952" s="34"/>
    </row>
    <row r="953" spans="1:6" x14ac:dyDescent="0.3">
      <c r="A953" s="32">
        <v>947</v>
      </c>
      <c r="B953" s="32"/>
      <c r="C953" s="32" t="b">
        <f>_xlfn.XLOOKUP(Table610111213[[#This Row],[Category No]],Table8[Category No],Table8[Chapter List],FALSE)</f>
        <v>0</v>
      </c>
      <c r="D953" s="34"/>
      <c r="E953" s="34"/>
      <c r="F953" s="34"/>
    </row>
    <row r="954" spans="1:6" x14ac:dyDescent="0.3">
      <c r="A954" s="32">
        <v>948</v>
      </c>
      <c r="B954" s="32"/>
      <c r="C954" s="32" t="b">
        <f>_xlfn.XLOOKUP(Table610111213[[#This Row],[Category No]],Table8[Category No],Table8[Chapter List],FALSE)</f>
        <v>0</v>
      </c>
      <c r="D954" s="34"/>
      <c r="E954" s="34"/>
      <c r="F954" s="34"/>
    </row>
    <row r="955" spans="1:6" x14ac:dyDescent="0.3">
      <c r="A955" s="32">
        <v>949</v>
      </c>
      <c r="B955" s="32"/>
      <c r="C955" s="32" t="b">
        <f>_xlfn.XLOOKUP(Table610111213[[#This Row],[Category No]],Table8[Category No],Table8[Chapter List],FALSE)</f>
        <v>0</v>
      </c>
      <c r="D955" s="34"/>
      <c r="E955" s="34"/>
      <c r="F955" s="34"/>
    </row>
    <row r="956" spans="1:6" x14ac:dyDescent="0.3">
      <c r="A956" s="32">
        <v>950</v>
      </c>
      <c r="B956" s="32"/>
      <c r="C956" s="32" t="b">
        <f>_xlfn.XLOOKUP(Table610111213[[#This Row],[Category No]],Table8[Category No],Table8[Chapter List],FALSE)</f>
        <v>0</v>
      </c>
      <c r="D956" s="34"/>
      <c r="E956" s="34"/>
      <c r="F956" s="34"/>
    </row>
    <row r="957" spans="1:6" x14ac:dyDescent="0.3">
      <c r="A957" s="32">
        <v>951</v>
      </c>
      <c r="B957" s="32"/>
      <c r="C957" s="32" t="b">
        <f>_xlfn.XLOOKUP(Table610111213[[#This Row],[Category No]],Table8[Category No],Table8[Chapter List],FALSE)</f>
        <v>0</v>
      </c>
      <c r="D957" s="34"/>
      <c r="E957" s="34"/>
      <c r="F957" s="34"/>
    </row>
    <row r="958" spans="1:6" x14ac:dyDescent="0.3">
      <c r="A958" s="32">
        <v>952</v>
      </c>
      <c r="B958" s="32"/>
      <c r="C958" s="32" t="b">
        <f>_xlfn.XLOOKUP(Table610111213[[#This Row],[Category No]],Table8[Category No],Table8[Chapter List],FALSE)</f>
        <v>0</v>
      </c>
      <c r="D958" s="34"/>
      <c r="E958" s="34"/>
      <c r="F958" s="34"/>
    </row>
    <row r="959" spans="1:6" x14ac:dyDescent="0.3">
      <c r="A959" s="32">
        <v>953</v>
      </c>
      <c r="B959" s="32"/>
      <c r="C959" s="32" t="b">
        <f>_xlfn.XLOOKUP(Table610111213[[#This Row],[Category No]],Table8[Category No],Table8[Chapter List],FALSE)</f>
        <v>0</v>
      </c>
      <c r="D959" s="34"/>
      <c r="E959" s="34"/>
      <c r="F959" s="34"/>
    </row>
    <row r="960" spans="1:6" x14ac:dyDescent="0.3">
      <c r="A960" s="32">
        <v>954</v>
      </c>
      <c r="B960" s="32"/>
      <c r="C960" s="32" t="b">
        <f>_xlfn.XLOOKUP(Table610111213[[#This Row],[Category No]],Table8[Category No],Table8[Chapter List],FALSE)</f>
        <v>0</v>
      </c>
      <c r="D960" s="34"/>
      <c r="E960" s="34"/>
      <c r="F960" s="34"/>
    </row>
    <row r="961" spans="1:6" x14ac:dyDescent="0.3">
      <c r="A961" s="32">
        <v>955</v>
      </c>
      <c r="B961" s="32"/>
      <c r="C961" s="32" t="b">
        <f>_xlfn.XLOOKUP(Table610111213[[#This Row],[Category No]],Table8[Category No],Table8[Chapter List],FALSE)</f>
        <v>0</v>
      </c>
      <c r="D961" s="34"/>
      <c r="E961" s="34"/>
      <c r="F961" s="34"/>
    </row>
    <row r="962" spans="1:6" x14ac:dyDescent="0.3">
      <c r="A962" s="32">
        <v>956</v>
      </c>
      <c r="B962" s="32"/>
      <c r="C962" s="32" t="b">
        <f>_xlfn.XLOOKUP(Table610111213[[#This Row],[Category No]],Table8[Category No],Table8[Chapter List],FALSE)</f>
        <v>0</v>
      </c>
      <c r="D962" s="34"/>
      <c r="E962" s="34"/>
      <c r="F962" s="34"/>
    </row>
    <row r="963" spans="1:6" x14ac:dyDescent="0.3">
      <c r="A963" s="32">
        <v>957</v>
      </c>
      <c r="B963" s="32"/>
      <c r="C963" s="32" t="b">
        <f>_xlfn.XLOOKUP(Table610111213[[#This Row],[Category No]],Table8[Category No],Table8[Chapter List],FALSE)</f>
        <v>0</v>
      </c>
      <c r="D963" s="34"/>
      <c r="E963" s="34"/>
      <c r="F963" s="34"/>
    </row>
    <row r="964" spans="1:6" x14ac:dyDescent="0.3">
      <c r="A964" s="32">
        <v>958</v>
      </c>
      <c r="B964" s="32"/>
      <c r="C964" s="32" t="b">
        <f>_xlfn.XLOOKUP(Table610111213[[#This Row],[Category No]],Table8[Category No],Table8[Chapter List],FALSE)</f>
        <v>0</v>
      </c>
      <c r="D964" s="34"/>
      <c r="E964" s="34"/>
      <c r="F964" s="34"/>
    </row>
    <row r="965" spans="1:6" x14ac:dyDescent="0.3">
      <c r="A965" s="32">
        <v>959</v>
      </c>
      <c r="B965" s="32"/>
      <c r="C965" s="32" t="b">
        <f>_xlfn.XLOOKUP(Table610111213[[#This Row],[Category No]],Table8[Category No],Table8[Chapter List],FALSE)</f>
        <v>0</v>
      </c>
      <c r="D965" s="34"/>
      <c r="E965" s="34"/>
      <c r="F965" s="34"/>
    </row>
    <row r="966" spans="1:6" x14ac:dyDescent="0.3">
      <c r="A966" s="32">
        <v>960</v>
      </c>
      <c r="B966" s="32"/>
      <c r="C966" s="32" t="b">
        <f>_xlfn.XLOOKUP(Table610111213[[#This Row],[Category No]],Table8[Category No],Table8[Chapter List],FALSE)</f>
        <v>0</v>
      </c>
      <c r="D966" s="34"/>
      <c r="E966" s="34"/>
      <c r="F966" s="34"/>
    </row>
    <row r="967" spans="1:6" x14ac:dyDescent="0.3">
      <c r="A967" s="32">
        <v>961</v>
      </c>
      <c r="B967" s="32"/>
      <c r="C967" s="32" t="b">
        <f>_xlfn.XLOOKUP(Table610111213[[#This Row],[Category No]],Table8[Category No],Table8[Chapter List],FALSE)</f>
        <v>0</v>
      </c>
      <c r="D967" s="34"/>
      <c r="E967" s="34"/>
      <c r="F967" s="34"/>
    </row>
    <row r="968" spans="1:6" x14ac:dyDescent="0.3">
      <c r="A968" s="32">
        <v>962</v>
      </c>
      <c r="B968" s="32"/>
      <c r="C968" s="32" t="b">
        <f>_xlfn.XLOOKUP(Table610111213[[#This Row],[Category No]],Table8[Category No],Table8[Chapter List],FALSE)</f>
        <v>0</v>
      </c>
      <c r="D968" s="34"/>
      <c r="E968" s="34"/>
      <c r="F968" s="34"/>
    </row>
    <row r="969" spans="1:6" x14ac:dyDescent="0.3">
      <c r="A969" s="32">
        <v>963</v>
      </c>
      <c r="B969" s="32"/>
      <c r="C969" s="32" t="b">
        <f>_xlfn.XLOOKUP(Table610111213[[#This Row],[Category No]],Table8[Category No],Table8[Chapter List],FALSE)</f>
        <v>0</v>
      </c>
      <c r="D969" s="34"/>
      <c r="E969" s="34"/>
      <c r="F969" s="34"/>
    </row>
    <row r="970" spans="1:6" x14ac:dyDescent="0.3">
      <c r="A970" s="32">
        <v>964</v>
      </c>
      <c r="B970" s="32"/>
      <c r="C970" s="32" t="b">
        <f>_xlfn.XLOOKUP(Table610111213[[#This Row],[Category No]],Table8[Category No],Table8[Chapter List],FALSE)</f>
        <v>0</v>
      </c>
      <c r="D970" s="34"/>
      <c r="E970" s="34"/>
      <c r="F970" s="34"/>
    </row>
    <row r="971" spans="1:6" x14ac:dyDescent="0.3">
      <c r="A971" s="32">
        <v>965</v>
      </c>
      <c r="B971" s="32"/>
      <c r="C971" s="32" t="b">
        <f>_xlfn.XLOOKUP(Table610111213[[#This Row],[Category No]],Table8[Category No],Table8[Chapter List],FALSE)</f>
        <v>0</v>
      </c>
      <c r="D971" s="34"/>
      <c r="E971" s="34"/>
      <c r="F971" s="34"/>
    </row>
    <row r="972" spans="1:6" x14ac:dyDescent="0.3">
      <c r="A972" s="32">
        <v>966</v>
      </c>
      <c r="B972" s="32"/>
      <c r="C972" s="32" t="b">
        <f>_xlfn.XLOOKUP(Table610111213[[#This Row],[Category No]],Table8[Category No],Table8[Chapter List],FALSE)</f>
        <v>0</v>
      </c>
      <c r="D972" s="34"/>
      <c r="E972" s="34"/>
      <c r="F972" s="34"/>
    </row>
    <row r="973" spans="1:6" x14ac:dyDescent="0.3">
      <c r="A973" s="32">
        <v>967</v>
      </c>
      <c r="B973" s="32"/>
      <c r="C973" s="32" t="b">
        <f>_xlfn.XLOOKUP(Table610111213[[#This Row],[Category No]],Table8[Category No],Table8[Chapter List],FALSE)</f>
        <v>0</v>
      </c>
      <c r="D973" s="34"/>
      <c r="E973" s="34"/>
      <c r="F973" s="34"/>
    </row>
    <row r="974" spans="1:6" x14ac:dyDescent="0.3">
      <c r="A974" s="32">
        <v>968</v>
      </c>
      <c r="B974" s="32"/>
      <c r="C974" s="32" t="b">
        <f>_xlfn.XLOOKUP(Table610111213[[#This Row],[Category No]],Table8[Category No],Table8[Chapter List],FALSE)</f>
        <v>0</v>
      </c>
      <c r="D974" s="34"/>
      <c r="E974" s="34"/>
      <c r="F974" s="34"/>
    </row>
    <row r="975" spans="1:6" x14ac:dyDescent="0.3">
      <c r="A975" s="32">
        <v>969</v>
      </c>
      <c r="B975" s="32"/>
      <c r="C975" s="32" t="b">
        <f>_xlfn.XLOOKUP(Table610111213[[#This Row],[Category No]],Table8[Category No],Table8[Chapter List],FALSE)</f>
        <v>0</v>
      </c>
      <c r="D975" s="34"/>
      <c r="E975" s="34"/>
      <c r="F975" s="34"/>
    </row>
    <row r="976" spans="1:6" x14ac:dyDescent="0.3">
      <c r="A976" s="32">
        <v>970</v>
      </c>
      <c r="B976" s="32"/>
      <c r="C976" s="32" t="b">
        <f>_xlfn.XLOOKUP(Table610111213[[#This Row],[Category No]],Table8[Category No],Table8[Chapter List],FALSE)</f>
        <v>0</v>
      </c>
      <c r="D976" s="34"/>
      <c r="E976" s="34"/>
      <c r="F976" s="34"/>
    </row>
    <row r="977" spans="1:6" x14ac:dyDescent="0.3">
      <c r="A977" s="32">
        <v>971</v>
      </c>
      <c r="B977" s="32"/>
      <c r="C977" s="32" t="b">
        <f>_xlfn.XLOOKUP(Table610111213[[#This Row],[Category No]],Table8[Category No],Table8[Chapter List],FALSE)</f>
        <v>0</v>
      </c>
      <c r="D977" s="34"/>
      <c r="E977" s="34"/>
      <c r="F977" s="34"/>
    </row>
    <row r="978" spans="1:6" x14ac:dyDescent="0.3">
      <c r="A978" s="32">
        <v>972</v>
      </c>
      <c r="B978" s="32"/>
      <c r="C978" s="32" t="b">
        <f>_xlfn.XLOOKUP(Table610111213[[#This Row],[Category No]],Table8[Category No],Table8[Chapter List],FALSE)</f>
        <v>0</v>
      </c>
      <c r="D978" s="34"/>
      <c r="E978" s="34"/>
      <c r="F978" s="34"/>
    </row>
    <row r="979" spans="1:6" x14ac:dyDescent="0.3">
      <c r="A979" s="32">
        <v>973</v>
      </c>
      <c r="B979" s="32"/>
      <c r="C979" s="32" t="b">
        <f>_xlfn.XLOOKUP(Table610111213[[#This Row],[Category No]],Table8[Category No],Table8[Chapter List],FALSE)</f>
        <v>0</v>
      </c>
      <c r="D979" s="34"/>
      <c r="E979" s="34"/>
      <c r="F979" s="34"/>
    </row>
    <row r="980" spans="1:6" x14ac:dyDescent="0.3">
      <c r="A980" s="32">
        <v>974</v>
      </c>
      <c r="B980" s="32"/>
      <c r="C980" s="32" t="b">
        <f>_xlfn.XLOOKUP(Table610111213[[#This Row],[Category No]],Table8[Category No],Table8[Chapter List],FALSE)</f>
        <v>0</v>
      </c>
      <c r="D980" s="34"/>
      <c r="E980" s="34"/>
      <c r="F980" s="34"/>
    </row>
    <row r="981" spans="1:6" x14ac:dyDescent="0.3">
      <c r="A981" s="32">
        <v>975</v>
      </c>
      <c r="B981" s="32"/>
      <c r="C981" s="32" t="b">
        <f>_xlfn.XLOOKUP(Table610111213[[#This Row],[Category No]],Table8[Category No],Table8[Chapter List],FALSE)</f>
        <v>0</v>
      </c>
      <c r="D981" s="34"/>
      <c r="E981" s="34"/>
      <c r="F981" s="34"/>
    </row>
    <row r="982" spans="1:6" x14ac:dyDescent="0.3">
      <c r="A982" s="32">
        <v>976</v>
      </c>
      <c r="B982" s="32"/>
      <c r="C982" s="32" t="b">
        <f>_xlfn.XLOOKUP(Table610111213[[#This Row],[Category No]],Table8[Category No],Table8[Chapter List],FALSE)</f>
        <v>0</v>
      </c>
      <c r="D982" s="34"/>
      <c r="E982" s="34"/>
      <c r="F982" s="34"/>
    </row>
    <row r="983" spans="1:6" x14ac:dyDescent="0.3">
      <c r="A983" s="32">
        <v>977</v>
      </c>
      <c r="B983" s="32"/>
      <c r="C983" s="32" t="b">
        <f>_xlfn.XLOOKUP(Table610111213[[#This Row],[Category No]],Table8[Category No],Table8[Chapter List],FALSE)</f>
        <v>0</v>
      </c>
      <c r="D983" s="34"/>
      <c r="E983" s="34"/>
      <c r="F983" s="34"/>
    </row>
    <row r="984" spans="1:6" x14ac:dyDescent="0.3">
      <c r="A984" s="32">
        <v>978</v>
      </c>
      <c r="B984" s="32"/>
      <c r="C984" s="32" t="b">
        <f>_xlfn.XLOOKUP(Table610111213[[#This Row],[Category No]],Table8[Category No],Table8[Chapter List],FALSE)</f>
        <v>0</v>
      </c>
      <c r="D984" s="34"/>
      <c r="E984" s="34"/>
      <c r="F984" s="34"/>
    </row>
    <row r="985" spans="1:6" x14ac:dyDescent="0.3">
      <c r="A985" s="32">
        <v>979</v>
      </c>
      <c r="B985" s="32"/>
      <c r="C985" s="32" t="b">
        <f>_xlfn.XLOOKUP(Table610111213[[#This Row],[Category No]],Table8[Category No],Table8[Chapter List],FALSE)</f>
        <v>0</v>
      </c>
      <c r="D985" s="34"/>
      <c r="E985" s="34"/>
      <c r="F985" s="34"/>
    </row>
    <row r="986" spans="1:6" x14ac:dyDescent="0.3">
      <c r="A986" s="32">
        <v>980</v>
      </c>
      <c r="B986" s="32"/>
      <c r="C986" s="32" t="b">
        <f>_xlfn.XLOOKUP(Table610111213[[#This Row],[Category No]],Table8[Category No],Table8[Chapter List],FALSE)</f>
        <v>0</v>
      </c>
      <c r="D986" s="34"/>
      <c r="E986" s="34"/>
      <c r="F986" s="34"/>
    </row>
    <row r="987" spans="1:6" x14ac:dyDescent="0.3">
      <c r="A987" s="32">
        <v>981</v>
      </c>
      <c r="B987" s="32"/>
      <c r="C987" s="32" t="b">
        <f>_xlfn.XLOOKUP(Table610111213[[#This Row],[Category No]],Table8[Category No],Table8[Chapter List],FALSE)</f>
        <v>0</v>
      </c>
      <c r="D987" s="34"/>
      <c r="E987" s="34"/>
      <c r="F987" s="34"/>
    </row>
    <row r="988" spans="1:6" x14ac:dyDescent="0.3">
      <c r="A988" s="32">
        <v>982</v>
      </c>
      <c r="B988" s="32"/>
      <c r="C988" s="32" t="b">
        <f>_xlfn.XLOOKUP(Table610111213[[#This Row],[Category No]],Table8[Category No],Table8[Chapter List],FALSE)</f>
        <v>0</v>
      </c>
      <c r="D988" s="34"/>
      <c r="E988" s="34"/>
      <c r="F988" s="34"/>
    </row>
    <row r="989" spans="1:6" x14ac:dyDescent="0.3">
      <c r="A989" s="32">
        <v>983</v>
      </c>
      <c r="B989" s="32"/>
      <c r="C989" s="32" t="b">
        <f>_xlfn.XLOOKUP(Table610111213[[#This Row],[Category No]],Table8[Category No],Table8[Chapter List],FALSE)</f>
        <v>0</v>
      </c>
      <c r="D989" s="34"/>
      <c r="E989" s="34"/>
      <c r="F989" s="34"/>
    </row>
    <row r="990" spans="1:6" x14ac:dyDescent="0.3">
      <c r="A990" s="32">
        <v>984</v>
      </c>
      <c r="B990" s="32"/>
      <c r="C990" s="32" t="b">
        <f>_xlfn.XLOOKUP(Table610111213[[#This Row],[Category No]],Table8[Category No],Table8[Chapter List],FALSE)</f>
        <v>0</v>
      </c>
      <c r="D990" s="34"/>
      <c r="E990" s="34"/>
      <c r="F990" s="34"/>
    </row>
    <row r="991" spans="1:6" x14ac:dyDescent="0.3">
      <c r="A991" s="32">
        <v>985</v>
      </c>
      <c r="B991" s="32"/>
      <c r="C991" s="32" t="b">
        <f>_xlfn.XLOOKUP(Table610111213[[#This Row],[Category No]],Table8[Category No],Table8[Chapter List],FALSE)</f>
        <v>0</v>
      </c>
      <c r="D991" s="34"/>
      <c r="E991" s="34"/>
      <c r="F991" s="34"/>
    </row>
    <row r="992" spans="1:6" x14ac:dyDescent="0.3">
      <c r="A992" s="32">
        <v>986</v>
      </c>
      <c r="B992" s="32"/>
      <c r="C992" s="32" t="b">
        <f>_xlfn.XLOOKUP(Table610111213[[#This Row],[Category No]],Table8[Category No],Table8[Chapter List],FALSE)</f>
        <v>0</v>
      </c>
      <c r="D992" s="34"/>
      <c r="E992" s="34"/>
      <c r="F992" s="34"/>
    </row>
    <row r="993" spans="1:6" x14ac:dyDescent="0.3">
      <c r="A993" s="32">
        <v>987</v>
      </c>
      <c r="B993" s="32"/>
      <c r="C993" s="32" t="b">
        <f>_xlfn.XLOOKUP(Table610111213[[#This Row],[Category No]],Table8[Category No],Table8[Chapter List],FALSE)</f>
        <v>0</v>
      </c>
      <c r="D993" s="34"/>
      <c r="E993" s="34"/>
      <c r="F993" s="34"/>
    </row>
    <row r="994" spans="1:6" x14ac:dyDescent="0.3">
      <c r="A994" s="32">
        <v>988</v>
      </c>
      <c r="B994" s="32"/>
      <c r="C994" s="32" t="b">
        <f>_xlfn.XLOOKUP(Table610111213[[#This Row],[Category No]],Table8[Category No],Table8[Chapter List],FALSE)</f>
        <v>0</v>
      </c>
      <c r="D994" s="34"/>
      <c r="E994" s="34"/>
      <c r="F994" s="34"/>
    </row>
    <row r="995" spans="1:6" x14ac:dyDescent="0.3">
      <c r="A995" s="32">
        <v>989</v>
      </c>
      <c r="B995" s="32"/>
      <c r="C995" s="32" t="b">
        <f>_xlfn.XLOOKUP(Table610111213[[#This Row],[Category No]],Table8[Category No],Table8[Chapter List],FALSE)</f>
        <v>0</v>
      </c>
      <c r="D995" s="34"/>
      <c r="E995" s="34"/>
      <c r="F995" s="34"/>
    </row>
    <row r="996" spans="1:6" x14ac:dyDescent="0.3">
      <c r="A996" s="32">
        <v>990</v>
      </c>
      <c r="B996" s="32"/>
      <c r="C996" s="32" t="b">
        <f>_xlfn.XLOOKUP(Table610111213[[#This Row],[Category No]],Table8[Category No],Table8[Chapter List],FALSE)</f>
        <v>0</v>
      </c>
      <c r="D996" s="34"/>
      <c r="E996" s="34"/>
      <c r="F996" s="34"/>
    </row>
    <row r="997" spans="1:6" x14ac:dyDescent="0.3">
      <c r="A997" s="32">
        <v>991</v>
      </c>
      <c r="B997" s="32"/>
      <c r="C997" s="32" t="b">
        <f>_xlfn.XLOOKUP(Table610111213[[#This Row],[Category No]],Table8[Category No],Table8[Chapter List],FALSE)</f>
        <v>0</v>
      </c>
      <c r="D997" s="34"/>
      <c r="E997" s="34"/>
      <c r="F997" s="34"/>
    </row>
    <row r="998" spans="1:6" x14ac:dyDescent="0.3">
      <c r="A998" s="32">
        <v>992</v>
      </c>
      <c r="B998" s="32"/>
      <c r="C998" s="32" t="b">
        <f>_xlfn.XLOOKUP(Table610111213[[#This Row],[Category No]],Table8[Category No],Table8[Chapter List],FALSE)</f>
        <v>0</v>
      </c>
      <c r="D998" s="34"/>
      <c r="E998" s="34"/>
      <c r="F998" s="34"/>
    </row>
    <row r="999" spans="1:6" x14ac:dyDescent="0.3">
      <c r="A999" s="32">
        <v>993</v>
      </c>
      <c r="B999" s="32"/>
      <c r="C999" s="32" t="b">
        <f>_xlfn.XLOOKUP(Table610111213[[#This Row],[Category No]],Table8[Category No],Table8[Chapter List],FALSE)</f>
        <v>0</v>
      </c>
      <c r="D999" s="34"/>
      <c r="E999" s="34"/>
      <c r="F999" s="34"/>
    </row>
    <row r="1000" spans="1:6" x14ac:dyDescent="0.3">
      <c r="A1000" s="32">
        <v>994</v>
      </c>
      <c r="B1000" s="32"/>
      <c r="C1000" s="32" t="b">
        <f>_xlfn.XLOOKUP(Table610111213[[#This Row],[Category No]],Table8[Category No],Table8[Chapter List],FALSE)</f>
        <v>0</v>
      </c>
      <c r="D1000" s="34"/>
      <c r="E1000" s="34"/>
      <c r="F1000" s="34"/>
    </row>
    <row r="1001" spans="1:6" x14ac:dyDescent="0.3">
      <c r="A1001" s="32">
        <v>995</v>
      </c>
      <c r="B1001" s="32"/>
      <c r="C1001" s="32" t="b">
        <f>_xlfn.XLOOKUP(Table610111213[[#This Row],[Category No]],Table8[Category No],Table8[Chapter List],FALSE)</f>
        <v>0</v>
      </c>
      <c r="D1001" s="34"/>
      <c r="E1001" s="34"/>
      <c r="F1001" s="34"/>
    </row>
    <row r="1002" spans="1:6" x14ac:dyDescent="0.3">
      <c r="A1002" s="32">
        <v>996</v>
      </c>
      <c r="B1002" s="32"/>
      <c r="C1002" s="32" t="b">
        <f>_xlfn.XLOOKUP(Table610111213[[#This Row],[Category No]],Table8[Category No],Table8[Chapter List],FALSE)</f>
        <v>0</v>
      </c>
      <c r="D1002" s="34"/>
      <c r="E1002" s="34"/>
      <c r="F1002" s="34"/>
    </row>
    <row r="1003" spans="1:6" x14ac:dyDescent="0.3">
      <c r="A1003" s="32">
        <v>997</v>
      </c>
      <c r="B1003" s="32"/>
      <c r="C1003" s="32" t="b">
        <f>_xlfn.XLOOKUP(Table610111213[[#This Row],[Category No]],Table8[Category No],Table8[Chapter List],FALSE)</f>
        <v>0</v>
      </c>
      <c r="D1003" s="34"/>
      <c r="E1003" s="34"/>
      <c r="F1003" s="34"/>
    </row>
    <row r="1004" spans="1:6" x14ac:dyDescent="0.3">
      <c r="A1004" s="32">
        <v>998</v>
      </c>
      <c r="B1004" s="32"/>
      <c r="C1004" s="32" t="b">
        <f>_xlfn.XLOOKUP(Table610111213[[#This Row],[Category No]],Table8[Category No],Table8[Chapter List],FALSE)</f>
        <v>0</v>
      </c>
      <c r="D1004" s="34"/>
      <c r="E1004" s="34"/>
      <c r="F1004" s="34"/>
    </row>
    <row r="1005" spans="1:6" x14ac:dyDescent="0.3">
      <c r="A1005" s="32">
        <v>999</v>
      </c>
      <c r="B1005" s="32"/>
      <c r="C1005" s="32" t="b">
        <f>_xlfn.XLOOKUP(Table610111213[[#This Row],[Category No]],Table8[Category No],Table8[Chapter List],FALSE)</f>
        <v>0</v>
      </c>
      <c r="D1005" s="34"/>
      <c r="E1005" s="34"/>
      <c r="F1005" s="34"/>
    </row>
    <row r="1006" spans="1:6" x14ac:dyDescent="0.3">
      <c r="A1006" s="32">
        <v>1000</v>
      </c>
      <c r="B1006" s="32"/>
      <c r="C1006" s="32" t="b">
        <f>_xlfn.XLOOKUP(Table610111213[[#This Row],[Category No]],Table8[Category No],Table8[Chapter List],FALSE)</f>
        <v>0</v>
      </c>
      <c r="D1006" s="34"/>
      <c r="E1006" s="34"/>
      <c r="F1006" s="34"/>
    </row>
    <row r="1007" spans="1:6" x14ac:dyDescent="0.3">
      <c r="A1007" s="32">
        <v>1001</v>
      </c>
      <c r="B1007" s="32"/>
      <c r="C1007" s="32" t="b">
        <f>_xlfn.XLOOKUP(Table610111213[[#This Row],[Category No]],Table8[Category No],Table8[Chapter List],FALSE)</f>
        <v>0</v>
      </c>
      <c r="D1007" s="34"/>
      <c r="E1007" s="34"/>
      <c r="F1007" s="34"/>
    </row>
    <row r="1008" spans="1:6" x14ac:dyDescent="0.3">
      <c r="A1008" s="32">
        <v>1002</v>
      </c>
      <c r="B1008" s="32"/>
      <c r="C1008" s="32" t="b">
        <f>_xlfn.XLOOKUP(Table610111213[[#This Row],[Category No]],Table8[Category No],Table8[Chapter List],FALSE)</f>
        <v>0</v>
      </c>
      <c r="D1008" s="34"/>
      <c r="E1008" s="34"/>
      <c r="F1008" s="34"/>
    </row>
    <row r="1009" spans="1:6" x14ac:dyDescent="0.3">
      <c r="A1009" s="32">
        <v>1003</v>
      </c>
      <c r="B1009" s="32"/>
      <c r="C1009" s="32" t="b">
        <f>_xlfn.XLOOKUP(Table610111213[[#This Row],[Category No]],Table8[Category No],Table8[Chapter List],FALSE)</f>
        <v>0</v>
      </c>
      <c r="D1009" s="34"/>
      <c r="E1009" s="34"/>
      <c r="F1009" s="34"/>
    </row>
  </sheetData>
  <mergeCells count="33">
    <mergeCell ref="G437:G438"/>
    <mergeCell ref="G439:G448"/>
    <mergeCell ref="G177:G178"/>
    <mergeCell ref="G179:G181"/>
    <mergeCell ref="G182:G192"/>
    <mergeCell ref="G311:G316"/>
    <mergeCell ref="G244:G246"/>
    <mergeCell ref="G252:G260"/>
    <mergeCell ref="G193:G216"/>
    <mergeCell ref="G153:G154"/>
    <mergeCell ref="G158:G162"/>
    <mergeCell ref="G163:G167"/>
    <mergeCell ref="G169:G174"/>
    <mergeCell ref="G175:G176"/>
    <mergeCell ref="G36:G43"/>
    <mergeCell ref="G44:G47"/>
    <mergeCell ref="G48:G59"/>
    <mergeCell ref="G137:G141"/>
    <mergeCell ref="G142:G143"/>
    <mergeCell ref="G365:G374"/>
    <mergeCell ref="G325:G336"/>
    <mergeCell ref="G343:G360"/>
    <mergeCell ref="G361:G364"/>
    <mergeCell ref="G298:G310"/>
    <mergeCell ref="G317:G324"/>
    <mergeCell ref="G375:G386"/>
    <mergeCell ref="G415:G422"/>
    <mergeCell ref="G423:G426"/>
    <mergeCell ref="G427:G429"/>
    <mergeCell ref="G430:G435"/>
    <mergeCell ref="G387:G397"/>
    <mergeCell ref="G398:G404"/>
    <mergeCell ref="G405:G414"/>
  </mergeCells>
  <phoneticPr fontId="3" type="noConversion"/>
  <dataValidations count="1">
    <dataValidation type="list" allowBlank="1" showInputMessage="1" showErrorMessage="1" sqref="E1:E1048576" xr:uid="{B081547A-288E-47C8-9155-0861DE9AAEF1}">
      <formula1>"Character, Titles"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1C54-94D7-4710-B420-6FDC36E48820}">
  <dimension ref="A1:F1000"/>
  <sheetViews>
    <sheetView topLeftCell="A145" zoomScaleNormal="100" workbookViewId="0">
      <selection activeCell="F166" sqref="F166:F168"/>
    </sheetView>
  </sheetViews>
  <sheetFormatPr defaultRowHeight="13.8" x14ac:dyDescent="0.3"/>
  <cols>
    <col min="1" max="1" width="9.33203125" style="37" bestFit="1" customWidth="1"/>
    <col min="2" max="2" width="14.21875" style="37" bestFit="1" customWidth="1"/>
    <col min="3" max="3" width="29.44140625" style="37" customWidth="1"/>
    <col min="4" max="4" width="46.33203125" style="37" bestFit="1" customWidth="1"/>
    <col min="5" max="5" width="87.6640625" style="37" bestFit="1" customWidth="1"/>
    <col min="6" max="6" width="19.5546875" style="46" bestFit="1" customWidth="1"/>
    <col min="7" max="16384" width="8.88671875" style="37"/>
  </cols>
  <sheetData>
    <row r="1" spans="1:5" x14ac:dyDescent="0.3">
      <c r="A1" s="35" t="s">
        <v>1</v>
      </c>
      <c r="B1" s="36" t="s">
        <v>125</v>
      </c>
      <c r="C1" s="36" t="s">
        <v>126</v>
      </c>
      <c r="D1" s="36" t="s">
        <v>134</v>
      </c>
      <c r="E1" s="36" t="s">
        <v>166</v>
      </c>
    </row>
    <row r="2" spans="1:5" ht="41.4" x14ac:dyDescent="0.3">
      <c r="A2" s="32">
        <v>1</v>
      </c>
      <c r="B2" s="32" t="s">
        <v>60</v>
      </c>
      <c r="C2" s="32" t="str">
        <f>_xlfn.XLOOKUP(Table61011121314[[#This Row],[Category No]],Table8[Category No],Table8[Chapter List],FALSE)</f>
        <v>Prehistoric Phase of India</v>
      </c>
      <c r="D2" s="33" t="s">
        <v>184</v>
      </c>
      <c r="E2" s="34" t="s">
        <v>183</v>
      </c>
    </row>
    <row r="3" spans="1:5" ht="27.6" x14ac:dyDescent="0.3">
      <c r="A3" s="32">
        <v>2</v>
      </c>
      <c r="B3" s="32" t="s">
        <v>60</v>
      </c>
      <c r="C3" s="32" t="str">
        <f>_xlfn.XLOOKUP(Table61011121314[[#This Row],[Category No]],Table8[Category No],Table8[Chapter List],FALSE)</f>
        <v>Prehistoric Phase of India</v>
      </c>
      <c r="D3" s="33" t="s">
        <v>185</v>
      </c>
      <c r="E3" s="34" t="s">
        <v>186</v>
      </c>
    </row>
    <row r="4" spans="1:5" ht="27.6" x14ac:dyDescent="0.3">
      <c r="A4" s="32">
        <v>3</v>
      </c>
      <c r="B4" s="32" t="s">
        <v>60</v>
      </c>
      <c r="C4" s="32" t="str">
        <f>_xlfn.XLOOKUP(Table61011121314[[#This Row],[Category No]],Table8[Category No],Table8[Chapter List],FALSE)</f>
        <v>Prehistoric Phase of India</v>
      </c>
      <c r="D4" s="33" t="s">
        <v>189</v>
      </c>
      <c r="E4" s="34" t="s">
        <v>183</v>
      </c>
    </row>
    <row r="5" spans="1:5" x14ac:dyDescent="0.3">
      <c r="A5" s="32">
        <v>4</v>
      </c>
      <c r="B5" s="32" t="s">
        <v>60</v>
      </c>
      <c r="C5" s="32" t="str">
        <f>_xlfn.XLOOKUP(Table61011121314[[#This Row],[Category No]],Table8[Category No],Table8[Chapter List],FALSE)</f>
        <v>Prehistoric Phase of India</v>
      </c>
      <c r="D5" s="33" t="s">
        <v>187</v>
      </c>
      <c r="E5" s="34" t="s">
        <v>150</v>
      </c>
    </row>
    <row r="6" spans="1:5" x14ac:dyDescent="0.3">
      <c r="A6" s="32">
        <v>5</v>
      </c>
      <c r="B6" s="32" t="s">
        <v>60</v>
      </c>
      <c r="C6" s="32" t="str">
        <f>_xlfn.XLOOKUP(Table61011121314[[#This Row],[Category No]],Table8[Category No],Table8[Chapter List],FALSE)</f>
        <v>Prehistoric Phase of India</v>
      </c>
      <c r="D6" s="34" t="s">
        <v>188</v>
      </c>
      <c r="E6" s="34" t="s">
        <v>150</v>
      </c>
    </row>
    <row r="7" spans="1:5" x14ac:dyDescent="0.3">
      <c r="A7" s="32">
        <v>6</v>
      </c>
      <c r="B7" s="32" t="s">
        <v>61</v>
      </c>
      <c r="C7" s="32" t="str">
        <f>_xlfn.XLOOKUP(Table61011121314[[#This Row],[Category No]],Table8[Category No],Table8[Chapter List],FALSE)</f>
        <v>Indus Valley Civilization</v>
      </c>
      <c r="D7" s="34" t="s">
        <v>226</v>
      </c>
      <c r="E7" s="34" t="s">
        <v>227</v>
      </c>
    </row>
    <row r="8" spans="1:5" x14ac:dyDescent="0.3">
      <c r="A8" s="32">
        <v>7</v>
      </c>
      <c r="B8" s="32" t="s">
        <v>61</v>
      </c>
      <c r="C8" s="32" t="str">
        <f>_xlfn.XLOOKUP(Table61011121314[[#This Row],[Category No]],Table8[Category No],Table8[Chapter List],FALSE)</f>
        <v>Indus Valley Civilization</v>
      </c>
      <c r="D8" s="34" t="s">
        <v>228</v>
      </c>
      <c r="E8" s="34" t="s">
        <v>229</v>
      </c>
    </row>
    <row r="9" spans="1:5" x14ac:dyDescent="0.3">
      <c r="A9" s="32">
        <v>8</v>
      </c>
      <c r="B9" s="32" t="s">
        <v>61</v>
      </c>
      <c r="C9" s="32" t="str">
        <f>_xlfn.XLOOKUP(Table61011121314[[#This Row],[Category No]],Table8[Category No],Table8[Chapter List],FALSE)</f>
        <v>Indus Valley Civilization</v>
      </c>
      <c r="D9" s="34" t="s">
        <v>230</v>
      </c>
      <c r="E9" s="34" t="s">
        <v>271</v>
      </c>
    </row>
    <row r="10" spans="1:5" x14ac:dyDescent="0.3">
      <c r="A10" s="32">
        <v>9</v>
      </c>
      <c r="B10" s="32" t="s">
        <v>61</v>
      </c>
      <c r="C10" s="32" t="str">
        <f>_xlfn.XLOOKUP(Table61011121314[[#This Row],[Category No]],Table8[Category No],Table8[Chapter List],FALSE)</f>
        <v>Indus Valley Civilization</v>
      </c>
      <c r="D10" s="34" t="s">
        <v>231</v>
      </c>
      <c r="E10" s="34"/>
    </row>
    <row r="11" spans="1:5" x14ac:dyDescent="0.3">
      <c r="A11" s="32">
        <v>10</v>
      </c>
      <c r="B11" s="32" t="s">
        <v>61</v>
      </c>
      <c r="C11" s="32" t="str">
        <f>_xlfn.XLOOKUP(Table61011121314[[#This Row],[Category No]],Table8[Category No],Table8[Chapter List],FALSE)</f>
        <v>Indus Valley Civilization</v>
      </c>
      <c r="D11" s="34" t="s">
        <v>232</v>
      </c>
      <c r="E11" s="34" t="s">
        <v>272</v>
      </c>
    </row>
    <row r="12" spans="1:5" x14ac:dyDescent="0.3">
      <c r="A12" s="32">
        <v>11</v>
      </c>
      <c r="B12" s="32" t="s">
        <v>61</v>
      </c>
      <c r="C12" s="32" t="str">
        <f>_xlfn.XLOOKUP(Table61011121314[[#This Row],[Category No]],Table8[Category No],Table8[Chapter List],FALSE)</f>
        <v>Indus Valley Civilization</v>
      </c>
      <c r="D12" s="34" t="s">
        <v>233</v>
      </c>
      <c r="E12" s="34"/>
    </row>
    <row r="13" spans="1:5" x14ac:dyDescent="0.3">
      <c r="A13" s="32">
        <v>12</v>
      </c>
      <c r="B13" s="32" t="s">
        <v>61</v>
      </c>
      <c r="C13" s="32" t="str">
        <f>_xlfn.XLOOKUP(Table61011121314[[#This Row],[Category No]],Table8[Category No],Table8[Chapter List],FALSE)</f>
        <v>Indus Valley Civilization</v>
      </c>
      <c r="D13" s="34" t="s">
        <v>234</v>
      </c>
      <c r="E13" s="34"/>
    </row>
    <row r="14" spans="1:5" x14ac:dyDescent="0.3">
      <c r="A14" s="32">
        <v>13</v>
      </c>
      <c r="B14" s="32" t="s">
        <v>61</v>
      </c>
      <c r="C14" s="32" t="str">
        <f>_xlfn.XLOOKUP(Table61011121314[[#This Row],[Category No]],Table8[Category No],Table8[Chapter List],FALSE)</f>
        <v>Indus Valley Civilization</v>
      </c>
      <c r="D14" s="34" t="s">
        <v>235</v>
      </c>
      <c r="E14" s="34"/>
    </row>
    <row r="15" spans="1:5" x14ac:dyDescent="0.3">
      <c r="A15" s="32">
        <v>14</v>
      </c>
      <c r="B15" s="32" t="s">
        <v>61</v>
      </c>
      <c r="C15" s="32" t="str">
        <f>_xlfn.XLOOKUP(Table61011121314[[#This Row],[Category No]],Table8[Category No],Table8[Chapter List],FALSE)</f>
        <v>Indus Valley Civilization</v>
      </c>
      <c r="D15" s="34" t="s">
        <v>236</v>
      </c>
      <c r="E15" s="34"/>
    </row>
    <row r="16" spans="1:5" x14ac:dyDescent="0.3">
      <c r="A16" s="32">
        <v>15</v>
      </c>
      <c r="B16" s="32" t="s">
        <v>61</v>
      </c>
      <c r="C16" s="32" t="str">
        <f>_xlfn.XLOOKUP(Table61011121314[[#This Row],[Category No]],Table8[Category No],Table8[Chapter List],FALSE)</f>
        <v>Indus Valley Civilization</v>
      </c>
      <c r="D16" s="34" t="s">
        <v>237</v>
      </c>
      <c r="E16" s="34"/>
    </row>
    <row r="17" spans="1:5" x14ac:dyDescent="0.3">
      <c r="A17" s="32">
        <v>16</v>
      </c>
      <c r="B17" s="32" t="s">
        <v>61</v>
      </c>
      <c r="C17" s="32" t="str">
        <f>_xlfn.XLOOKUP(Table61011121314[[#This Row],[Category No]],Table8[Category No],Table8[Chapter List],FALSE)</f>
        <v>Indus Valley Civilization</v>
      </c>
      <c r="D17" s="34" t="s">
        <v>238</v>
      </c>
      <c r="E17" s="34"/>
    </row>
    <row r="18" spans="1:5" x14ac:dyDescent="0.3">
      <c r="A18" s="32">
        <v>17</v>
      </c>
      <c r="B18" s="32" t="s">
        <v>61</v>
      </c>
      <c r="C18" s="32" t="str">
        <f>_xlfn.XLOOKUP(Table61011121314[[#This Row],[Category No]],Table8[Category No],Table8[Chapter List],FALSE)</f>
        <v>Indus Valley Civilization</v>
      </c>
      <c r="D18" s="34" t="s">
        <v>239</v>
      </c>
      <c r="E18" s="34"/>
    </row>
    <row r="19" spans="1:5" x14ac:dyDescent="0.3">
      <c r="A19" s="32">
        <v>18</v>
      </c>
      <c r="B19" s="32" t="s">
        <v>61</v>
      </c>
      <c r="C19" s="32" t="str">
        <f>_xlfn.XLOOKUP(Table61011121314[[#This Row],[Category No]],Table8[Category No],Table8[Chapter List],FALSE)</f>
        <v>Indus Valley Civilization</v>
      </c>
      <c r="D19" s="34" t="s">
        <v>240</v>
      </c>
      <c r="E19" s="34"/>
    </row>
    <row r="20" spans="1:5" x14ac:dyDescent="0.3">
      <c r="A20" s="32">
        <v>19</v>
      </c>
      <c r="B20" s="32" t="s">
        <v>61</v>
      </c>
      <c r="C20" s="32" t="str">
        <f>_xlfn.XLOOKUP(Table61011121314[[#This Row],[Category No]],Table8[Category No],Table8[Chapter List],FALSE)</f>
        <v>Indus Valley Civilization</v>
      </c>
      <c r="D20" s="34" t="s">
        <v>241</v>
      </c>
      <c r="E20" s="34"/>
    </row>
    <row r="21" spans="1:5" x14ac:dyDescent="0.3">
      <c r="A21" s="32">
        <v>20</v>
      </c>
      <c r="B21" s="32" t="s">
        <v>61</v>
      </c>
      <c r="C21" s="32" t="str">
        <f>_xlfn.XLOOKUP(Table61011121314[[#This Row],[Category No]],Table8[Category No],Table8[Chapter List],FALSE)</f>
        <v>Indus Valley Civilization</v>
      </c>
      <c r="D21" s="34" t="s">
        <v>242</v>
      </c>
      <c r="E21" s="34"/>
    </row>
    <row r="22" spans="1:5" x14ac:dyDescent="0.3">
      <c r="A22" s="32">
        <v>21</v>
      </c>
      <c r="B22" s="32" t="s">
        <v>61</v>
      </c>
      <c r="C22" s="32" t="str">
        <f>_xlfn.XLOOKUP(Table61011121314[[#This Row],[Category No]],Table8[Category No],Table8[Chapter List],FALSE)</f>
        <v>Indus Valley Civilization</v>
      </c>
      <c r="D22" s="34" t="s">
        <v>243</v>
      </c>
      <c r="E22" s="34"/>
    </row>
    <row r="23" spans="1:5" x14ac:dyDescent="0.3">
      <c r="A23" s="32">
        <v>22</v>
      </c>
      <c r="B23" s="32" t="s">
        <v>61</v>
      </c>
      <c r="C23" s="32" t="str">
        <f>_xlfn.XLOOKUP(Table61011121314[[#This Row],[Category No]],Table8[Category No],Table8[Chapter List],FALSE)</f>
        <v>Indus Valley Civilization</v>
      </c>
      <c r="D23" s="34" t="s">
        <v>244</v>
      </c>
      <c r="E23" s="34" t="s">
        <v>270</v>
      </c>
    </row>
    <row r="24" spans="1:5" x14ac:dyDescent="0.3">
      <c r="A24" s="32">
        <v>23</v>
      </c>
      <c r="B24" s="32" t="s">
        <v>61</v>
      </c>
      <c r="C24" s="32" t="str">
        <f>_xlfn.XLOOKUP(Table61011121314[[#This Row],[Category No]],Table8[Category No],Table8[Chapter List],FALSE)</f>
        <v>Indus Valley Civilization</v>
      </c>
      <c r="D24" s="34" t="s">
        <v>245</v>
      </c>
      <c r="E24" s="34"/>
    </row>
    <row r="25" spans="1:5" x14ac:dyDescent="0.3">
      <c r="A25" s="32">
        <v>24</v>
      </c>
      <c r="B25" s="32" t="s">
        <v>62</v>
      </c>
      <c r="C25" s="32" t="str">
        <f>_xlfn.XLOOKUP(Table61011121314[[#This Row],[Category No]],Table8[Category No],Table8[Chapter List],FALSE)</f>
        <v>Rig Vedic Period</v>
      </c>
      <c r="D25" s="34" t="s">
        <v>273</v>
      </c>
      <c r="E25" s="34" t="s">
        <v>274</v>
      </c>
    </row>
    <row r="26" spans="1:5" ht="96.6" x14ac:dyDescent="0.3">
      <c r="A26" s="32">
        <v>25</v>
      </c>
      <c r="B26" s="32" t="s">
        <v>62</v>
      </c>
      <c r="C26" s="32" t="str">
        <f>_xlfn.XLOOKUP(Table61011121314[[#This Row],[Category No]],Table8[Category No],Table8[Chapter List],FALSE)</f>
        <v>Rig Vedic Period</v>
      </c>
      <c r="D26" s="34" t="s">
        <v>324</v>
      </c>
      <c r="E26" s="33" t="s">
        <v>325</v>
      </c>
    </row>
    <row r="27" spans="1:5" x14ac:dyDescent="0.3">
      <c r="A27" s="32">
        <v>26</v>
      </c>
      <c r="B27" s="32" t="s">
        <v>62</v>
      </c>
      <c r="C27" s="32" t="str">
        <f>_xlfn.XLOOKUP(Table61011121314[[#This Row],[Category No]],Table8[Category No],Table8[Chapter List],FALSE)</f>
        <v>Rig Vedic Period</v>
      </c>
      <c r="D27" s="34" t="s">
        <v>326</v>
      </c>
      <c r="E27" s="34" t="s">
        <v>305</v>
      </c>
    </row>
    <row r="28" spans="1:5" x14ac:dyDescent="0.3">
      <c r="A28" s="32">
        <v>27</v>
      </c>
      <c r="B28" s="32" t="s">
        <v>62</v>
      </c>
      <c r="C28" s="32" t="str">
        <f>_xlfn.XLOOKUP(Table61011121314[[#This Row],[Category No]],Table8[Category No],Table8[Chapter List],FALSE)</f>
        <v>Rig Vedic Period</v>
      </c>
      <c r="D28" s="34" t="s">
        <v>328</v>
      </c>
      <c r="E28" s="34" t="s">
        <v>329</v>
      </c>
    </row>
    <row r="29" spans="1:5" x14ac:dyDescent="0.3">
      <c r="A29" s="32">
        <v>28</v>
      </c>
      <c r="B29" s="32" t="s">
        <v>62</v>
      </c>
      <c r="C29" s="32" t="str">
        <f>_xlfn.XLOOKUP(Table61011121314[[#This Row],[Category No]],Table8[Category No],Table8[Chapter List],FALSE)</f>
        <v>Rig Vedic Period</v>
      </c>
      <c r="D29" s="34" t="s">
        <v>330</v>
      </c>
      <c r="E29" s="34" t="s">
        <v>331</v>
      </c>
    </row>
    <row r="30" spans="1:5" x14ac:dyDescent="0.3">
      <c r="A30" s="32">
        <v>29</v>
      </c>
      <c r="B30" s="32" t="s">
        <v>62</v>
      </c>
      <c r="C30" s="32" t="str">
        <f>_xlfn.XLOOKUP(Table61011121314[[#This Row],[Category No]],Table8[Category No],Table8[Chapter List],FALSE)</f>
        <v>Rig Vedic Period</v>
      </c>
      <c r="D30" s="34" t="s">
        <v>332</v>
      </c>
      <c r="E30" s="34"/>
    </row>
    <row r="31" spans="1:5" x14ac:dyDescent="0.3">
      <c r="A31" s="32">
        <v>30</v>
      </c>
      <c r="B31" s="32" t="s">
        <v>62</v>
      </c>
      <c r="C31" s="32" t="str">
        <f>_xlfn.XLOOKUP(Table61011121314[[#This Row],[Category No]],Table8[Category No],Table8[Chapter List],FALSE)</f>
        <v>Rig Vedic Period</v>
      </c>
      <c r="D31" s="34" t="s">
        <v>333</v>
      </c>
      <c r="E31" s="34"/>
    </row>
    <row r="32" spans="1:5" x14ac:dyDescent="0.3">
      <c r="A32" s="32">
        <v>31</v>
      </c>
      <c r="B32" s="32" t="s">
        <v>63</v>
      </c>
      <c r="C32" s="32" t="str">
        <f>_xlfn.XLOOKUP(Table61011121314[[#This Row],[Category No]],Table8[Category No],Table8[Chapter List],FALSE)</f>
        <v>Later Vedic Period</v>
      </c>
      <c r="D32" s="34" t="s">
        <v>499</v>
      </c>
      <c r="E32" s="34" t="s">
        <v>500</v>
      </c>
    </row>
    <row r="33" spans="1:5" x14ac:dyDescent="0.3">
      <c r="A33" s="32">
        <v>32</v>
      </c>
      <c r="B33" s="32" t="s">
        <v>63</v>
      </c>
      <c r="C33" s="32" t="str">
        <f>_xlfn.XLOOKUP(Table61011121314[[#This Row],[Category No]],Table8[Category No],Table8[Chapter List],FALSE)</f>
        <v>Later Vedic Period</v>
      </c>
      <c r="D33" s="34" t="s">
        <v>501</v>
      </c>
      <c r="E33" s="34"/>
    </row>
    <row r="34" spans="1:5" ht="27.6" x14ac:dyDescent="0.3">
      <c r="A34" s="32">
        <v>33</v>
      </c>
      <c r="B34" s="32" t="s">
        <v>63</v>
      </c>
      <c r="C34" s="32" t="str">
        <f>_xlfn.XLOOKUP(Table61011121314[[#This Row],[Category No]],Table8[Category No],Table8[Chapter List],FALSE)</f>
        <v>Later Vedic Period</v>
      </c>
      <c r="D34" s="33" t="s">
        <v>502</v>
      </c>
      <c r="E34" s="34"/>
    </row>
    <row r="35" spans="1:5" x14ac:dyDescent="0.3">
      <c r="A35" s="32">
        <v>34</v>
      </c>
      <c r="B35" s="32" t="s">
        <v>63</v>
      </c>
      <c r="C35" s="32" t="str">
        <f>_xlfn.XLOOKUP(Table61011121314[[#This Row],[Category No]],Table8[Category No],Table8[Chapter List],FALSE)</f>
        <v>Later Vedic Period</v>
      </c>
      <c r="D35" s="34" t="s">
        <v>503</v>
      </c>
      <c r="E35" s="34"/>
    </row>
    <row r="36" spans="1:5" x14ac:dyDescent="0.3">
      <c r="A36" s="32">
        <v>35</v>
      </c>
      <c r="B36" s="32" t="s">
        <v>63</v>
      </c>
      <c r="C36" s="32" t="str">
        <f>_xlfn.XLOOKUP(Table61011121314[[#This Row],[Category No]],Table8[Category No],Table8[Chapter List],FALSE)</f>
        <v>Later Vedic Period</v>
      </c>
      <c r="D36" s="34" t="s">
        <v>504</v>
      </c>
      <c r="E36" s="34"/>
    </row>
    <row r="37" spans="1:5" x14ac:dyDescent="0.3">
      <c r="A37" s="32">
        <v>36</v>
      </c>
      <c r="B37" s="32" t="s">
        <v>64</v>
      </c>
      <c r="C37" s="32" t="str">
        <f>_xlfn.XLOOKUP(Table61011121314[[#This Row],[Category No]],Table8[Category No],Table8[Chapter List],FALSE)</f>
        <v>Evolution of Jainism and Buddhism</v>
      </c>
      <c r="D37" s="34" t="s">
        <v>759</v>
      </c>
      <c r="E37" s="34" t="s">
        <v>760</v>
      </c>
    </row>
    <row r="38" spans="1:5" x14ac:dyDescent="0.3">
      <c r="A38" s="32">
        <v>37</v>
      </c>
      <c r="B38" s="32" t="s">
        <v>64</v>
      </c>
      <c r="C38" s="32" t="str">
        <f>_xlfn.XLOOKUP(Table61011121314[[#This Row],[Category No]],Table8[Category No],Table8[Chapter List],FALSE)</f>
        <v>Evolution of Jainism and Buddhism</v>
      </c>
      <c r="D38" s="34" t="s">
        <v>761</v>
      </c>
      <c r="E38" s="34" t="s">
        <v>762</v>
      </c>
    </row>
    <row r="39" spans="1:5" x14ac:dyDescent="0.3">
      <c r="A39" s="32">
        <v>38</v>
      </c>
      <c r="B39" s="32" t="s">
        <v>64</v>
      </c>
      <c r="C39" s="32" t="str">
        <f>_xlfn.XLOOKUP(Table61011121314[[#This Row],[Category No]],Table8[Category No],Table8[Chapter List],FALSE)</f>
        <v>Evolution of Jainism and Buddhism</v>
      </c>
      <c r="D39" s="34" t="s">
        <v>763</v>
      </c>
      <c r="E39" s="34" t="s">
        <v>764</v>
      </c>
    </row>
    <row r="40" spans="1:5" x14ac:dyDescent="0.3">
      <c r="A40" s="32">
        <v>39</v>
      </c>
      <c r="B40" s="32" t="s">
        <v>64</v>
      </c>
      <c r="C40" s="32" t="str">
        <f>_xlfn.XLOOKUP(Table61011121314[[#This Row],[Category No]],Table8[Category No],Table8[Chapter List],FALSE)</f>
        <v>Evolution of Jainism and Buddhism</v>
      </c>
      <c r="D40" s="34" t="s">
        <v>765</v>
      </c>
      <c r="E40" s="34" t="s">
        <v>673</v>
      </c>
    </row>
    <row r="41" spans="1:5" x14ac:dyDescent="0.3">
      <c r="A41" s="32">
        <v>40</v>
      </c>
      <c r="B41" s="32" t="s">
        <v>64</v>
      </c>
      <c r="C41" s="32" t="str">
        <f>_xlfn.XLOOKUP(Table61011121314[[#This Row],[Category No]],Table8[Category No],Table8[Chapter List],FALSE)</f>
        <v>Evolution of Jainism and Buddhism</v>
      </c>
      <c r="D41" s="34" t="s">
        <v>766</v>
      </c>
      <c r="E41" s="34" t="s">
        <v>675</v>
      </c>
    </row>
    <row r="42" spans="1:5" x14ac:dyDescent="0.3">
      <c r="A42" s="32">
        <v>41</v>
      </c>
      <c r="B42" s="32" t="s">
        <v>64</v>
      </c>
      <c r="C42" s="32" t="str">
        <f>_xlfn.XLOOKUP(Table61011121314[[#This Row],[Category No]],Table8[Category No],Table8[Chapter List],FALSE)</f>
        <v>Evolution of Jainism and Buddhism</v>
      </c>
      <c r="D42" s="34" t="s">
        <v>767</v>
      </c>
      <c r="E42" s="34" t="s">
        <v>768</v>
      </c>
    </row>
    <row r="43" spans="1:5" x14ac:dyDescent="0.3">
      <c r="A43" s="32">
        <v>42</v>
      </c>
      <c r="B43" s="32" t="s">
        <v>64</v>
      </c>
      <c r="C43" s="32" t="str">
        <f>_xlfn.XLOOKUP(Table61011121314[[#This Row],[Category No]],Table8[Category No],Table8[Chapter List],FALSE)</f>
        <v>Evolution of Jainism and Buddhism</v>
      </c>
      <c r="D43" s="34" t="s">
        <v>769</v>
      </c>
      <c r="E43" s="34" t="s">
        <v>770</v>
      </c>
    </row>
    <row r="44" spans="1:5" x14ac:dyDescent="0.3">
      <c r="A44" s="32">
        <v>43</v>
      </c>
      <c r="B44" s="32" t="s">
        <v>64</v>
      </c>
      <c r="C44" s="32" t="str">
        <f>_xlfn.XLOOKUP(Table61011121314[[#This Row],[Category No]],Table8[Category No],Table8[Chapter List],FALSE)</f>
        <v>Evolution of Jainism and Buddhism</v>
      </c>
      <c r="D44" s="34" t="s">
        <v>771</v>
      </c>
      <c r="E44" s="34" t="s">
        <v>774</v>
      </c>
    </row>
    <row r="45" spans="1:5" x14ac:dyDescent="0.3">
      <c r="A45" s="32">
        <v>44</v>
      </c>
      <c r="B45" s="32" t="s">
        <v>64</v>
      </c>
      <c r="C45" s="32" t="str">
        <f>_xlfn.XLOOKUP(Table61011121314[[#This Row],[Category No]],Table8[Category No],Table8[Chapter List],FALSE)</f>
        <v>Evolution of Jainism and Buddhism</v>
      </c>
      <c r="D45" s="34" t="s">
        <v>772</v>
      </c>
      <c r="E45" s="34" t="s">
        <v>773</v>
      </c>
    </row>
    <row r="46" spans="1:5" x14ac:dyDescent="0.3">
      <c r="A46" s="32">
        <v>45</v>
      </c>
      <c r="B46" s="32" t="s">
        <v>64</v>
      </c>
      <c r="C46" s="32" t="str">
        <f>_xlfn.XLOOKUP(Table61011121314[[#This Row],[Category No]],Table8[Category No],Table8[Chapter List],FALSE)</f>
        <v>Evolution of Jainism and Buddhism</v>
      </c>
      <c r="D46" s="34" t="s">
        <v>775</v>
      </c>
      <c r="E46" s="34" t="s">
        <v>776</v>
      </c>
    </row>
    <row r="47" spans="1:5" x14ac:dyDescent="0.3">
      <c r="A47" s="32">
        <v>46</v>
      </c>
      <c r="B47" s="32" t="s">
        <v>64</v>
      </c>
      <c r="C47" s="32" t="str">
        <f>_xlfn.XLOOKUP(Table61011121314[[#This Row],[Category No]],Table8[Category No],Table8[Chapter List],FALSE)</f>
        <v>Evolution of Jainism and Buddhism</v>
      </c>
      <c r="D47" s="34" t="s">
        <v>777</v>
      </c>
      <c r="E47" s="34" t="s">
        <v>778</v>
      </c>
    </row>
    <row r="48" spans="1:5" x14ac:dyDescent="0.3">
      <c r="A48" s="32">
        <v>47</v>
      </c>
      <c r="B48" s="32" t="s">
        <v>64</v>
      </c>
      <c r="C48" s="32" t="str">
        <f>_xlfn.XLOOKUP(Table61011121314[[#This Row],[Category No]],Table8[Category No],Table8[Chapter List],FALSE)</f>
        <v>Evolution of Jainism and Buddhism</v>
      </c>
      <c r="D48" s="34" t="s">
        <v>779</v>
      </c>
      <c r="E48" s="34" t="s">
        <v>780</v>
      </c>
    </row>
    <row r="49" spans="1:5" x14ac:dyDescent="0.3">
      <c r="A49" s="32">
        <v>48</v>
      </c>
      <c r="B49" s="32" t="s">
        <v>64</v>
      </c>
      <c r="C49" s="32" t="str">
        <f>_xlfn.XLOOKUP(Table61011121314[[#This Row],[Category No]],Table8[Category No],Table8[Chapter List],FALSE)</f>
        <v>Evolution of Jainism and Buddhism</v>
      </c>
      <c r="D49" s="34" t="s">
        <v>781</v>
      </c>
      <c r="E49" s="34" t="s">
        <v>782</v>
      </c>
    </row>
    <row r="50" spans="1:5" x14ac:dyDescent="0.3">
      <c r="A50" s="32">
        <v>49</v>
      </c>
      <c r="B50" s="32" t="s">
        <v>64</v>
      </c>
      <c r="C50" s="32" t="str">
        <f>_xlfn.XLOOKUP(Table61011121314[[#This Row],[Category No]],Table8[Category No],Table8[Chapter List],FALSE)</f>
        <v>Evolution of Jainism and Buddhism</v>
      </c>
      <c r="D50" s="34" t="s">
        <v>783</v>
      </c>
      <c r="E50" s="34" t="s">
        <v>784</v>
      </c>
    </row>
    <row r="51" spans="1:5" x14ac:dyDescent="0.3">
      <c r="A51" s="32">
        <v>50</v>
      </c>
      <c r="B51" s="32" t="s">
        <v>64</v>
      </c>
      <c r="C51" s="32" t="str">
        <f>_xlfn.XLOOKUP(Table61011121314[[#This Row],[Category No]],Table8[Category No],Table8[Chapter List],FALSE)</f>
        <v>Evolution of Jainism and Buddhism</v>
      </c>
      <c r="D51" s="34" t="s">
        <v>785</v>
      </c>
      <c r="E51" s="34" t="s">
        <v>786</v>
      </c>
    </row>
    <row r="52" spans="1:5" x14ac:dyDescent="0.3">
      <c r="A52" s="32">
        <v>51</v>
      </c>
      <c r="B52" s="32" t="s">
        <v>64</v>
      </c>
      <c r="C52" s="32" t="str">
        <f>_xlfn.XLOOKUP(Table61011121314[[#This Row],[Category No]],Table8[Category No],Table8[Chapter List],FALSE)</f>
        <v>Evolution of Jainism and Buddhism</v>
      </c>
      <c r="D52" s="34" t="s">
        <v>787</v>
      </c>
      <c r="E52" s="34" t="s">
        <v>676</v>
      </c>
    </row>
    <row r="53" spans="1:5" x14ac:dyDescent="0.3">
      <c r="A53" s="32">
        <v>52</v>
      </c>
      <c r="B53" s="32" t="s">
        <v>64</v>
      </c>
      <c r="C53" s="32" t="str">
        <f>_xlfn.XLOOKUP(Table61011121314[[#This Row],[Category No]],Table8[Category No],Table8[Chapter List],FALSE)</f>
        <v>Evolution of Jainism and Buddhism</v>
      </c>
      <c r="D53" s="34" t="s">
        <v>788</v>
      </c>
      <c r="E53" s="34" t="s">
        <v>678</v>
      </c>
    </row>
    <row r="54" spans="1:5" x14ac:dyDescent="0.3">
      <c r="A54" s="32">
        <v>53</v>
      </c>
      <c r="B54" s="32" t="s">
        <v>64</v>
      </c>
      <c r="C54" s="32" t="str">
        <f>_xlfn.XLOOKUP(Table61011121314[[#This Row],[Category No]],Table8[Category No],Table8[Chapter List],FALSE)</f>
        <v>Evolution of Jainism and Buddhism</v>
      </c>
      <c r="D54" s="34" t="s">
        <v>765</v>
      </c>
      <c r="E54" s="34" t="s">
        <v>680</v>
      </c>
    </row>
    <row r="55" spans="1:5" x14ac:dyDescent="0.3">
      <c r="A55" s="32">
        <v>54</v>
      </c>
      <c r="B55" s="32" t="s">
        <v>64</v>
      </c>
      <c r="C55" s="32" t="str">
        <f>_xlfn.XLOOKUP(Table61011121314[[#This Row],[Category No]],Table8[Category No],Table8[Chapter List],FALSE)</f>
        <v>Evolution of Jainism and Buddhism</v>
      </c>
      <c r="D55" s="34" t="s">
        <v>789</v>
      </c>
      <c r="E55" s="34" t="s">
        <v>682</v>
      </c>
    </row>
    <row r="56" spans="1:5" x14ac:dyDescent="0.3">
      <c r="A56" s="32">
        <v>55</v>
      </c>
      <c r="B56" s="32" t="s">
        <v>65</v>
      </c>
      <c r="C56" s="32" t="str">
        <f>_xlfn.XLOOKUP(Table61011121314[[#This Row],[Category No]],Table8[Category No],Table8[Chapter List],FALSE)</f>
        <v>MahajanapCEa, Iranian &amp; Macedonian Invasion</v>
      </c>
      <c r="D56" s="34" t="s">
        <v>1003</v>
      </c>
      <c r="E56" s="34" t="s">
        <v>1004</v>
      </c>
    </row>
    <row r="57" spans="1:5" x14ac:dyDescent="0.3">
      <c r="A57" s="32">
        <v>56</v>
      </c>
      <c r="B57" s="32" t="s">
        <v>65</v>
      </c>
      <c r="C57" s="32" t="str">
        <f>_xlfn.XLOOKUP(Table61011121314[[#This Row],[Category No]],Table8[Category No],Table8[Chapter List],FALSE)</f>
        <v>MahajanapCEa, Iranian &amp; Macedonian Invasion</v>
      </c>
      <c r="D57" s="34" t="s">
        <v>1005</v>
      </c>
      <c r="E57" s="34" t="s">
        <v>1006</v>
      </c>
    </row>
    <row r="58" spans="1:5" ht="27.6" x14ac:dyDescent="0.3">
      <c r="A58" s="32">
        <v>57</v>
      </c>
      <c r="B58" s="32" t="s">
        <v>65</v>
      </c>
      <c r="C58" s="32" t="str">
        <f>_xlfn.XLOOKUP(Table61011121314[[#This Row],[Category No]],Table8[Category No],Table8[Chapter List],FALSE)</f>
        <v>MahajanapCEa, Iranian &amp; Macedonian Invasion</v>
      </c>
      <c r="D58" s="34" t="s">
        <v>1007</v>
      </c>
      <c r="E58" s="33" t="s">
        <v>1008</v>
      </c>
    </row>
    <row r="59" spans="1:5" x14ac:dyDescent="0.3">
      <c r="A59" s="32">
        <v>58</v>
      </c>
      <c r="B59" s="32" t="s">
        <v>65</v>
      </c>
      <c r="C59" s="32" t="str">
        <f>_xlfn.XLOOKUP(Table61011121314[[#This Row],[Category No]],Table8[Category No],Table8[Chapter List],FALSE)</f>
        <v>MahajanapCEa, Iranian &amp; Macedonian Invasion</v>
      </c>
      <c r="D59" s="34" t="s">
        <v>1009</v>
      </c>
      <c r="E59" s="34" t="s">
        <v>1010</v>
      </c>
    </row>
    <row r="60" spans="1:5" x14ac:dyDescent="0.3">
      <c r="A60" s="32">
        <v>59</v>
      </c>
      <c r="B60" s="32" t="s">
        <v>65</v>
      </c>
      <c r="C60" s="32" t="str">
        <f>_xlfn.XLOOKUP(Table61011121314[[#This Row],[Category No]],Table8[Category No],Table8[Chapter List],FALSE)</f>
        <v>MahajanapCEa, Iranian &amp; Macedonian Invasion</v>
      </c>
      <c r="D60" s="34" t="s">
        <v>1011</v>
      </c>
      <c r="E60" s="34" t="s">
        <v>1012</v>
      </c>
    </row>
    <row r="61" spans="1:5" x14ac:dyDescent="0.3">
      <c r="A61" s="32">
        <v>60</v>
      </c>
      <c r="B61" s="32" t="s">
        <v>65</v>
      </c>
      <c r="C61" s="32" t="str">
        <f>_xlfn.XLOOKUP(Table61011121314[[#This Row],[Category No]],Table8[Category No],Table8[Chapter List],FALSE)</f>
        <v>MahajanapCEa, Iranian &amp; Macedonian Invasion</v>
      </c>
      <c r="D61" s="34" t="s">
        <v>1013</v>
      </c>
      <c r="E61" s="34" t="s">
        <v>1014</v>
      </c>
    </row>
    <row r="62" spans="1:5" x14ac:dyDescent="0.3">
      <c r="A62" s="32">
        <v>61</v>
      </c>
      <c r="B62" s="32" t="s">
        <v>65</v>
      </c>
      <c r="C62" s="32" t="str">
        <f>_xlfn.XLOOKUP(Table61011121314[[#This Row],[Category No]],Table8[Category No],Table8[Chapter List],FALSE)</f>
        <v>MahajanapCEa, Iranian &amp; Macedonian Invasion</v>
      </c>
      <c r="D62" s="34" t="s">
        <v>1015</v>
      </c>
      <c r="E62" s="34" t="s">
        <v>777</v>
      </c>
    </row>
    <row r="63" spans="1:5" ht="41.4" x14ac:dyDescent="0.3">
      <c r="A63" s="32">
        <v>62</v>
      </c>
      <c r="B63" s="32" t="s">
        <v>65</v>
      </c>
      <c r="C63" s="32" t="str">
        <f>_xlfn.XLOOKUP(Table61011121314[[#This Row],[Category No]],Table8[Category No],Table8[Chapter List],FALSE)</f>
        <v>MahajanapCEa, Iranian &amp; Macedonian Invasion</v>
      </c>
      <c r="D63" s="34" t="s">
        <v>783</v>
      </c>
      <c r="E63" s="33" t="s">
        <v>1016</v>
      </c>
    </row>
    <row r="64" spans="1:5" x14ac:dyDescent="0.3">
      <c r="A64" s="32">
        <v>63</v>
      </c>
      <c r="B64" s="32" t="s">
        <v>65</v>
      </c>
      <c r="C64" s="32" t="str">
        <f>_xlfn.XLOOKUP(Table61011121314[[#This Row],[Category No]],Table8[Category No],Table8[Chapter List],FALSE)</f>
        <v>MahajanapCEa, Iranian &amp; Macedonian Invasion</v>
      </c>
      <c r="D64" s="34" t="s">
        <v>1017</v>
      </c>
      <c r="E64" s="34" t="s">
        <v>1018</v>
      </c>
    </row>
    <row r="65" spans="1:5" ht="27.6" x14ac:dyDescent="0.3">
      <c r="A65" s="32">
        <v>64</v>
      </c>
      <c r="B65" s="32" t="s">
        <v>65</v>
      </c>
      <c r="C65" s="32" t="str">
        <f>_xlfn.XLOOKUP(Table61011121314[[#This Row],[Category No]],Table8[Category No],Table8[Chapter List],FALSE)</f>
        <v>MahajanapCEa, Iranian &amp; Macedonian Invasion</v>
      </c>
      <c r="D65" s="34" t="s">
        <v>1019</v>
      </c>
      <c r="E65" s="33" t="s">
        <v>1020</v>
      </c>
    </row>
    <row r="66" spans="1:5" x14ac:dyDescent="0.3">
      <c r="A66" s="32">
        <v>65</v>
      </c>
      <c r="B66" s="32" t="s">
        <v>65</v>
      </c>
      <c r="C66" s="32" t="str">
        <f>_xlfn.XLOOKUP(Table61011121314[[#This Row],[Category No]],Table8[Category No],Table8[Chapter List],FALSE)</f>
        <v>MahajanapCEa, Iranian &amp; Macedonian Invasion</v>
      </c>
      <c r="D66" s="34" t="s">
        <v>1021</v>
      </c>
      <c r="E66" s="34" t="s">
        <v>1022</v>
      </c>
    </row>
    <row r="67" spans="1:5" x14ac:dyDescent="0.3">
      <c r="A67" s="32">
        <v>66</v>
      </c>
      <c r="B67" s="32" t="s">
        <v>65</v>
      </c>
      <c r="C67" s="32" t="str">
        <f>_xlfn.XLOOKUP(Table61011121314[[#This Row],[Category No]],Table8[Category No],Table8[Chapter List],FALSE)</f>
        <v>MahajanapCEa, Iranian &amp; Macedonian Invasion</v>
      </c>
      <c r="D67" s="34" t="s">
        <v>1023</v>
      </c>
      <c r="E67" s="34" t="s">
        <v>1024</v>
      </c>
    </row>
    <row r="68" spans="1:5" x14ac:dyDescent="0.3">
      <c r="A68" s="32">
        <v>67</v>
      </c>
      <c r="B68" s="32" t="s">
        <v>65</v>
      </c>
      <c r="C68" s="32" t="str">
        <f>_xlfn.XLOOKUP(Table61011121314[[#This Row],[Category No]],Table8[Category No],Table8[Chapter List],FALSE)</f>
        <v>MahajanapCEa, Iranian &amp; Macedonian Invasion</v>
      </c>
      <c r="D68" s="34" t="s">
        <v>1025</v>
      </c>
      <c r="E68" s="34" t="s">
        <v>1026</v>
      </c>
    </row>
    <row r="69" spans="1:5" x14ac:dyDescent="0.3">
      <c r="A69" s="32">
        <v>68</v>
      </c>
      <c r="B69" s="32" t="s">
        <v>65</v>
      </c>
      <c r="C69" s="32" t="str">
        <f>_xlfn.XLOOKUP(Table61011121314[[#This Row],[Category No]],Table8[Category No],Table8[Chapter List],FALSE)</f>
        <v>MahajanapCEa, Iranian &amp; Macedonian Invasion</v>
      </c>
      <c r="D69" s="34" t="s">
        <v>1027</v>
      </c>
      <c r="E69" s="34" t="s">
        <v>1028</v>
      </c>
    </row>
    <row r="70" spans="1:5" x14ac:dyDescent="0.3">
      <c r="A70" s="32">
        <v>69</v>
      </c>
      <c r="B70" s="32" t="s">
        <v>65</v>
      </c>
      <c r="C70" s="32" t="str">
        <f>_xlfn.XLOOKUP(Table61011121314[[#This Row],[Category No]],Table8[Category No],Table8[Chapter List],FALSE)</f>
        <v>MahajanapCEa, Iranian &amp; Macedonian Invasion</v>
      </c>
      <c r="D70" s="34" t="s">
        <v>1029</v>
      </c>
      <c r="E70" s="34" t="s">
        <v>788</v>
      </c>
    </row>
    <row r="71" spans="1:5" x14ac:dyDescent="0.3">
      <c r="A71" s="32">
        <v>70</v>
      </c>
      <c r="B71" s="32" t="s">
        <v>65</v>
      </c>
      <c r="C71" s="32" t="str">
        <f>_xlfn.XLOOKUP(Table61011121314[[#This Row],[Category No]],Table8[Category No],Table8[Chapter List],FALSE)</f>
        <v>MahajanapCEa, Iranian &amp; Macedonian Invasion</v>
      </c>
      <c r="D71" s="34" t="s">
        <v>1030</v>
      </c>
      <c r="E71" s="34" t="s">
        <v>1031</v>
      </c>
    </row>
    <row r="72" spans="1:5" x14ac:dyDescent="0.3">
      <c r="A72" s="32">
        <v>71</v>
      </c>
      <c r="B72" s="32" t="s">
        <v>65</v>
      </c>
      <c r="C72" s="32" t="str">
        <f>_xlfn.XLOOKUP(Table61011121314[[#This Row],[Category No]],Table8[Category No],Table8[Chapter List],FALSE)</f>
        <v>MahajanapCEa, Iranian &amp; Macedonian Invasion</v>
      </c>
      <c r="D72" s="34" t="s">
        <v>1067</v>
      </c>
      <c r="E72" s="34"/>
    </row>
    <row r="73" spans="1:5" x14ac:dyDescent="0.3">
      <c r="A73" s="32">
        <v>72</v>
      </c>
      <c r="B73" s="32" t="s">
        <v>65</v>
      </c>
      <c r="C73" s="32" t="str">
        <f>_xlfn.XLOOKUP(Table61011121314[[#This Row],[Category No]],Table8[Category No],Table8[Chapter List],FALSE)</f>
        <v>MahajanapCEa, Iranian &amp; Macedonian Invasion</v>
      </c>
      <c r="D73" s="34" t="s">
        <v>1068</v>
      </c>
      <c r="E73" s="34"/>
    </row>
    <row r="74" spans="1:5" x14ac:dyDescent="0.3">
      <c r="A74" s="32">
        <v>73</v>
      </c>
      <c r="B74" s="32" t="s">
        <v>65</v>
      </c>
      <c r="C74" s="32" t="str">
        <f>_xlfn.XLOOKUP(Table61011121314[[#This Row],[Category No]],Table8[Category No],Table8[Chapter List],FALSE)</f>
        <v>MahajanapCEa, Iranian &amp; Macedonian Invasion</v>
      </c>
      <c r="D74" s="34" t="s">
        <v>1069</v>
      </c>
      <c r="E74" s="34" t="s">
        <v>1070</v>
      </c>
    </row>
    <row r="75" spans="1:5" x14ac:dyDescent="0.3">
      <c r="A75" s="32">
        <v>74</v>
      </c>
      <c r="B75" s="32" t="s">
        <v>65</v>
      </c>
      <c r="C75" s="32" t="str">
        <f>_xlfn.XLOOKUP(Table61011121314[[#This Row],[Category No]],Table8[Category No],Table8[Chapter List],FALSE)</f>
        <v>MahajanapCEa, Iranian &amp; Macedonian Invasion</v>
      </c>
      <c r="D75" s="34" t="s">
        <v>1071</v>
      </c>
      <c r="E75" s="34"/>
    </row>
    <row r="76" spans="1:5" x14ac:dyDescent="0.3">
      <c r="A76" s="32">
        <v>75</v>
      </c>
      <c r="B76" s="32" t="s">
        <v>65</v>
      </c>
      <c r="C76" s="32" t="str">
        <f>_xlfn.XLOOKUP(Table61011121314[[#This Row],[Category No]],Table8[Category No],Table8[Chapter List],FALSE)</f>
        <v>MahajanapCEa, Iranian &amp; Macedonian Invasion</v>
      </c>
      <c r="D76" s="34" t="s">
        <v>1072</v>
      </c>
      <c r="E76" s="34"/>
    </row>
    <row r="77" spans="1:5" x14ac:dyDescent="0.3">
      <c r="A77" s="32">
        <v>76</v>
      </c>
      <c r="B77" s="32" t="s">
        <v>66</v>
      </c>
      <c r="C77" s="32" t="str">
        <f>_xlfn.XLOOKUP(Table61011121314[[#This Row],[Category No]],Table8[Category No],Table8[Chapter List],FALSE)</f>
        <v>The Mauryan Empire</v>
      </c>
      <c r="D77" s="34" t="s">
        <v>1186</v>
      </c>
      <c r="E77" s="34"/>
    </row>
    <row r="78" spans="1:5" x14ac:dyDescent="0.3">
      <c r="A78" s="32">
        <v>77</v>
      </c>
      <c r="B78" s="32" t="s">
        <v>66</v>
      </c>
      <c r="C78" s="32" t="str">
        <f>_xlfn.XLOOKUP(Table61011121314[[#This Row],[Category No]],Table8[Category No],Table8[Chapter List],FALSE)</f>
        <v>The Mauryan Empire</v>
      </c>
      <c r="D78" s="34" t="s">
        <v>1067</v>
      </c>
      <c r="E78" s="34"/>
    </row>
    <row r="79" spans="1:5" x14ac:dyDescent="0.3">
      <c r="A79" s="32">
        <v>78</v>
      </c>
      <c r="B79" s="32" t="s">
        <v>66</v>
      </c>
      <c r="C79" s="32" t="str">
        <f>_xlfn.XLOOKUP(Table61011121314[[#This Row],[Category No]],Table8[Category No],Table8[Chapter List],FALSE)</f>
        <v>The Mauryan Empire</v>
      </c>
      <c r="D79" s="34" t="s">
        <v>1187</v>
      </c>
      <c r="E79" s="34"/>
    </row>
    <row r="80" spans="1:5" x14ac:dyDescent="0.3">
      <c r="A80" s="32">
        <v>79</v>
      </c>
      <c r="B80" s="32" t="s">
        <v>66</v>
      </c>
      <c r="C80" s="32" t="str">
        <f>_xlfn.XLOOKUP(Table61011121314[[#This Row],[Category No]],Table8[Category No],Table8[Chapter List],FALSE)</f>
        <v>The Mauryan Empire</v>
      </c>
      <c r="D80" s="34" t="s">
        <v>1188</v>
      </c>
      <c r="E80" s="34"/>
    </row>
    <row r="81" spans="1:6" x14ac:dyDescent="0.3">
      <c r="A81" s="32">
        <v>80</v>
      </c>
      <c r="B81" s="32" t="s">
        <v>66</v>
      </c>
      <c r="C81" s="32" t="str">
        <f>_xlfn.XLOOKUP(Table61011121314[[#This Row],[Category No]],Table8[Category No],Table8[Chapter List],FALSE)</f>
        <v>The Mauryan Empire</v>
      </c>
      <c r="D81" s="34" t="s">
        <v>1067</v>
      </c>
      <c r="E81" s="34" t="s">
        <v>1189</v>
      </c>
    </row>
    <row r="82" spans="1:6" x14ac:dyDescent="0.3">
      <c r="A82" s="32">
        <v>81</v>
      </c>
      <c r="B82" s="32" t="s">
        <v>66</v>
      </c>
      <c r="C82" s="32" t="str">
        <f>_xlfn.XLOOKUP(Table61011121314[[#This Row],[Category No]],Table8[Category No],Table8[Chapter List],FALSE)</f>
        <v>The Mauryan Empire</v>
      </c>
      <c r="D82" s="34" t="s">
        <v>1190</v>
      </c>
      <c r="E82" s="34" t="s">
        <v>1191</v>
      </c>
    </row>
    <row r="83" spans="1:6" x14ac:dyDescent="0.3">
      <c r="A83" s="32">
        <v>82</v>
      </c>
      <c r="B83" s="32" t="s">
        <v>66</v>
      </c>
      <c r="C83" s="32" t="str">
        <f>_xlfn.XLOOKUP(Table61011121314[[#This Row],[Category No]],Table8[Category No],Table8[Chapter List],FALSE)</f>
        <v>The Mauryan Empire</v>
      </c>
      <c r="D83" s="34" t="s">
        <v>1187</v>
      </c>
      <c r="E83" s="34" t="s">
        <v>1192</v>
      </c>
    </row>
    <row r="84" spans="1:6" x14ac:dyDescent="0.3">
      <c r="A84" s="32">
        <v>83</v>
      </c>
      <c r="B84" s="32" t="s">
        <v>66</v>
      </c>
      <c r="C84" s="32" t="str">
        <f>_xlfn.XLOOKUP(Table61011121314[[#This Row],[Category No]],Table8[Category No],Table8[Chapter List],FALSE)</f>
        <v>The Mauryan Empire</v>
      </c>
      <c r="D84" s="34" t="s">
        <v>1193</v>
      </c>
      <c r="E84" s="34" t="s">
        <v>1194</v>
      </c>
    </row>
    <row r="85" spans="1:6" x14ac:dyDescent="0.3">
      <c r="A85" s="32">
        <v>84</v>
      </c>
      <c r="B85" s="32" t="s">
        <v>66</v>
      </c>
      <c r="C85" s="32" t="str">
        <f>_xlfn.XLOOKUP(Table61011121314[[#This Row],[Category No]],Table8[Category No],Table8[Chapter List],FALSE)</f>
        <v>The Mauryan Empire</v>
      </c>
      <c r="D85" s="34" t="s">
        <v>765</v>
      </c>
      <c r="E85" s="34" t="s">
        <v>1195</v>
      </c>
    </row>
    <row r="86" spans="1:6" x14ac:dyDescent="0.3">
      <c r="A86" s="32">
        <v>85</v>
      </c>
      <c r="B86" s="32" t="s">
        <v>66</v>
      </c>
      <c r="C86" s="32" t="str">
        <f>_xlfn.XLOOKUP(Table61011121314[[#This Row],[Category No]],Table8[Category No],Table8[Chapter List],FALSE)</f>
        <v>The Mauryan Empire</v>
      </c>
      <c r="D86" s="34" t="s">
        <v>1196</v>
      </c>
      <c r="E86" s="34"/>
    </row>
    <row r="87" spans="1:6" x14ac:dyDescent="0.3">
      <c r="A87" s="32">
        <v>86</v>
      </c>
      <c r="B87" s="32" t="s">
        <v>67</v>
      </c>
      <c r="C87" s="32" t="str">
        <f>_xlfn.XLOOKUP(Table61011121314[[#This Row],[Category No]],Table8[Category No],Table8[Chapter List],FALSE)</f>
        <v>Post-Mauryan India (200 BC - 300 CE)</v>
      </c>
      <c r="D87" s="34" t="s">
        <v>765</v>
      </c>
      <c r="E87" s="34" t="s">
        <v>1255</v>
      </c>
      <c r="F87" s="57" t="s">
        <v>1215</v>
      </c>
    </row>
    <row r="88" spans="1:6" x14ac:dyDescent="0.3">
      <c r="A88" s="32">
        <v>87</v>
      </c>
      <c r="B88" s="32" t="s">
        <v>67</v>
      </c>
      <c r="C88" s="32" t="str">
        <f>_xlfn.XLOOKUP(Table61011121314[[#This Row],[Category No]],Table8[Category No],Table8[Chapter List],FALSE)</f>
        <v>Post-Mauryan India (200 BC - 300 CE)</v>
      </c>
      <c r="D88" s="34" t="s">
        <v>1256</v>
      </c>
      <c r="E88" s="34" t="s">
        <v>1257</v>
      </c>
      <c r="F88" s="57"/>
    </row>
    <row r="89" spans="1:6" x14ac:dyDescent="0.3">
      <c r="A89" s="32">
        <v>88</v>
      </c>
      <c r="B89" s="32" t="s">
        <v>67</v>
      </c>
      <c r="C89" s="32" t="str">
        <f>_xlfn.XLOOKUP(Table61011121314[[#This Row],[Category No]],Table8[Category No],Table8[Chapter List],FALSE)</f>
        <v>Post-Mauryan India (200 BC - 300 CE)</v>
      </c>
      <c r="D89" s="34" t="s">
        <v>1258</v>
      </c>
      <c r="E89" s="34"/>
      <c r="F89" s="57"/>
    </row>
    <row r="90" spans="1:6" x14ac:dyDescent="0.3">
      <c r="A90" s="32">
        <v>89</v>
      </c>
      <c r="B90" s="32" t="s">
        <v>67</v>
      </c>
      <c r="C90" s="32" t="str">
        <f>_xlfn.XLOOKUP(Table61011121314[[#This Row],[Category No]],Table8[Category No],Table8[Chapter List],FALSE)</f>
        <v>Post-Mauryan India (200 BC - 300 CE)</v>
      </c>
      <c r="D90" s="34" t="s">
        <v>1277</v>
      </c>
      <c r="E90" s="34" t="s">
        <v>1278</v>
      </c>
      <c r="F90" s="57" t="s">
        <v>1217</v>
      </c>
    </row>
    <row r="91" spans="1:6" x14ac:dyDescent="0.3">
      <c r="A91" s="32">
        <v>90</v>
      </c>
      <c r="B91" s="32" t="s">
        <v>67</v>
      </c>
      <c r="C91" s="32" t="str">
        <f>_xlfn.XLOOKUP(Table61011121314[[#This Row],[Category No]],Table8[Category No],Table8[Chapter List],FALSE)</f>
        <v>Post-Mauryan India (200 BC - 300 CE)</v>
      </c>
      <c r="D91" s="34" t="s">
        <v>1279</v>
      </c>
      <c r="E91" s="34"/>
      <c r="F91" s="57"/>
    </row>
    <row r="92" spans="1:6" x14ac:dyDescent="0.3">
      <c r="A92" s="32">
        <v>91</v>
      </c>
      <c r="B92" s="32" t="s">
        <v>67</v>
      </c>
      <c r="C92" s="32" t="str">
        <f>_xlfn.XLOOKUP(Table61011121314[[#This Row],[Category No]],Table8[Category No],Table8[Chapter List],FALSE)</f>
        <v>Post-Mauryan India (200 BC - 300 CE)</v>
      </c>
      <c r="D92" s="34" t="s">
        <v>1303</v>
      </c>
      <c r="E92" s="34"/>
      <c r="F92" s="57" t="s">
        <v>1218</v>
      </c>
    </row>
    <row r="93" spans="1:6" x14ac:dyDescent="0.3">
      <c r="A93" s="32">
        <v>92</v>
      </c>
      <c r="B93" s="32" t="s">
        <v>67</v>
      </c>
      <c r="C93" s="32" t="str">
        <f>_xlfn.XLOOKUP(Table61011121314[[#This Row],[Category No]],Table8[Category No],Table8[Chapter List],FALSE)</f>
        <v>Post-Mauryan India (200 BC - 300 CE)</v>
      </c>
      <c r="D93" s="34" t="s">
        <v>1304</v>
      </c>
      <c r="E93" s="34"/>
      <c r="F93" s="57"/>
    </row>
    <row r="94" spans="1:6" x14ac:dyDescent="0.3">
      <c r="A94" s="32">
        <v>93</v>
      </c>
      <c r="B94" s="32" t="s">
        <v>67</v>
      </c>
      <c r="C94" s="32" t="str">
        <f>_xlfn.XLOOKUP(Table61011121314[[#This Row],[Category No]],Table8[Category No],Table8[Chapter List],FALSE)</f>
        <v>Post-Mauryan India (200 BC - 300 CE)</v>
      </c>
      <c r="D94" s="34" t="s">
        <v>1326</v>
      </c>
      <c r="E94" s="34" t="s">
        <v>1329</v>
      </c>
      <c r="F94" s="57" t="s">
        <v>1219</v>
      </c>
    </row>
    <row r="95" spans="1:6" x14ac:dyDescent="0.3">
      <c r="A95" s="32">
        <v>94</v>
      </c>
      <c r="B95" s="32" t="s">
        <v>67</v>
      </c>
      <c r="C95" s="32" t="str">
        <f>_xlfn.XLOOKUP(Table61011121314[[#This Row],[Category No]],Table8[Category No],Table8[Chapter List],FALSE)</f>
        <v>Post-Mauryan India (200 BC - 300 CE)</v>
      </c>
      <c r="D95" s="34" t="s">
        <v>1327</v>
      </c>
      <c r="E95" s="34" t="s">
        <v>1330</v>
      </c>
      <c r="F95" s="57"/>
    </row>
    <row r="96" spans="1:6" x14ac:dyDescent="0.3">
      <c r="A96" s="32">
        <v>95</v>
      </c>
      <c r="B96" s="32" t="s">
        <v>67</v>
      </c>
      <c r="C96" s="32" t="str">
        <f>_xlfn.XLOOKUP(Table61011121314[[#This Row],[Category No]],Table8[Category No],Table8[Chapter List],FALSE)</f>
        <v>Post-Mauryan India (200 BC - 300 CE)</v>
      </c>
      <c r="D96" s="34" t="s">
        <v>1328</v>
      </c>
      <c r="E96" s="34" t="s">
        <v>1331</v>
      </c>
      <c r="F96" s="57"/>
    </row>
    <row r="97" spans="1:6" x14ac:dyDescent="0.3">
      <c r="A97" s="32">
        <v>96</v>
      </c>
      <c r="B97" s="32" t="s">
        <v>67</v>
      </c>
      <c r="C97" s="32" t="str">
        <f>_xlfn.XLOOKUP(Table61011121314[[#This Row],[Category No]],Table8[Category No],Table8[Chapter List],FALSE)</f>
        <v>Post-Mauryan India (200 BC - 300 CE)</v>
      </c>
      <c r="D97" s="34" t="s">
        <v>1332</v>
      </c>
      <c r="E97" s="34"/>
      <c r="F97" s="57"/>
    </row>
    <row r="98" spans="1:6" x14ac:dyDescent="0.3">
      <c r="A98" s="32">
        <v>97</v>
      </c>
      <c r="B98" s="32" t="s">
        <v>67</v>
      </c>
      <c r="C98" s="32" t="str">
        <f>_xlfn.XLOOKUP(Table61011121314[[#This Row],[Category No]],Table8[Category No],Table8[Chapter List],FALSE)</f>
        <v>Post-Mauryan India (200 BC - 300 CE)</v>
      </c>
      <c r="D98" s="34" t="s">
        <v>1333</v>
      </c>
      <c r="E98" s="34"/>
      <c r="F98" s="57"/>
    </row>
    <row r="99" spans="1:6" x14ac:dyDescent="0.3">
      <c r="A99" s="32">
        <v>98</v>
      </c>
      <c r="B99" s="32" t="s">
        <v>67</v>
      </c>
      <c r="C99" s="32" t="str">
        <f>_xlfn.XLOOKUP(Table61011121314[[#This Row],[Category No]],Table8[Category No],Table8[Chapter List],FALSE)</f>
        <v>Post-Mauryan India (200 BC - 300 CE)</v>
      </c>
      <c r="D99" s="34" t="s">
        <v>1334</v>
      </c>
      <c r="E99" s="34"/>
      <c r="F99" s="57"/>
    </row>
    <row r="100" spans="1:6" x14ac:dyDescent="0.3">
      <c r="A100" s="32">
        <v>99</v>
      </c>
      <c r="B100" s="32" t="s">
        <v>67</v>
      </c>
      <c r="C100" s="32" t="str">
        <f>_xlfn.XLOOKUP(Table61011121314[[#This Row],[Category No]],Table8[Category No],Table8[Chapter List],FALSE)</f>
        <v>Post-Mauryan India (200 BC - 300 CE)</v>
      </c>
      <c r="D100" s="34" t="s">
        <v>1367</v>
      </c>
      <c r="E100" s="34" t="s">
        <v>1368</v>
      </c>
      <c r="F100" s="57" t="s">
        <v>1220</v>
      </c>
    </row>
    <row r="101" spans="1:6" x14ac:dyDescent="0.3">
      <c r="A101" s="32">
        <v>100</v>
      </c>
      <c r="B101" s="32" t="s">
        <v>67</v>
      </c>
      <c r="C101" s="32" t="str">
        <f>_xlfn.XLOOKUP(Table61011121314[[#This Row],[Category No]],Table8[Category No],Table8[Chapter List],FALSE)</f>
        <v>Post-Mauryan India (200 BC - 300 CE)</v>
      </c>
      <c r="D101" s="34" t="s">
        <v>1369</v>
      </c>
      <c r="E101" s="34" t="s">
        <v>1370</v>
      </c>
      <c r="F101" s="57"/>
    </row>
    <row r="102" spans="1:6" x14ac:dyDescent="0.3">
      <c r="A102" s="32">
        <v>101</v>
      </c>
      <c r="B102" s="32" t="s">
        <v>67</v>
      </c>
      <c r="C102" s="32" t="str">
        <f>_xlfn.XLOOKUP(Table61011121314[[#This Row],[Category No]],Table8[Category No],Table8[Chapter List],FALSE)</f>
        <v>Post-Mauryan India (200 BC - 300 CE)</v>
      </c>
      <c r="D102" s="34" t="s">
        <v>1371</v>
      </c>
      <c r="E102" s="34" t="s">
        <v>1373</v>
      </c>
      <c r="F102" s="57"/>
    </row>
    <row r="103" spans="1:6" x14ac:dyDescent="0.3">
      <c r="A103" s="32">
        <v>102</v>
      </c>
      <c r="B103" s="32" t="s">
        <v>67</v>
      </c>
      <c r="C103" s="32" t="str">
        <f>_xlfn.XLOOKUP(Table61011121314[[#This Row],[Category No]],Table8[Category No],Table8[Chapter List],FALSE)</f>
        <v>Post-Mauryan India (200 BC - 300 CE)</v>
      </c>
      <c r="D103" s="34" t="s">
        <v>1372</v>
      </c>
      <c r="E103" s="34" t="s">
        <v>1373</v>
      </c>
      <c r="F103" s="57"/>
    </row>
    <row r="104" spans="1:6" x14ac:dyDescent="0.3">
      <c r="A104" s="32">
        <v>103</v>
      </c>
      <c r="B104" s="32" t="s">
        <v>67</v>
      </c>
      <c r="C104" s="32" t="str">
        <f>_xlfn.XLOOKUP(Table61011121314[[#This Row],[Category No]],Table8[Category No],Table8[Chapter List],FALSE)</f>
        <v>Post-Mauryan India (200 BC - 300 CE)</v>
      </c>
      <c r="D104" s="34" t="s">
        <v>1418</v>
      </c>
      <c r="E104" s="34" t="s">
        <v>1419</v>
      </c>
      <c r="F104" s="57"/>
    </row>
    <row r="105" spans="1:6" x14ac:dyDescent="0.3">
      <c r="A105" s="32">
        <v>104</v>
      </c>
      <c r="B105" s="32" t="s">
        <v>67</v>
      </c>
      <c r="C105" s="32" t="str">
        <f>_xlfn.XLOOKUP(Table61011121314[[#This Row],[Category No]],Table8[Category No],Table8[Chapter List],FALSE)</f>
        <v>Post-Mauryan India (200 BC - 300 CE)</v>
      </c>
      <c r="D105" s="34" t="s">
        <v>1420</v>
      </c>
      <c r="E105" s="34" t="s">
        <v>1421</v>
      </c>
      <c r="F105" s="57"/>
    </row>
    <row r="106" spans="1:6" x14ac:dyDescent="0.3">
      <c r="A106" s="32">
        <v>105</v>
      </c>
      <c r="B106" s="32" t="s">
        <v>68</v>
      </c>
      <c r="C106" s="32" t="str">
        <f>_xlfn.XLOOKUP(Table61011121314[[#This Row],[Category No]],Table8[Category No],Table8[Chapter List],FALSE)</f>
        <v>Sangam Period (South Indian Dynasties)</v>
      </c>
      <c r="D106" s="34" t="s">
        <v>1446</v>
      </c>
      <c r="E106" s="34" t="s">
        <v>1447</v>
      </c>
    </row>
    <row r="107" spans="1:6" x14ac:dyDescent="0.3">
      <c r="A107" s="32">
        <v>106</v>
      </c>
      <c r="B107" s="32" t="s">
        <v>68</v>
      </c>
      <c r="C107" s="32" t="str">
        <f>_xlfn.XLOOKUP(Table61011121314[[#This Row],[Category No]],Table8[Category No],Table8[Chapter List],FALSE)</f>
        <v>Sangam Period (South Indian Dynasties)</v>
      </c>
      <c r="D107" s="34" t="s">
        <v>1512</v>
      </c>
      <c r="E107" s="34" t="s">
        <v>1454</v>
      </c>
    </row>
    <row r="108" spans="1:6" x14ac:dyDescent="0.3">
      <c r="A108" s="32">
        <v>107</v>
      </c>
      <c r="B108" s="32" t="s">
        <v>68</v>
      </c>
      <c r="C108" s="32" t="str">
        <f>_xlfn.XLOOKUP(Table61011121314[[#This Row],[Category No]],Table8[Category No],Table8[Chapter List],FALSE)</f>
        <v>Sangam Period (South Indian Dynasties)</v>
      </c>
      <c r="D108" s="34" t="s">
        <v>1513</v>
      </c>
      <c r="E108" s="34" t="s">
        <v>1455</v>
      </c>
    </row>
    <row r="109" spans="1:6" x14ac:dyDescent="0.3">
      <c r="A109" s="32">
        <v>108</v>
      </c>
      <c r="B109" s="32" t="s">
        <v>68</v>
      </c>
      <c r="C109" s="32" t="str">
        <f>_xlfn.XLOOKUP(Table61011121314[[#This Row],[Category No]],Table8[Category No],Table8[Chapter List],FALSE)</f>
        <v>Sangam Period (South Indian Dynasties)</v>
      </c>
      <c r="D109" s="34" t="s">
        <v>1449</v>
      </c>
      <c r="E109" s="34" t="s">
        <v>1509</v>
      </c>
    </row>
    <row r="110" spans="1:6" ht="27.6" x14ac:dyDescent="0.3">
      <c r="A110" s="32">
        <v>109</v>
      </c>
      <c r="B110" s="32" t="s">
        <v>68</v>
      </c>
      <c r="C110" s="32" t="str">
        <f>_xlfn.XLOOKUP(Table61011121314[[#This Row],[Category No]],Table8[Category No],Table8[Chapter List],FALSE)</f>
        <v>Sangam Period (South Indian Dynasties)</v>
      </c>
      <c r="D110" s="33" t="s">
        <v>1508</v>
      </c>
      <c r="E110" s="34" t="s">
        <v>1452</v>
      </c>
    </row>
    <row r="111" spans="1:6" ht="27.6" x14ac:dyDescent="0.3">
      <c r="A111" s="32">
        <v>110</v>
      </c>
      <c r="B111" s="32" t="s">
        <v>68</v>
      </c>
      <c r="C111" s="32" t="str">
        <f>_xlfn.XLOOKUP(Table61011121314[[#This Row],[Category No]],Table8[Category No],Table8[Chapter List],FALSE)</f>
        <v>Sangam Period (South Indian Dynasties)</v>
      </c>
      <c r="D111" s="33" t="s">
        <v>1453</v>
      </c>
      <c r="E111" s="34" t="s">
        <v>1448</v>
      </c>
    </row>
    <row r="112" spans="1:6" ht="27.6" x14ac:dyDescent="0.3">
      <c r="A112" s="32">
        <v>111</v>
      </c>
      <c r="B112" s="32" t="s">
        <v>68</v>
      </c>
      <c r="C112" s="32" t="str">
        <f>_xlfn.XLOOKUP(Table61011121314[[#This Row],[Category No]],Table8[Category No],Table8[Chapter List],FALSE)</f>
        <v>Sangam Period (South Indian Dynasties)</v>
      </c>
      <c r="D112" s="33" t="s">
        <v>1511</v>
      </c>
      <c r="E112" s="34" t="s">
        <v>1510</v>
      </c>
    </row>
    <row r="113" spans="1:5" x14ac:dyDescent="0.3">
      <c r="A113" s="32">
        <v>112</v>
      </c>
      <c r="B113" s="32" t="s">
        <v>68</v>
      </c>
      <c r="C113" s="32" t="str">
        <f>_xlfn.XLOOKUP(Table61011121314[[#This Row],[Category No]],Table8[Category No],Table8[Chapter List],FALSE)</f>
        <v>Sangam Period (South Indian Dynasties)</v>
      </c>
      <c r="D113" s="34" t="s">
        <v>1504</v>
      </c>
      <c r="E113" s="34" t="s">
        <v>1505</v>
      </c>
    </row>
    <row r="114" spans="1:5" x14ac:dyDescent="0.3">
      <c r="A114" s="32">
        <v>113</v>
      </c>
      <c r="B114" s="32" t="s">
        <v>68</v>
      </c>
      <c r="C114" s="32" t="str">
        <f>_xlfn.XLOOKUP(Table61011121314[[#This Row],[Category No]],Table8[Category No],Table8[Chapter List],FALSE)</f>
        <v>Sangam Period (South Indian Dynasties)</v>
      </c>
      <c r="D114" s="34" t="s">
        <v>1506</v>
      </c>
      <c r="E114" s="34" t="s">
        <v>1505</v>
      </c>
    </row>
    <row r="115" spans="1:5" x14ac:dyDescent="0.3">
      <c r="A115" s="32">
        <v>114</v>
      </c>
      <c r="B115" s="32" t="s">
        <v>68</v>
      </c>
      <c r="C115" s="32" t="str">
        <f>_xlfn.XLOOKUP(Table61011121314[[#This Row],[Category No]],Table8[Category No],Table8[Chapter List],FALSE)</f>
        <v>Sangam Period (South Indian Dynasties)</v>
      </c>
      <c r="D115" s="34" t="s">
        <v>1521</v>
      </c>
      <c r="E115" s="34" t="s">
        <v>1507</v>
      </c>
    </row>
    <row r="116" spans="1:5" x14ac:dyDescent="0.3">
      <c r="A116" s="32">
        <v>115</v>
      </c>
      <c r="B116" s="32" t="s">
        <v>69</v>
      </c>
      <c r="C116" s="32" t="str">
        <f>_xlfn.XLOOKUP(Table61011121314[[#This Row],[Category No]],Table8[Category No],Table8[Chapter List],FALSE)</f>
        <v>Imperial Guptas &amp; Vakataks, Post Gupta Empire</v>
      </c>
      <c r="D116" s="34" t="s">
        <v>1733</v>
      </c>
      <c r="E116" s="34" t="s">
        <v>1734</v>
      </c>
    </row>
    <row r="117" spans="1:5" x14ac:dyDescent="0.3">
      <c r="A117" s="32">
        <v>116</v>
      </c>
      <c r="B117" s="32" t="s">
        <v>69</v>
      </c>
      <c r="C117" s="32" t="str">
        <f>_xlfn.XLOOKUP(Table61011121314[[#This Row],[Category No]],Table8[Category No],Table8[Chapter List],FALSE)</f>
        <v>Imperial Guptas &amp; Vakataks, Post Gupta Empire</v>
      </c>
      <c r="D117" s="34" t="s">
        <v>1736</v>
      </c>
      <c r="E117" s="34" t="s">
        <v>1737</v>
      </c>
    </row>
    <row r="118" spans="1:5" x14ac:dyDescent="0.3">
      <c r="A118" s="32">
        <v>117</v>
      </c>
      <c r="B118" s="32" t="s">
        <v>69</v>
      </c>
      <c r="C118" s="32" t="str">
        <f>_xlfn.XLOOKUP(Table61011121314[[#This Row],[Category No]],Table8[Category No],Table8[Chapter List],FALSE)</f>
        <v>Imperial Guptas &amp; Vakataks, Post Gupta Empire</v>
      </c>
      <c r="D118" s="34" t="s">
        <v>1738</v>
      </c>
      <c r="E118" s="34" t="s">
        <v>1739</v>
      </c>
    </row>
    <row r="119" spans="1:5" x14ac:dyDescent="0.3">
      <c r="A119" s="32">
        <v>118</v>
      </c>
      <c r="B119" s="32" t="s">
        <v>69</v>
      </c>
      <c r="C119" s="32" t="str">
        <f>_xlfn.XLOOKUP(Table61011121314[[#This Row],[Category No]],Table8[Category No],Table8[Chapter List],FALSE)</f>
        <v>Imperial Guptas &amp; Vakataks, Post Gupta Empire</v>
      </c>
      <c r="D119" s="34" t="s">
        <v>1740</v>
      </c>
      <c r="E119" s="34" t="s">
        <v>1741</v>
      </c>
    </row>
    <row r="120" spans="1:5" x14ac:dyDescent="0.3">
      <c r="A120" s="32">
        <v>119</v>
      </c>
      <c r="B120" s="32" t="s">
        <v>69</v>
      </c>
      <c r="C120" s="32" t="str">
        <f>_xlfn.XLOOKUP(Table61011121314[[#This Row],[Category No]],Table8[Category No],Table8[Chapter List],FALSE)</f>
        <v>Imperial Guptas &amp; Vakataks, Post Gupta Empire</v>
      </c>
      <c r="D120" s="34" t="s">
        <v>1809</v>
      </c>
      <c r="E120" s="34" t="s">
        <v>1810</v>
      </c>
    </row>
    <row r="121" spans="1:5" x14ac:dyDescent="0.3">
      <c r="A121" s="32">
        <v>120</v>
      </c>
      <c r="B121" s="32" t="s">
        <v>69</v>
      </c>
      <c r="C121" s="32" t="str">
        <f>_xlfn.XLOOKUP(Table61011121314[[#This Row],[Category No]],Table8[Category No],Table8[Chapter List],FALSE)</f>
        <v>Imperial Guptas &amp; Vakataks, Post Gupta Empire</v>
      </c>
      <c r="D121" s="34" t="s">
        <v>1815</v>
      </c>
      <c r="E121" s="34" t="s">
        <v>1816</v>
      </c>
    </row>
    <row r="122" spans="1:5" ht="110.4" x14ac:dyDescent="0.3">
      <c r="A122" s="32">
        <v>121</v>
      </c>
      <c r="B122" s="32" t="s">
        <v>69</v>
      </c>
      <c r="C122" s="32" t="str">
        <f>_xlfn.XLOOKUP(Table61011121314[[#This Row],[Category No]],Table8[Category No],Table8[Chapter List],FALSE)</f>
        <v>Imperial Guptas &amp; Vakataks, Post Gupta Empire</v>
      </c>
      <c r="D122" s="33" t="s">
        <v>1855</v>
      </c>
      <c r="E122" s="34"/>
    </row>
    <row r="123" spans="1:5" x14ac:dyDescent="0.3">
      <c r="A123" s="32">
        <v>122</v>
      </c>
      <c r="B123" s="32" t="s">
        <v>70</v>
      </c>
      <c r="C123" s="32" t="str">
        <f>_xlfn.XLOOKUP(Table61011121314[[#This Row],[Category No]],Table8[Category No],Table8[Chapter List],FALSE)</f>
        <v>Harshavardhana/ Vardhan Dynasty/ Pushyabhuti Dynasty</v>
      </c>
      <c r="D123" s="34" t="s">
        <v>1913</v>
      </c>
      <c r="E123" s="34" t="s">
        <v>1914</v>
      </c>
    </row>
    <row r="124" spans="1:5" x14ac:dyDescent="0.3">
      <c r="A124" s="32">
        <v>123</v>
      </c>
      <c r="B124" s="32" t="s">
        <v>70</v>
      </c>
      <c r="C124" s="32" t="str">
        <f>_xlfn.XLOOKUP(Table61011121314[[#This Row],[Category No]],Table8[Category No],Table8[Chapter List],FALSE)</f>
        <v>Harshavardhana/ Vardhan Dynasty/ Pushyabhuti Dynasty</v>
      </c>
      <c r="D124" s="34" t="s">
        <v>1738</v>
      </c>
      <c r="E124" s="34" t="s">
        <v>1915</v>
      </c>
    </row>
    <row r="125" spans="1:5" x14ac:dyDescent="0.3">
      <c r="A125" s="32">
        <v>124</v>
      </c>
      <c r="B125" s="42" t="s">
        <v>74</v>
      </c>
      <c r="C125" s="32" t="str">
        <f>_xlfn.XLOOKUP(Table61011121314[[#This Row],[Category No]],Table8[Category No],Table8[Chapter List],FALSE)</f>
        <v>Early Medieval India's Major Dynasties Part 1 - (550 - 750)CE</v>
      </c>
      <c r="D125" s="34" t="s">
        <v>1998</v>
      </c>
      <c r="E125" s="34" t="s">
        <v>1999</v>
      </c>
    </row>
    <row r="126" spans="1:5" x14ac:dyDescent="0.3">
      <c r="A126" s="32">
        <v>125</v>
      </c>
      <c r="B126" s="42" t="s">
        <v>74</v>
      </c>
      <c r="C126" s="32" t="str">
        <f>_xlfn.XLOOKUP(Table61011121314[[#This Row],[Category No]],Table8[Category No],Table8[Chapter List],FALSE)</f>
        <v>Early Medieval India's Major Dynasties Part 1 - (550 - 750)CE</v>
      </c>
      <c r="D126" s="34" t="s">
        <v>2000</v>
      </c>
      <c r="E126" s="34" t="s">
        <v>1999</v>
      </c>
    </row>
    <row r="127" spans="1:5" x14ac:dyDescent="0.3">
      <c r="A127" s="32">
        <v>126</v>
      </c>
      <c r="B127" s="42" t="s">
        <v>74</v>
      </c>
      <c r="C127" s="32" t="str">
        <f>_xlfn.XLOOKUP(Table61011121314[[#This Row],[Category No]],Table8[Category No],Table8[Chapter List],FALSE)</f>
        <v>Early Medieval India's Major Dynasties Part 1 - (550 - 750)CE</v>
      </c>
      <c r="D127" s="34" t="s">
        <v>2001</v>
      </c>
      <c r="E127" s="34" t="s">
        <v>1999</v>
      </c>
    </row>
    <row r="128" spans="1:5" x14ac:dyDescent="0.3">
      <c r="A128" s="32">
        <v>127</v>
      </c>
      <c r="B128" s="42" t="s">
        <v>74</v>
      </c>
      <c r="C128" s="32" t="str">
        <f>_xlfn.XLOOKUP(Table61011121314[[#This Row],[Category No]],Table8[Category No],Table8[Chapter List],FALSE)</f>
        <v>Early Medieval India's Major Dynasties Part 1 - (550 - 750)CE</v>
      </c>
      <c r="D128" s="34" t="s">
        <v>1994</v>
      </c>
      <c r="E128" s="34" t="s">
        <v>1995</v>
      </c>
    </row>
    <row r="129" spans="1:6" x14ac:dyDescent="0.3">
      <c r="A129" s="32">
        <v>128</v>
      </c>
      <c r="B129" s="42" t="s">
        <v>74</v>
      </c>
      <c r="C129" s="32" t="str">
        <f>_xlfn.XLOOKUP(Table61011121314[[#This Row],[Category No]],Table8[Category No],Table8[Chapter List],FALSE)</f>
        <v>Early Medieval India's Major Dynasties Part 1 - (550 - 750)CE</v>
      </c>
      <c r="D129" s="34" t="s">
        <v>2004</v>
      </c>
      <c r="E129" s="34" t="s">
        <v>2005</v>
      </c>
    </row>
    <row r="130" spans="1:6" x14ac:dyDescent="0.3">
      <c r="A130" s="32">
        <v>129</v>
      </c>
      <c r="B130" s="42" t="s">
        <v>74</v>
      </c>
      <c r="C130" s="32" t="str">
        <f>_xlfn.XLOOKUP(Table61011121314[[#This Row],[Category No]],Table8[Category No],Table8[Chapter List],FALSE)</f>
        <v>Early Medieval India's Major Dynasties Part 1 - (550 - 750)CE</v>
      </c>
      <c r="D130" s="34" t="s">
        <v>2006</v>
      </c>
      <c r="E130" s="34" t="s">
        <v>2007</v>
      </c>
    </row>
    <row r="131" spans="1:6" x14ac:dyDescent="0.3">
      <c r="A131" s="32">
        <v>130</v>
      </c>
      <c r="B131" s="42" t="s">
        <v>74</v>
      </c>
      <c r="C131" s="32" t="str">
        <f>_xlfn.XLOOKUP(Table61011121314[[#This Row],[Category No]],Table8[Category No],Table8[Chapter List],FALSE)</f>
        <v>Early Medieval India's Major Dynasties Part 1 - (550 - 750)CE</v>
      </c>
      <c r="D131" s="34" t="s">
        <v>2060</v>
      </c>
      <c r="E131" s="34" t="s">
        <v>2061</v>
      </c>
      <c r="F131" s="57" t="s">
        <v>2035</v>
      </c>
    </row>
    <row r="132" spans="1:6" x14ac:dyDescent="0.3">
      <c r="A132" s="32">
        <v>131</v>
      </c>
      <c r="B132" s="42" t="s">
        <v>74</v>
      </c>
      <c r="C132" s="32" t="str">
        <f>_xlfn.XLOOKUP(Table61011121314[[#This Row],[Category No]],Table8[Category No],Table8[Chapter List],FALSE)</f>
        <v>Early Medieval India's Major Dynasties Part 1 - (550 - 750)CE</v>
      </c>
      <c r="D132" s="34" t="s">
        <v>2064</v>
      </c>
      <c r="E132" s="34" t="s">
        <v>2065</v>
      </c>
      <c r="F132" s="57"/>
    </row>
    <row r="133" spans="1:6" x14ac:dyDescent="0.3">
      <c r="A133" s="32">
        <v>132</v>
      </c>
      <c r="B133" s="42" t="s">
        <v>74</v>
      </c>
      <c r="C133" s="32" t="str">
        <f>_xlfn.XLOOKUP(Table61011121314[[#This Row],[Category No]],Table8[Category No],Table8[Chapter List],FALSE)</f>
        <v>Early Medieval India's Major Dynasties Part 1 - (550 - 750)CE</v>
      </c>
      <c r="D133" s="34" t="s">
        <v>2067</v>
      </c>
      <c r="E133" s="34" t="s">
        <v>2068</v>
      </c>
      <c r="F133" s="57"/>
    </row>
    <row r="134" spans="1:6" x14ac:dyDescent="0.3">
      <c r="A134" s="32">
        <v>133</v>
      </c>
      <c r="B134" s="42" t="s">
        <v>74</v>
      </c>
      <c r="C134" s="32" t="str">
        <f>_xlfn.XLOOKUP(Table61011121314[[#This Row],[Category No]],Table8[Category No],Table8[Chapter List],FALSE)</f>
        <v>Early Medieval India's Major Dynasties Part 1 - (550 - 750)CE</v>
      </c>
      <c r="D134" s="34" t="s">
        <v>2069</v>
      </c>
      <c r="E134" s="34" t="s">
        <v>2070</v>
      </c>
      <c r="F134" s="57"/>
    </row>
    <row r="135" spans="1:6" x14ac:dyDescent="0.3">
      <c r="A135" s="32">
        <v>134</v>
      </c>
      <c r="B135" s="42" t="s">
        <v>74</v>
      </c>
      <c r="C135" s="32" t="str">
        <f>_xlfn.XLOOKUP(Table61011121314[[#This Row],[Category No]],Table8[Category No],Table8[Chapter List],FALSE)</f>
        <v>Early Medieval India's Major Dynasties Part 1 - (550 - 750)CE</v>
      </c>
      <c r="D135" s="34" t="s">
        <v>2066</v>
      </c>
      <c r="E135" s="34" t="s">
        <v>2071</v>
      </c>
      <c r="F135" s="57"/>
    </row>
    <row r="136" spans="1:6" x14ac:dyDescent="0.3">
      <c r="A136" s="32">
        <v>135</v>
      </c>
      <c r="B136" s="42" t="s">
        <v>75</v>
      </c>
      <c r="C136" s="32" t="str">
        <f>_xlfn.XLOOKUP(Table61011121314[[#This Row],[Category No]],Table8[Category No],Table8[Chapter List],FALSE)</f>
        <v>Early Medieval India's Major Dynasties Part 2 - (750 - 1000)CE</v>
      </c>
      <c r="D136" s="34" t="s">
        <v>2165</v>
      </c>
      <c r="E136" s="34" t="s">
        <v>2166</v>
      </c>
      <c r="F136" s="57" t="s">
        <v>2122</v>
      </c>
    </row>
    <row r="137" spans="1:6" x14ac:dyDescent="0.3">
      <c r="A137" s="32">
        <v>136</v>
      </c>
      <c r="B137" s="42" t="s">
        <v>75</v>
      </c>
      <c r="C137" s="32" t="str">
        <f>_xlfn.XLOOKUP(Table61011121314[[#This Row],[Category No]],Table8[Category No],Table8[Chapter List],FALSE)</f>
        <v>Early Medieval India's Major Dynasties Part 2 - (750 - 1000)CE</v>
      </c>
      <c r="D137" s="34" t="s">
        <v>2167</v>
      </c>
      <c r="E137" s="34" t="s">
        <v>2168</v>
      </c>
      <c r="F137" s="57"/>
    </row>
    <row r="138" spans="1:6" x14ac:dyDescent="0.3">
      <c r="A138" s="32">
        <v>137</v>
      </c>
      <c r="B138" s="42" t="s">
        <v>75</v>
      </c>
      <c r="C138" s="32" t="str">
        <f>_xlfn.XLOOKUP(Table61011121314[[#This Row],[Category No]],Table8[Category No],Table8[Chapter List],FALSE)</f>
        <v>Early Medieval India's Major Dynasties Part 2 - (750 - 1000)CE</v>
      </c>
      <c r="D138" s="34" t="s">
        <v>2170</v>
      </c>
      <c r="E138" s="34" t="s">
        <v>2169</v>
      </c>
      <c r="F138" s="57"/>
    </row>
    <row r="139" spans="1:6" x14ac:dyDescent="0.3">
      <c r="A139" s="32">
        <v>138</v>
      </c>
      <c r="B139" s="42" t="s">
        <v>75</v>
      </c>
      <c r="C139" s="32" t="str">
        <f>_xlfn.XLOOKUP(Table61011121314[[#This Row],[Category No]],Table8[Category No],Table8[Chapter List],FALSE)</f>
        <v>Early Medieval India's Major Dynasties Part 2 - (750 - 1000)CE</v>
      </c>
      <c r="D139" s="34" t="s">
        <v>2171</v>
      </c>
      <c r="E139" s="34" t="s">
        <v>2172</v>
      </c>
      <c r="F139" s="57"/>
    </row>
    <row r="140" spans="1:6" x14ac:dyDescent="0.3">
      <c r="A140" s="32">
        <v>139</v>
      </c>
      <c r="B140" s="42" t="s">
        <v>75</v>
      </c>
      <c r="C140" s="32" t="str">
        <f>_xlfn.XLOOKUP(Table61011121314[[#This Row],[Category No]],Table8[Category No],Table8[Chapter List],FALSE)</f>
        <v>Early Medieval India's Major Dynasties Part 2 - (750 - 1000)CE</v>
      </c>
      <c r="D140" s="34" t="s">
        <v>2173</v>
      </c>
      <c r="E140" s="34" t="s">
        <v>2174</v>
      </c>
      <c r="F140" s="57"/>
    </row>
    <row r="141" spans="1:6" x14ac:dyDescent="0.3">
      <c r="A141" s="32">
        <v>140</v>
      </c>
      <c r="B141" s="42" t="s">
        <v>75</v>
      </c>
      <c r="C141" s="32" t="str">
        <f>_xlfn.XLOOKUP(Table61011121314[[#This Row],[Category No]],Table8[Category No],Table8[Chapter List],FALSE)</f>
        <v>Early Medieval India's Major Dynasties Part 2 - (750 - 1000)CE</v>
      </c>
      <c r="D141" s="34" t="s">
        <v>2221</v>
      </c>
      <c r="E141" s="34" t="s">
        <v>2222</v>
      </c>
      <c r="F141" s="57" t="s">
        <v>2204</v>
      </c>
    </row>
    <row r="142" spans="1:6" x14ac:dyDescent="0.3">
      <c r="A142" s="32">
        <v>141</v>
      </c>
      <c r="B142" s="42" t="s">
        <v>75</v>
      </c>
      <c r="C142" s="32" t="str">
        <f>_xlfn.XLOOKUP(Table61011121314[[#This Row],[Category No]],Table8[Category No],Table8[Chapter List],FALSE)</f>
        <v>Early Medieval India's Major Dynasties Part 2 - (750 - 1000)CE</v>
      </c>
      <c r="D142" s="34" t="s">
        <v>2234</v>
      </c>
      <c r="E142" s="34" t="s">
        <v>2223</v>
      </c>
      <c r="F142" s="57"/>
    </row>
    <row r="143" spans="1:6" x14ac:dyDescent="0.3">
      <c r="A143" s="32">
        <v>142</v>
      </c>
      <c r="B143" s="42" t="s">
        <v>75</v>
      </c>
      <c r="C143" s="32" t="str">
        <f>_xlfn.XLOOKUP(Table61011121314[[#This Row],[Category No]],Table8[Category No],Table8[Chapter List],FALSE)</f>
        <v>Early Medieval India's Major Dynasties Part 2 - (750 - 1000)CE</v>
      </c>
      <c r="D143" s="34" t="s">
        <v>2266</v>
      </c>
      <c r="E143" s="34" t="s">
        <v>2267</v>
      </c>
      <c r="F143" s="57" t="s">
        <v>2244</v>
      </c>
    </row>
    <row r="144" spans="1:6" x14ac:dyDescent="0.3">
      <c r="A144" s="32">
        <v>143</v>
      </c>
      <c r="B144" s="42" t="s">
        <v>75</v>
      </c>
      <c r="C144" s="32" t="str">
        <f>_xlfn.XLOOKUP(Table61011121314[[#This Row],[Category No]],Table8[Category No],Table8[Chapter List],FALSE)</f>
        <v>Early Medieval India's Major Dynasties Part 2 - (750 - 1000)CE</v>
      </c>
      <c r="D144" s="34" t="s">
        <v>2268</v>
      </c>
      <c r="E144" s="34" t="s">
        <v>2269</v>
      </c>
      <c r="F144" s="57"/>
    </row>
    <row r="145" spans="1:6" x14ac:dyDescent="0.3">
      <c r="A145" s="32">
        <v>144</v>
      </c>
      <c r="B145" s="42" t="s">
        <v>75</v>
      </c>
      <c r="C145" s="32" t="str">
        <f>_xlfn.XLOOKUP(Table61011121314[[#This Row],[Category No]],Table8[Category No],Table8[Chapter List],FALSE)</f>
        <v>Early Medieval India's Major Dynasties Part 2 - (750 - 1000)CE</v>
      </c>
      <c r="D145" s="34" t="s">
        <v>1738</v>
      </c>
      <c r="E145" s="34" t="s">
        <v>2271</v>
      </c>
      <c r="F145" s="57"/>
    </row>
    <row r="146" spans="1:6" x14ac:dyDescent="0.3">
      <c r="A146" s="32">
        <v>145</v>
      </c>
      <c r="B146" s="42" t="s">
        <v>75</v>
      </c>
      <c r="C146" s="32" t="str">
        <f>_xlfn.XLOOKUP(Table61011121314[[#This Row],[Category No]],Table8[Category No],Table8[Chapter List],FALSE)</f>
        <v>Early Medieval India's Major Dynasties Part 2 - (750 - 1000)CE</v>
      </c>
      <c r="D146" s="34" t="s">
        <v>2272</v>
      </c>
      <c r="E146" s="34" t="s">
        <v>2275</v>
      </c>
      <c r="F146" s="57"/>
    </row>
    <row r="147" spans="1:6" x14ac:dyDescent="0.3">
      <c r="A147" s="32">
        <v>146</v>
      </c>
      <c r="B147" s="42" t="s">
        <v>75</v>
      </c>
      <c r="C147" s="32" t="str">
        <f>_xlfn.XLOOKUP(Table61011121314[[#This Row],[Category No]],Table8[Category No],Table8[Chapter List],FALSE)</f>
        <v>Early Medieval India's Major Dynasties Part 2 - (750 - 1000)CE</v>
      </c>
      <c r="D147" s="34" t="s">
        <v>2274</v>
      </c>
      <c r="E147" s="34" t="s">
        <v>2275</v>
      </c>
      <c r="F147" s="57"/>
    </row>
    <row r="148" spans="1:6" x14ac:dyDescent="0.3">
      <c r="A148" s="32">
        <v>147</v>
      </c>
      <c r="B148" s="42" t="s">
        <v>75</v>
      </c>
      <c r="C148" s="32" t="str">
        <f>_xlfn.XLOOKUP(Table61011121314[[#This Row],[Category No]],Table8[Category No],Table8[Chapter List],FALSE)</f>
        <v>Early Medieval India's Major Dynasties Part 2 - (750 - 1000)CE</v>
      </c>
      <c r="D148" s="34" t="s">
        <v>2273</v>
      </c>
      <c r="E148" s="34" t="s">
        <v>2275</v>
      </c>
      <c r="F148" s="57"/>
    </row>
    <row r="149" spans="1:6" x14ac:dyDescent="0.3">
      <c r="A149" s="32">
        <v>148</v>
      </c>
      <c r="B149" s="42" t="s">
        <v>75</v>
      </c>
      <c r="C149" s="32" t="str">
        <f>_xlfn.XLOOKUP(Table61011121314[[#This Row],[Category No]],Table8[Category No],Table8[Chapter List],FALSE)</f>
        <v>Early Medieval India's Major Dynasties Part 2 - (750 - 1000)CE</v>
      </c>
      <c r="D149" s="34" t="s">
        <v>2276</v>
      </c>
      <c r="E149" s="34" t="s">
        <v>2277</v>
      </c>
      <c r="F149" s="57"/>
    </row>
    <row r="150" spans="1:6" x14ac:dyDescent="0.3">
      <c r="A150" s="32">
        <v>149</v>
      </c>
      <c r="B150" s="42" t="s">
        <v>76</v>
      </c>
      <c r="C150" s="32" t="str">
        <f>_xlfn.XLOOKUP(Table61011121314[[#This Row],[Category No]],Table8[Category No],Table8[Chapter List],FALSE)</f>
        <v>Early Medieval India's Major Dynasties Part 3 - (1000 - 1200) CE</v>
      </c>
      <c r="D150" s="34" t="s">
        <v>2323</v>
      </c>
      <c r="E150" s="34" t="s">
        <v>2324</v>
      </c>
      <c r="F150" s="57" t="s">
        <v>2307</v>
      </c>
    </row>
    <row r="151" spans="1:6" x14ac:dyDescent="0.3">
      <c r="A151" s="32">
        <v>150</v>
      </c>
      <c r="B151" s="42" t="s">
        <v>76</v>
      </c>
      <c r="C151" s="32" t="str">
        <f>_xlfn.XLOOKUP(Table61011121314[[#This Row],[Category No]],Table8[Category No],Table8[Chapter List],FALSE)</f>
        <v>Early Medieval India's Major Dynasties Part 3 - (1000 - 1200) CE</v>
      </c>
      <c r="D151" s="34" t="s">
        <v>2325</v>
      </c>
      <c r="E151" s="34" t="s">
        <v>2328</v>
      </c>
      <c r="F151" s="57"/>
    </row>
    <row r="152" spans="1:6" x14ac:dyDescent="0.3">
      <c r="A152" s="32">
        <v>151</v>
      </c>
      <c r="B152" s="42" t="s">
        <v>76</v>
      </c>
      <c r="C152" s="32" t="str">
        <f>_xlfn.XLOOKUP(Table61011121314[[#This Row],[Category No]],Table8[Category No],Table8[Chapter List],FALSE)</f>
        <v>Early Medieval India's Major Dynasties Part 3 - (1000 - 1200) CE</v>
      </c>
      <c r="D152" s="34" t="s">
        <v>2326</v>
      </c>
      <c r="E152" s="34" t="s">
        <v>2327</v>
      </c>
      <c r="F152" s="57"/>
    </row>
    <row r="153" spans="1:6" x14ac:dyDescent="0.3">
      <c r="A153" s="32">
        <v>152</v>
      </c>
      <c r="B153" s="42" t="s">
        <v>76</v>
      </c>
      <c r="C153" s="32" t="str">
        <f>_xlfn.XLOOKUP(Table61011121314[[#This Row],[Category No]],Table8[Category No],Table8[Chapter List],FALSE)</f>
        <v>Early Medieval India's Major Dynasties Part 3 - (1000 - 1200) CE</v>
      </c>
      <c r="D153" s="34" t="s">
        <v>2356</v>
      </c>
      <c r="E153" s="34" t="s">
        <v>2357</v>
      </c>
      <c r="F153" s="57" t="s">
        <v>2365</v>
      </c>
    </row>
    <row r="154" spans="1:6" x14ac:dyDescent="0.3">
      <c r="A154" s="32">
        <v>153</v>
      </c>
      <c r="B154" s="42" t="s">
        <v>76</v>
      </c>
      <c r="C154" s="32" t="str">
        <f>_xlfn.XLOOKUP(Table61011121314[[#This Row],[Category No]],Table8[Category No],Table8[Chapter List],FALSE)</f>
        <v>Early Medieval India's Major Dynasties Part 3 - (1000 - 1200) CE</v>
      </c>
      <c r="D154" s="34" t="s">
        <v>2358</v>
      </c>
      <c r="E154" s="34" t="s">
        <v>2359</v>
      </c>
      <c r="F154" s="57"/>
    </row>
    <row r="155" spans="1:6" x14ac:dyDescent="0.3">
      <c r="A155" s="32">
        <v>154</v>
      </c>
      <c r="B155" s="42" t="s">
        <v>76</v>
      </c>
      <c r="C155" s="32" t="str">
        <f>_xlfn.XLOOKUP(Table61011121314[[#This Row],[Category No]],Table8[Category No],Table8[Chapter List],FALSE)</f>
        <v>Early Medieval India's Major Dynasties Part 3 - (1000 - 1200) CE</v>
      </c>
      <c r="D155" s="34" t="s">
        <v>2396</v>
      </c>
      <c r="E155" s="34" t="s">
        <v>2397</v>
      </c>
      <c r="F155" s="57" t="s">
        <v>2398</v>
      </c>
    </row>
    <row r="156" spans="1:6" x14ac:dyDescent="0.3">
      <c r="A156" s="32">
        <v>155</v>
      </c>
      <c r="B156" s="42" t="s">
        <v>76</v>
      </c>
      <c r="C156" s="32" t="str">
        <f>_xlfn.XLOOKUP(Table61011121314[[#This Row],[Category No]],Table8[Category No],Table8[Chapter List],FALSE)</f>
        <v>Early Medieval India's Major Dynasties Part 3 - (1000 - 1200) CE</v>
      </c>
      <c r="D156" s="34" t="s">
        <v>2399</v>
      </c>
      <c r="E156" s="34" t="s">
        <v>2401</v>
      </c>
      <c r="F156" s="57"/>
    </row>
    <row r="157" spans="1:6" x14ac:dyDescent="0.3">
      <c r="A157" s="32">
        <v>156</v>
      </c>
      <c r="B157" s="42" t="s">
        <v>76</v>
      </c>
      <c r="C157" s="32" t="str">
        <f>_xlfn.XLOOKUP(Table61011121314[[#This Row],[Category No]],Table8[Category No],Table8[Chapter List],FALSE)</f>
        <v>Early Medieval India's Major Dynasties Part 3 - (1000 - 1200) CE</v>
      </c>
      <c r="D157" s="34" t="s">
        <v>2400</v>
      </c>
      <c r="E157" s="34" t="s">
        <v>2401</v>
      </c>
      <c r="F157" s="57"/>
    </row>
    <row r="158" spans="1:6" x14ac:dyDescent="0.3">
      <c r="A158" s="32">
        <v>157</v>
      </c>
      <c r="B158" s="42" t="s">
        <v>76</v>
      </c>
      <c r="C158" s="32" t="str">
        <f>_xlfn.XLOOKUP(Table61011121314[[#This Row],[Category No]],Table8[Category No],Table8[Chapter List],FALSE)</f>
        <v>Early Medieval India's Major Dynasties Part 3 - (1000 - 1200) CE</v>
      </c>
      <c r="D158" s="34" t="s">
        <v>2402</v>
      </c>
      <c r="E158" s="34" t="s">
        <v>2403</v>
      </c>
      <c r="F158" s="57"/>
    </row>
    <row r="159" spans="1:6" x14ac:dyDescent="0.3">
      <c r="A159" s="32">
        <v>158</v>
      </c>
      <c r="B159" s="42" t="s">
        <v>76</v>
      </c>
      <c r="C159" s="32" t="str">
        <f>_xlfn.XLOOKUP(Table61011121314[[#This Row],[Category No]],Table8[Category No],Table8[Chapter List],FALSE)</f>
        <v>Early Medieval India's Major Dynasties Part 3 - (1000 - 1200) CE</v>
      </c>
      <c r="D159" s="34" t="s">
        <v>2432</v>
      </c>
      <c r="E159" s="34" t="s">
        <v>2433</v>
      </c>
      <c r="F159" s="54" t="s">
        <v>2418</v>
      </c>
    </row>
    <row r="160" spans="1:6" x14ac:dyDescent="0.3">
      <c r="A160" s="32">
        <v>159</v>
      </c>
      <c r="B160" s="42" t="s">
        <v>76</v>
      </c>
      <c r="C160" s="32" t="str">
        <f>_xlfn.XLOOKUP(Table61011121314[[#This Row],[Category No]],Table8[Category No],Table8[Chapter List],FALSE)</f>
        <v>Early Medieval India's Major Dynasties Part 3 - (1000 - 1200) CE</v>
      </c>
      <c r="D160" s="34" t="s">
        <v>2453</v>
      </c>
      <c r="E160" s="34" t="s">
        <v>2454</v>
      </c>
      <c r="F160" s="57" t="s">
        <v>2452</v>
      </c>
    </row>
    <row r="161" spans="1:6" x14ac:dyDescent="0.3">
      <c r="A161" s="32">
        <v>160</v>
      </c>
      <c r="B161" s="42" t="s">
        <v>76</v>
      </c>
      <c r="C161" s="32" t="str">
        <f>_xlfn.XLOOKUP(Table61011121314[[#This Row],[Category No]],Table8[Category No],Table8[Chapter List],FALSE)</f>
        <v>Early Medieval India's Major Dynasties Part 3 - (1000 - 1200) CE</v>
      </c>
      <c r="D161" s="34" t="s">
        <v>2457</v>
      </c>
      <c r="E161" s="34" t="s">
        <v>2458</v>
      </c>
      <c r="F161" s="57"/>
    </row>
    <row r="162" spans="1:6" x14ac:dyDescent="0.3">
      <c r="A162" s="32">
        <v>161</v>
      </c>
      <c r="B162" s="42" t="s">
        <v>76</v>
      </c>
      <c r="C162" s="32" t="str">
        <f>_xlfn.XLOOKUP(Table61011121314[[#This Row],[Category No]],Table8[Category No],Table8[Chapter List],FALSE)</f>
        <v>Early Medieval India's Major Dynasties Part 3 - (1000 - 1200) CE</v>
      </c>
      <c r="D162" s="34" t="s">
        <v>2459</v>
      </c>
      <c r="E162" s="34" t="s">
        <v>2460</v>
      </c>
      <c r="F162" s="57"/>
    </row>
    <row r="163" spans="1:6" x14ac:dyDescent="0.3">
      <c r="A163" s="32">
        <v>162</v>
      </c>
      <c r="B163" s="42" t="s">
        <v>76</v>
      </c>
      <c r="C163" s="32" t="str">
        <f>_xlfn.XLOOKUP(Table61011121314[[#This Row],[Category No]],Table8[Category No],Table8[Chapter List],FALSE)</f>
        <v>Early Medieval India's Major Dynasties Part 3 - (1000 - 1200) CE</v>
      </c>
      <c r="D163" s="34" t="s">
        <v>2461</v>
      </c>
      <c r="E163" s="34" t="s">
        <v>2462</v>
      </c>
      <c r="F163" s="57"/>
    </row>
    <row r="164" spans="1:6" x14ac:dyDescent="0.3">
      <c r="A164" s="32">
        <v>163</v>
      </c>
      <c r="B164" s="42" t="s">
        <v>76</v>
      </c>
      <c r="C164" s="32" t="str">
        <f>_xlfn.XLOOKUP(Table61011121314[[#This Row],[Category No]],Table8[Category No],Table8[Chapter List],FALSE)</f>
        <v>Early Medieval India's Major Dynasties Part 3 - (1000 - 1200) CE</v>
      </c>
      <c r="D164" s="34" t="s">
        <v>2483</v>
      </c>
      <c r="E164" s="34" t="s">
        <v>2484</v>
      </c>
      <c r="F164" s="56" t="s">
        <v>2476</v>
      </c>
    </row>
    <row r="165" spans="1:6" x14ac:dyDescent="0.3">
      <c r="A165" s="32">
        <v>164</v>
      </c>
      <c r="B165" s="42" t="s">
        <v>76</v>
      </c>
      <c r="C165" s="32" t="str">
        <f>_xlfn.XLOOKUP(Table61011121314[[#This Row],[Category No]],Table8[Category No],Table8[Chapter List],FALSE)</f>
        <v>Early Medieval India's Major Dynasties Part 3 - (1000 - 1200) CE</v>
      </c>
      <c r="D165" s="34" t="s">
        <v>2508</v>
      </c>
      <c r="E165" s="34" t="s">
        <v>2509</v>
      </c>
      <c r="F165" s="54" t="s">
        <v>2495</v>
      </c>
    </row>
    <row r="166" spans="1:6" x14ac:dyDescent="0.3">
      <c r="A166" s="32">
        <v>165</v>
      </c>
      <c r="B166" s="42" t="s">
        <v>76</v>
      </c>
      <c r="C166" s="32" t="str">
        <f>_xlfn.XLOOKUP(Table61011121314[[#This Row],[Category No]],Table8[Category No],Table8[Chapter List],FALSE)</f>
        <v>Early Medieval India's Major Dynasties Part 3 - (1000 - 1200) CE</v>
      </c>
      <c r="D166" s="34" t="s">
        <v>2568</v>
      </c>
      <c r="E166" s="34" t="s">
        <v>2571</v>
      </c>
      <c r="F166" s="57" t="s">
        <v>2567</v>
      </c>
    </row>
    <row r="167" spans="1:6" x14ac:dyDescent="0.3">
      <c r="A167" s="32">
        <v>166</v>
      </c>
      <c r="B167" s="42" t="s">
        <v>76</v>
      </c>
      <c r="C167" s="32" t="str">
        <f>_xlfn.XLOOKUP(Table61011121314[[#This Row],[Category No]],Table8[Category No],Table8[Chapter List],FALSE)</f>
        <v>Early Medieval India's Major Dynasties Part 3 - (1000 - 1200) CE</v>
      </c>
      <c r="D167" s="34" t="s">
        <v>2569</v>
      </c>
      <c r="E167" s="34" t="s">
        <v>2571</v>
      </c>
      <c r="F167" s="57"/>
    </row>
    <row r="168" spans="1:6" x14ac:dyDescent="0.3">
      <c r="A168" s="32">
        <v>167</v>
      </c>
      <c r="B168" s="42" t="s">
        <v>76</v>
      </c>
      <c r="C168" s="32" t="str">
        <f>_xlfn.XLOOKUP(Table61011121314[[#This Row],[Category No]],Table8[Category No],Table8[Chapter List],FALSE)</f>
        <v>Early Medieval India's Major Dynasties Part 3 - (1000 - 1200) CE</v>
      </c>
      <c r="D168" s="34" t="s">
        <v>2570</v>
      </c>
      <c r="E168" s="34" t="s">
        <v>2572</v>
      </c>
      <c r="F168" s="57"/>
    </row>
    <row r="169" spans="1:6" x14ac:dyDescent="0.3">
      <c r="A169" s="32">
        <v>168</v>
      </c>
      <c r="B169" s="32"/>
      <c r="C169" s="32" t="b">
        <f>_xlfn.XLOOKUP(Table61011121314[[#This Row],[Category No]],Table8[Category No],Table8[Chapter List],FALSE)</f>
        <v>0</v>
      </c>
      <c r="D169" s="34"/>
      <c r="E169" s="34"/>
    </row>
    <row r="170" spans="1:6" x14ac:dyDescent="0.3">
      <c r="A170" s="32">
        <v>169</v>
      </c>
      <c r="B170" s="32"/>
      <c r="C170" s="32" t="b">
        <f>_xlfn.XLOOKUP(Table61011121314[[#This Row],[Category No]],Table8[Category No],Table8[Chapter List],FALSE)</f>
        <v>0</v>
      </c>
      <c r="D170" s="34"/>
      <c r="E170" s="34"/>
    </row>
    <row r="171" spans="1:6" x14ac:dyDescent="0.3">
      <c r="A171" s="32">
        <v>170</v>
      </c>
      <c r="B171" s="32"/>
      <c r="C171" s="32" t="b">
        <f>_xlfn.XLOOKUP(Table61011121314[[#This Row],[Category No]],Table8[Category No],Table8[Chapter List],FALSE)</f>
        <v>0</v>
      </c>
      <c r="D171" s="34"/>
      <c r="E171" s="34"/>
    </row>
    <row r="172" spans="1:6" x14ac:dyDescent="0.3">
      <c r="A172" s="32">
        <v>171</v>
      </c>
      <c r="B172" s="32"/>
      <c r="C172" s="32" t="b">
        <f>_xlfn.XLOOKUP(Table61011121314[[#This Row],[Category No]],Table8[Category No],Table8[Chapter List],FALSE)</f>
        <v>0</v>
      </c>
      <c r="D172" s="34"/>
      <c r="E172" s="34"/>
    </row>
    <row r="173" spans="1:6" x14ac:dyDescent="0.3">
      <c r="A173" s="32">
        <v>172</v>
      </c>
      <c r="B173" s="32"/>
      <c r="C173" s="32" t="b">
        <f>_xlfn.XLOOKUP(Table61011121314[[#This Row],[Category No]],Table8[Category No],Table8[Chapter List],FALSE)</f>
        <v>0</v>
      </c>
      <c r="D173" s="34"/>
      <c r="E173" s="34"/>
    </row>
    <row r="174" spans="1:6" x14ac:dyDescent="0.3">
      <c r="A174" s="32">
        <v>173</v>
      </c>
      <c r="B174" s="32"/>
      <c r="C174" s="32" t="b">
        <f>_xlfn.XLOOKUP(Table61011121314[[#This Row],[Category No]],Table8[Category No],Table8[Chapter List],FALSE)</f>
        <v>0</v>
      </c>
      <c r="D174" s="34"/>
      <c r="E174" s="34"/>
    </row>
    <row r="175" spans="1:6" x14ac:dyDescent="0.3">
      <c r="A175" s="32">
        <v>174</v>
      </c>
      <c r="B175" s="32"/>
      <c r="C175" s="32" t="b">
        <f>_xlfn.XLOOKUP(Table61011121314[[#This Row],[Category No]],Table8[Category No],Table8[Chapter List],FALSE)</f>
        <v>0</v>
      </c>
      <c r="D175" s="34"/>
      <c r="E175" s="34"/>
    </row>
    <row r="176" spans="1:6" x14ac:dyDescent="0.3">
      <c r="A176" s="32">
        <v>175</v>
      </c>
      <c r="B176" s="32"/>
      <c r="C176" s="32" t="b">
        <f>_xlfn.XLOOKUP(Table61011121314[[#This Row],[Category No]],Table8[Category No],Table8[Chapter List],FALSE)</f>
        <v>0</v>
      </c>
      <c r="D176" s="34"/>
      <c r="E176" s="34"/>
    </row>
    <row r="177" spans="1:5" x14ac:dyDescent="0.3">
      <c r="A177" s="32">
        <v>176</v>
      </c>
      <c r="B177" s="32"/>
      <c r="C177" s="32" t="b">
        <f>_xlfn.XLOOKUP(Table61011121314[[#This Row],[Category No]],Table8[Category No],Table8[Chapter List],FALSE)</f>
        <v>0</v>
      </c>
      <c r="D177" s="34"/>
      <c r="E177" s="34"/>
    </row>
    <row r="178" spans="1:5" x14ac:dyDescent="0.3">
      <c r="A178" s="32">
        <v>177</v>
      </c>
      <c r="B178" s="32"/>
      <c r="C178" s="32" t="b">
        <f>_xlfn.XLOOKUP(Table61011121314[[#This Row],[Category No]],Table8[Category No],Table8[Chapter List],FALSE)</f>
        <v>0</v>
      </c>
      <c r="D178" s="34"/>
      <c r="E178" s="34"/>
    </row>
    <row r="179" spans="1:5" x14ac:dyDescent="0.3">
      <c r="A179" s="32">
        <v>178</v>
      </c>
      <c r="B179" s="32"/>
      <c r="C179" s="32" t="b">
        <f>_xlfn.XLOOKUP(Table61011121314[[#This Row],[Category No]],Table8[Category No],Table8[Chapter List],FALSE)</f>
        <v>0</v>
      </c>
      <c r="D179" s="34"/>
      <c r="E179" s="34"/>
    </row>
    <row r="180" spans="1:5" x14ac:dyDescent="0.3">
      <c r="A180" s="32">
        <v>179</v>
      </c>
      <c r="B180" s="32"/>
      <c r="C180" s="32" t="b">
        <f>_xlfn.XLOOKUP(Table61011121314[[#This Row],[Category No]],Table8[Category No],Table8[Chapter List],FALSE)</f>
        <v>0</v>
      </c>
      <c r="D180" s="34"/>
      <c r="E180" s="34"/>
    </row>
    <row r="181" spans="1:5" x14ac:dyDescent="0.3">
      <c r="A181" s="32">
        <v>180</v>
      </c>
      <c r="B181" s="32"/>
      <c r="C181" s="32" t="b">
        <f>_xlfn.XLOOKUP(Table61011121314[[#This Row],[Category No]],Table8[Category No],Table8[Chapter List],FALSE)</f>
        <v>0</v>
      </c>
      <c r="D181" s="34"/>
      <c r="E181" s="34"/>
    </row>
    <row r="182" spans="1:5" x14ac:dyDescent="0.3">
      <c r="A182" s="32">
        <v>181</v>
      </c>
      <c r="B182" s="32"/>
      <c r="C182" s="32" t="b">
        <f>_xlfn.XLOOKUP(Table61011121314[[#This Row],[Category No]],Table8[Category No],Table8[Chapter List],FALSE)</f>
        <v>0</v>
      </c>
      <c r="D182" s="34"/>
      <c r="E182" s="34"/>
    </row>
    <row r="183" spans="1:5" x14ac:dyDescent="0.3">
      <c r="A183" s="32">
        <v>182</v>
      </c>
      <c r="B183" s="32"/>
      <c r="C183" s="32" t="b">
        <f>_xlfn.XLOOKUP(Table61011121314[[#This Row],[Category No]],Table8[Category No],Table8[Chapter List],FALSE)</f>
        <v>0</v>
      </c>
      <c r="D183" s="34"/>
      <c r="E183" s="34"/>
    </row>
    <row r="184" spans="1:5" x14ac:dyDescent="0.3">
      <c r="A184" s="32">
        <v>183</v>
      </c>
      <c r="B184" s="32"/>
      <c r="C184" s="32" t="b">
        <f>_xlfn.XLOOKUP(Table61011121314[[#This Row],[Category No]],Table8[Category No],Table8[Chapter List],FALSE)</f>
        <v>0</v>
      </c>
      <c r="D184" s="34"/>
      <c r="E184" s="34"/>
    </row>
    <row r="185" spans="1:5" x14ac:dyDescent="0.3">
      <c r="A185" s="32">
        <v>184</v>
      </c>
      <c r="B185" s="32"/>
      <c r="C185" s="32" t="b">
        <f>_xlfn.XLOOKUP(Table61011121314[[#This Row],[Category No]],Table8[Category No],Table8[Chapter List],FALSE)</f>
        <v>0</v>
      </c>
      <c r="D185" s="34"/>
      <c r="E185" s="34"/>
    </row>
    <row r="186" spans="1:5" x14ac:dyDescent="0.3">
      <c r="A186" s="32">
        <v>185</v>
      </c>
      <c r="B186" s="32"/>
      <c r="C186" s="32" t="b">
        <f>_xlfn.XLOOKUP(Table61011121314[[#This Row],[Category No]],Table8[Category No],Table8[Chapter List],FALSE)</f>
        <v>0</v>
      </c>
      <c r="D186" s="34"/>
      <c r="E186" s="34"/>
    </row>
    <row r="187" spans="1:5" x14ac:dyDescent="0.3">
      <c r="A187" s="32">
        <v>186</v>
      </c>
      <c r="B187" s="32"/>
      <c r="C187" s="32" t="b">
        <f>_xlfn.XLOOKUP(Table61011121314[[#This Row],[Category No]],Table8[Category No],Table8[Chapter List],FALSE)</f>
        <v>0</v>
      </c>
      <c r="D187" s="34"/>
      <c r="E187" s="34"/>
    </row>
    <row r="188" spans="1:5" x14ac:dyDescent="0.3">
      <c r="A188" s="32">
        <v>187</v>
      </c>
      <c r="B188" s="32"/>
      <c r="C188" s="32" t="b">
        <f>_xlfn.XLOOKUP(Table61011121314[[#This Row],[Category No]],Table8[Category No],Table8[Chapter List],FALSE)</f>
        <v>0</v>
      </c>
      <c r="D188" s="34"/>
      <c r="E188" s="34"/>
    </row>
    <row r="189" spans="1:5" x14ac:dyDescent="0.3">
      <c r="A189" s="32">
        <v>188</v>
      </c>
      <c r="B189" s="32"/>
      <c r="C189" s="32" t="b">
        <f>_xlfn.XLOOKUP(Table61011121314[[#This Row],[Category No]],Table8[Category No],Table8[Chapter List],FALSE)</f>
        <v>0</v>
      </c>
      <c r="D189" s="34"/>
      <c r="E189" s="34"/>
    </row>
    <row r="190" spans="1:5" x14ac:dyDescent="0.3">
      <c r="A190" s="32">
        <v>189</v>
      </c>
      <c r="B190" s="32"/>
      <c r="C190" s="32" t="b">
        <f>_xlfn.XLOOKUP(Table61011121314[[#This Row],[Category No]],Table8[Category No],Table8[Chapter List],FALSE)</f>
        <v>0</v>
      </c>
      <c r="D190" s="34"/>
      <c r="E190" s="34"/>
    </row>
    <row r="191" spans="1:5" x14ac:dyDescent="0.3">
      <c r="A191" s="32">
        <v>190</v>
      </c>
      <c r="B191" s="32"/>
      <c r="C191" s="32" t="b">
        <f>_xlfn.XLOOKUP(Table61011121314[[#This Row],[Category No]],Table8[Category No],Table8[Chapter List],FALSE)</f>
        <v>0</v>
      </c>
      <c r="D191" s="34"/>
      <c r="E191" s="34"/>
    </row>
    <row r="192" spans="1:5" x14ac:dyDescent="0.3">
      <c r="A192" s="32">
        <v>191</v>
      </c>
      <c r="B192" s="32"/>
      <c r="C192" s="32" t="b">
        <f>_xlfn.XLOOKUP(Table61011121314[[#This Row],[Category No]],Table8[Category No],Table8[Chapter List],FALSE)</f>
        <v>0</v>
      </c>
      <c r="D192" s="34"/>
      <c r="E192" s="34"/>
    </row>
    <row r="193" spans="1:5" x14ac:dyDescent="0.3">
      <c r="A193" s="32">
        <v>192</v>
      </c>
      <c r="B193" s="32"/>
      <c r="C193" s="32" t="b">
        <f>_xlfn.XLOOKUP(Table61011121314[[#This Row],[Category No]],Table8[Category No],Table8[Chapter List],FALSE)</f>
        <v>0</v>
      </c>
      <c r="D193" s="34"/>
      <c r="E193" s="34"/>
    </row>
    <row r="194" spans="1:5" x14ac:dyDescent="0.3">
      <c r="A194" s="32">
        <v>193</v>
      </c>
      <c r="B194" s="32"/>
      <c r="C194" s="32" t="b">
        <f>_xlfn.XLOOKUP(Table61011121314[[#This Row],[Category No]],Table8[Category No],Table8[Chapter List],FALSE)</f>
        <v>0</v>
      </c>
      <c r="D194" s="34"/>
      <c r="E194" s="34"/>
    </row>
    <row r="195" spans="1:5" x14ac:dyDescent="0.3">
      <c r="A195" s="32">
        <v>194</v>
      </c>
      <c r="B195" s="32"/>
      <c r="C195" s="32" t="b">
        <f>_xlfn.XLOOKUP(Table61011121314[[#This Row],[Category No]],Table8[Category No],Table8[Chapter List],FALSE)</f>
        <v>0</v>
      </c>
      <c r="D195" s="34"/>
      <c r="E195" s="34"/>
    </row>
    <row r="196" spans="1:5" x14ac:dyDescent="0.3">
      <c r="A196" s="32">
        <v>195</v>
      </c>
      <c r="B196" s="32"/>
      <c r="C196" s="32" t="b">
        <f>_xlfn.XLOOKUP(Table61011121314[[#This Row],[Category No]],Table8[Category No],Table8[Chapter List],FALSE)</f>
        <v>0</v>
      </c>
      <c r="D196" s="34"/>
      <c r="E196" s="34"/>
    </row>
    <row r="197" spans="1:5" x14ac:dyDescent="0.3">
      <c r="A197" s="32">
        <v>196</v>
      </c>
      <c r="B197" s="32"/>
      <c r="C197" s="32" t="b">
        <f>_xlfn.XLOOKUP(Table61011121314[[#This Row],[Category No]],Table8[Category No],Table8[Chapter List],FALSE)</f>
        <v>0</v>
      </c>
      <c r="D197" s="34"/>
      <c r="E197" s="34"/>
    </row>
    <row r="198" spans="1:5" x14ac:dyDescent="0.3">
      <c r="A198" s="32">
        <v>197</v>
      </c>
      <c r="B198" s="32"/>
      <c r="C198" s="32" t="b">
        <f>_xlfn.XLOOKUP(Table61011121314[[#This Row],[Category No]],Table8[Category No],Table8[Chapter List],FALSE)</f>
        <v>0</v>
      </c>
      <c r="D198" s="34"/>
      <c r="E198" s="34"/>
    </row>
    <row r="199" spans="1:5" x14ac:dyDescent="0.3">
      <c r="A199" s="32">
        <v>198</v>
      </c>
      <c r="B199" s="32"/>
      <c r="C199" s="32" t="b">
        <f>_xlfn.XLOOKUP(Table61011121314[[#This Row],[Category No]],Table8[Category No],Table8[Chapter List],FALSE)</f>
        <v>0</v>
      </c>
      <c r="D199" s="34"/>
      <c r="E199" s="34"/>
    </row>
    <row r="200" spans="1:5" x14ac:dyDescent="0.3">
      <c r="A200" s="32">
        <v>199</v>
      </c>
      <c r="B200" s="32"/>
      <c r="C200" s="32" t="b">
        <f>_xlfn.XLOOKUP(Table61011121314[[#This Row],[Category No]],Table8[Category No],Table8[Chapter List],FALSE)</f>
        <v>0</v>
      </c>
      <c r="D200" s="34"/>
      <c r="E200" s="34"/>
    </row>
    <row r="201" spans="1:5" x14ac:dyDescent="0.3">
      <c r="A201" s="32">
        <v>200</v>
      </c>
      <c r="B201" s="32"/>
      <c r="C201" s="32" t="b">
        <f>_xlfn.XLOOKUP(Table61011121314[[#This Row],[Category No]],Table8[Category No],Table8[Chapter List],FALSE)</f>
        <v>0</v>
      </c>
      <c r="D201" s="34"/>
      <c r="E201" s="34"/>
    </row>
    <row r="202" spans="1:5" x14ac:dyDescent="0.3">
      <c r="A202" s="32">
        <v>201</v>
      </c>
      <c r="B202" s="32"/>
      <c r="C202" s="32" t="b">
        <f>_xlfn.XLOOKUP(Table61011121314[[#This Row],[Category No]],Table8[Category No],Table8[Chapter List],FALSE)</f>
        <v>0</v>
      </c>
      <c r="D202" s="34"/>
      <c r="E202" s="34"/>
    </row>
    <row r="203" spans="1:5" x14ac:dyDescent="0.3">
      <c r="A203" s="32">
        <v>202</v>
      </c>
      <c r="B203" s="32"/>
      <c r="C203" s="32" t="b">
        <f>_xlfn.XLOOKUP(Table61011121314[[#This Row],[Category No]],Table8[Category No],Table8[Chapter List],FALSE)</f>
        <v>0</v>
      </c>
      <c r="D203" s="34"/>
      <c r="E203" s="34"/>
    </row>
    <row r="204" spans="1:5" x14ac:dyDescent="0.3">
      <c r="A204" s="32">
        <v>203</v>
      </c>
      <c r="B204" s="32"/>
      <c r="C204" s="32" t="b">
        <f>_xlfn.XLOOKUP(Table61011121314[[#This Row],[Category No]],Table8[Category No],Table8[Chapter List],FALSE)</f>
        <v>0</v>
      </c>
      <c r="D204" s="34"/>
      <c r="E204" s="34"/>
    </row>
    <row r="205" spans="1:5" x14ac:dyDescent="0.3">
      <c r="A205" s="32">
        <v>204</v>
      </c>
      <c r="B205" s="32"/>
      <c r="C205" s="32" t="b">
        <f>_xlfn.XLOOKUP(Table61011121314[[#This Row],[Category No]],Table8[Category No],Table8[Chapter List],FALSE)</f>
        <v>0</v>
      </c>
      <c r="D205" s="34"/>
      <c r="E205" s="34"/>
    </row>
    <row r="206" spans="1:5" x14ac:dyDescent="0.3">
      <c r="A206" s="32">
        <v>205</v>
      </c>
      <c r="B206" s="32"/>
      <c r="C206" s="32" t="b">
        <f>_xlfn.XLOOKUP(Table61011121314[[#This Row],[Category No]],Table8[Category No],Table8[Chapter List],FALSE)</f>
        <v>0</v>
      </c>
      <c r="D206" s="34"/>
      <c r="E206" s="34"/>
    </row>
    <row r="207" spans="1:5" x14ac:dyDescent="0.3">
      <c r="A207" s="32">
        <v>206</v>
      </c>
      <c r="B207" s="32"/>
      <c r="C207" s="32" t="b">
        <f>_xlfn.XLOOKUP(Table61011121314[[#This Row],[Category No]],Table8[Category No],Table8[Chapter List],FALSE)</f>
        <v>0</v>
      </c>
      <c r="D207" s="34"/>
      <c r="E207" s="34"/>
    </row>
    <row r="208" spans="1:5" x14ac:dyDescent="0.3">
      <c r="A208" s="32">
        <v>207</v>
      </c>
      <c r="B208" s="32"/>
      <c r="C208" s="32" t="b">
        <f>_xlfn.XLOOKUP(Table61011121314[[#This Row],[Category No]],Table8[Category No],Table8[Chapter List],FALSE)</f>
        <v>0</v>
      </c>
      <c r="D208" s="34"/>
      <c r="E208" s="34"/>
    </row>
    <row r="209" spans="1:5" x14ac:dyDescent="0.3">
      <c r="A209" s="32">
        <v>208</v>
      </c>
      <c r="B209" s="32"/>
      <c r="C209" s="32" t="b">
        <f>_xlfn.XLOOKUP(Table61011121314[[#This Row],[Category No]],Table8[Category No],Table8[Chapter List],FALSE)</f>
        <v>0</v>
      </c>
      <c r="D209" s="34"/>
      <c r="E209" s="34"/>
    </row>
    <row r="210" spans="1:5" x14ac:dyDescent="0.3">
      <c r="A210" s="32">
        <v>209</v>
      </c>
      <c r="B210" s="32"/>
      <c r="C210" s="32" t="b">
        <f>_xlfn.XLOOKUP(Table61011121314[[#This Row],[Category No]],Table8[Category No],Table8[Chapter List],FALSE)</f>
        <v>0</v>
      </c>
      <c r="D210" s="34"/>
      <c r="E210" s="34"/>
    </row>
    <row r="211" spans="1:5" x14ac:dyDescent="0.3">
      <c r="A211" s="32">
        <v>210</v>
      </c>
      <c r="B211" s="32"/>
      <c r="C211" s="32" t="b">
        <f>_xlfn.XLOOKUP(Table61011121314[[#This Row],[Category No]],Table8[Category No],Table8[Chapter List],FALSE)</f>
        <v>0</v>
      </c>
      <c r="D211" s="34"/>
      <c r="E211" s="34"/>
    </row>
    <row r="212" spans="1:5" x14ac:dyDescent="0.3">
      <c r="A212" s="32">
        <v>211</v>
      </c>
      <c r="B212" s="32"/>
      <c r="C212" s="32" t="b">
        <f>_xlfn.XLOOKUP(Table61011121314[[#This Row],[Category No]],Table8[Category No],Table8[Chapter List],FALSE)</f>
        <v>0</v>
      </c>
      <c r="D212" s="34"/>
      <c r="E212" s="34"/>
    </row>
    <row r="213" spans="1:5" x14ac:dyDescent="0.3">
      <c r="A213" s="32">
        <v>212</v>
      </c>
      <c r="B213" s="32"/>
      <c r="C213" s="32" t="b">
        <f>_xlfn.XLOOKUP(Table61011121314[[#This Row],[Category No]],Table8[Category No],Table8[Chapter List],FALSE)</f>
        <v>0</v>
      </c>
      <c r="D213" s="34"/>
      <c r="E213" s="34"/>
    </row>
    <row r="214" spans="1:5" x14ac:dyDescent="0.3">
      <c r="A214" s="32">
        <v>213</v>
      </c>
      <c r="B214" s="32"/>
      <c r="C214" s="32" t="b">
        <f>_xlfn.XLOOKUP(Table61011121314[[#This Row],[Category No]],Table8[Category No],Table8[Chapter List],FALSE)</f>
        <v>0</v>
      </c>
      <c r="D214" s="34"/>
      <c r="E214" s="34"/>
    </row>
    <row r="215" spans="1:5" x14ac:dyDescent="0.3">
      <c r="A215" s="32">
        <v>214</v>
      </c>
      <c r="B215" s="32"/>
      <c r="C215" s="32" t="b">
        <f>_xlfn.XLOOKUP(Table61011121314[[#This Row],[Category No]],Table8[Category No],Table8[Chapter List],FALSE)</f>
        <v>0</v>
      </c>
      <c r="D215" s="34"/>
      <c r="E215" s="34"/>
    </row>
    <row r="216" spans="1:5" x14ac:dyDescent="0.3">
      <c r="A216" s="32">
        <v>215</v>
      </c>
      <c r="B216" s="32"/>
      <c r="C216" s="32" t="b">
        <f>_xlfn.XLOOKUP(Table61011121314[[#This Row],[Category No]],Table8[Category No],Table8[Chapter List],FALSE)</f>
        <v>0</v>
      </c>
      <c r="D216" s="34"/>
      <c r="E216" s="34"/>
    </row>
    <row r="217" spans="1:5" x14ac:dyDescent="0.3">
      <c r="A217" s="32">
        <v>216</v>
      </c>
      <c r="B217" s="32"/>
      <c r="C217" s="32" t="b">
        <f>_xlfn.XLOOKUP(Table61011121314[[#This Row],[Category No]],Table8[Category No],Table8[Chapter List],FALSE)</f>
        <v>0</v>
      </c>
      <c r="D217" s="34"/>
      <c r="E217" s="34"/>
    </row>
    <row r="218" spans="1:5" x14ac:dyDescent="0.3">
      <c r="A218" s="32">
        <v>217</v>
      </c>
      <c r="B218" s="32"/>
      <c r="C218" s="32" t="b">
        <f>_xlfn.XLOOKUP(Table61011121314[[#This Row],[Category No]],Table8[Category No],Table8[Chapter List],FALSE)</f>
        <v>0</v>
      </c>
      <c r="D218" s="34"/>
      <c r="E218" s="34"/>
    </row>
    <row r="219" spans="1:5" x14ac:dyDescent="0.3">
      <c r="A219" s="32">
        <v>218</v>
      </c>
      <c r="B219" s="32"/>
      <c r="C219" s="32" t="b">
        <f>_xlfn.XLOOKUP(Table61011121314[[#This Row],[Category No]],Table8[Category No],Table8[Chapter List],FALSE)</f>
        <v>0</v>
      </c>
      <c r="D219" s="34"/>
      <c r="E219" s="34"/>
    </row>
    <row r="220" spans="1:5" x14ac:dyDescent="0.3">
      <c r="A220" s="32">
        <v>219</v>
      </c>
      <c r="B220" s="32"/>
      <c r="C220" s="32" t="b">
        <f>_xlfn.XLOOKUP(Table61011121314[[#This Row],[Category No]],Table8[Category No],Table8[Chapter List],FALSE)</f>
        <v>0</v>
      </c>
      <c r="D220" s="34"/>
      <c r="E220" s="34"/>
    </row>
    <row r="221" spans="1:5" x14ac:dyDescent="0.3">
      <c r="A221" s="32">
        <v>220</v>
      </c>
      <c r="B221" s="32"/>
      <c r="C221" s="32" t="b">
        <f>_xlfn.XLOOKUP(Table61011121314[[#This Row],[Category No]],Table8[Category No],Table8[Chapter List],FALSE)</f>
        <v>0</v>
      </c>
      <c r="D221" s="34"/>
      <c r="E221" s="34"/>
    </row>
    <row r="222" spans="1:5" x14ac:dyDescent="0.3">
      <c r="A222" s="32">
        <v>221</v>
      </c>
      <c r="B222" s="32"/>
      <c r="C222" s="32" t="b">
        <f>_xlfn.XLOOKUP(Table61011121314[[#This Row],[Category No]],Table8[Category No],Table8[Chapter List],FALSE)</f>
        <v>0</v>
      </c>
      <c r="D222" s="34"/>
      <c r="E222" s="34"/>
    </row>
    <row r="223" spans="1:5" x14ac:dyDescent="0.3">
      <c r="A223" s="32">
        <v>222</v>
      </c>
      <c r="B223" s="32"/>
      <c r="C223" s="32" t="b">
        <f>_xlfn.XLOOKUP(Table61011121314[[#This Row],[Category No]],Table8[Category No],Table8[Chapter List],FALSE)</f>
        <v>0</v>
      </c>
      <c r="D223" s="34"/>
      <c r="E223" s="34"/>
    </row>
    <row r="224" spans="1:5" x14ac:dyDescent="0.3">
      <c r="A224" s="32">
        <v>223</v>
      </c>
      <c r="B224" s="32"/>
      <c r="C224" s="32" t="b">
        <f>_xlfn.XLOOKUP(Table61011121314[[#This Row],[Category No]],Table8[Category No],Table8[Chapter List],FALSE)</f>
        <v>0</v>
      </c>
      <c r="D224" s="34"/>
      <c r="E224" s="34"/>
    </row>
    <row r="225" spans="1:5" x14ac:dyDescent="0.3">
      <c r="A225" s="32">
        <v>224</v>
      </c>
      <c r="B225" s="32"/>
      <c r="C225" s="32" t="b">
        <f>_xlfn.XLOOKUP(Table61011121314[[#This Row],[Category No]],Table8[Category No],Table8[Chapter List],FALSE)</f>
        <v>0</v>
      </c>
      <c r="D225" s="34"/>
      <c r="E225" s="34"/>
    </row>
    <row r="226" spans="1:5" x14ac:dyDescent="0.3">
      <c r="A226" s="32">
        <v>225</v>
      </c>
      <c r="B226" s="32"/>
      <c r="C226" s="32" t="b">
        <f>_xlfn.XLOOKUP(Table61011121314[[#This Row],[Category No]],Table8[Category No],Table8[Chapter List],FALSE)</f>
        <v>0</v>
      </c>
      <c r="D226" s="34"/>
      <c r="E226" s="34"/>
    </row>
    <row r="227" spans="1:5" x14ac:dyDescent="0.3">
      <c r="A227" s="32">
        <v>226</v>
      </c>
      <c r="B227" s="32"/>
      <c r="C227" s="32" t="b">
        <f>_xlfn.XLOOKUP(Table61011121314[[#This Row],[Category No]],Table8[Category No],Table8[Chapter List],FALSE)</f>
        <v>0</v>
      </c>
      <c r="D227" s="34"/>
      <c r="E227" s="34"/>
    </row>
    <row r="228" spans="1:5" x14ac:dyDescent="0.3">
      <c r="A228" s="32">
        <v>227</v>
      </c>
      <c r="B228" s="32"/>
      <c r="C228" s="32" t="b">
        <f>_xlfn.XLOOKUP(Table61011121314[[#This Row],[Category No]],Table8[Category No],Table8[Chapter List],FALSE)</f>
        <v>0</v>
      </c>
      <c r="D228" s="34"/>
      <c r="E228" s="34"/>
    </row>
    <row r="229" spans="1:5" x14ac:dyDescent="0.3">
      <c r="A229" s="32">
        <v>228</v>
      </c>
      <c r="B229" s="32"/>
      <c r="C229" s="32" t="b">
        <f>_xlfn.XLOOKUP(Table61011121314[[#This Row],[Category No]],Table8[Category No],Table8[Chapter List],FALSE)</f>
        <v>0</v>
      </c>
      <c r="D229" s="34"/>
      <c r="E229" s="34"/>
    </row>
    <row r="230" spans="1:5" x14ac:dyDescent="0.3">
      <c r="A230" s="32">
        <v>229</v>
      </c>
      <c r="B230" s="32"/>
      <c r="C230" s="32" t="b">
        <f>_xlfn.XLOOKUP(Table61011121314[[#This Row],[Category No]],Table8[Category No],Table8[Chapter List],FALSE)</f>
        <v>0</v>
      </c>
      <c r="D230" s="34"/>
      <c r="E230" s="34"/>
    </row>
    <row r="231" spans="1:5" x14ac:dyDescent="0.3">
      <c r="A231" s="32">
        <v>230</v>
      </c>
      <c r="B231" s="32"/>
      <c r="C231" s="32" t="b">
        <f>_xlfn.XLOOKUP(Table61011121314[[#This Row],[Category No]],Table8[Category No],Table8[Chapter List],FALSE)</f>
        <v>0</v>
      </c>
      <c r="D231" s="34"/>
      <c r="E231" s="34"/>
    </row>
    <row r="232" spans="1:5" x14ac:dyDescent="0.3">
      <c r="A232" s="32">
        <v>231</v>
      </c>
      <c r="B232" s="32"/>
      <c r="C232" s="32" t="b">
        <f>_xlfn.XLOOKUP(Table61011121314[[#This Row],[Category No]],Table8[Category No],Table8[Chapter List],FALSE)</f>
        <v>0</v>
      </c>
      <c r="D232" s="34"/>
      <c r="E232" s="34"/>
    </row>
    <row r="233" spans="1:5" x14ac:dyDescent="0.3">
      <c r="A233" s="32">
        <v>232</v>
      </c>
      <c r="B233" s="32"/>
      <c r="C233" s="32" t="b">
        <f>_xlfn.XLOOKUP(Table61011121314[[#This Row],[Category No]],Table8[Category No],Table8[Chapter List],FALSE)</f>
        <v>0</v>
      </c>
      <c r="D233" s="34"/>
      <c r="E233" s="34"/>
    </row>
    <row r="234" spans="1:5" x14ac:dyDescent="0.3">
      <c r="A234" s="32">
        <v>233</v>
      </c>
      <c r="B234" s="32"/>
      <c r="C234" s="32" t="b">
        <f>_xlfn.XLOOKUP(Table61011121314[[#This Row],[Category No]],Table8[Category No],Table8[Chapter List],FALSE)</f>
        <v>0</v>
      </c>
      <c r="D234" s="34"/>
      <c r="E234" s="34"/>
    </row>
    <row r="235" spans="1:5" x14ac:dyDescent="0.3">
      <c r="A235" s="32">
        <v>234</v>
      </c>
      <c r="B235" s="32"/>
      <c r="C235" s="32" t="b">
        <f>_xlfn.XLOOKUP(Table61011121314[[#This Row],[Category No]],Table8[Category No],Table8[Chapter List],FALSE)</f>
        <v>0</v>
      </c>
      <c r="D235" s="34"/>
      <c r="E235" s="34"/>
    </row>
    <row r="236" spans="1:5" x14ac:dyDescent="0.3">
      <c r="A236" s="32">
        <v>235</v>
      </c>
      <c r="B236" s="32"/>
      <c r="C236" s="32" t="b">
        <f>_xlfn.XLOOKUP(Table61011121314[[#This Row],[Category No]],Table8[Category No],Table8[Chapter List],FALSE)</f>
        <v>0</v>
      </c>
      <c r="D236" s="34"/>
      <c r="E236" s="34"/>
    </row>
    <row r="237" spans="1:5" x14ac:dyDescent="0.3">
      <c r="A237" s="32">
        <v>236</v>
      </c>
      <c r="B237" s="32"/>
      <c r="C237" s="32" t="b">
        <f>_xlfn.XLOOKUP(Table61011121314[[#This Row],[Category No]],Table8[Category No],Table8[Chapter List],FALSE)</f>
        <v>0</v>
      </c>
      <c r="D237" s="34"/>
      <c r="E237" s="34"/>
    </row>
    <row r="238" spans="1:5" x14ac:dyDescent="0.3">
      <c r="A238" s="32">
        <v>237</v>
      </c>
      <c r="B238" s="32"/>
      <c r="C238" s="32" t="b">
        <f>_xlfn.XLOOKUP(Table61011121314[[#This Row],[Category No]],Table8[Category No],Table8[Chapter List],FALSE)</f>
        <v>0</v>
      </c>
      <c r="D238" s="34"/>
      <c r="E238" s="34"/>
    </row>
    <row r="239" spans="1:5" x14ac:dyDescent="0.3">
      <c r="A239" s="32">
        <v>238</v>
      </c>
      <c r="B239" s="32"/>
      <c r="C239" s="32" t="b">
        <f>_xlfn.XLOOKUP(Table61011121314[[#This Row],[Category No]],Table8[Category No],Table8[Chapter List],FALSE)</f>
        <v>0</v>
      </c>
      <c r="D239" s="34"/>
      <c r="E239" s="34"/>
    </row>
    <row r="240" spans="1:5" x14ac:dyDescent="0.3">
      <c r="A240" s="32">
        <v>239</v>
      </c>
      <c r="B240" s="32"/>
      <c r="C240" s="32" t="b">
        <f>_xlfn.XLOOKUP(Table61011121314[[#This Row],[Category No]],Table8[Category No],Table8[Chapter List],FALSE)</f>
        <v>0</v>
      </c>
      <c r="D240" s="34"/>
      <c r="E240" s="34"/>
    </row>
    <row r="241" spans="1:5" x14ac:dyDescent="0.3">
      <c r="A241" s="32">
        <v>240</v>
      </c>
      <c r="B241" s="32"/>
      <c r="C241" s="32" t="b">
        <f>_xlfn.XLOOKUP(Table61011121314[[#This Row],[Category No]],Table8[Category No],Table8[Chapter List],FALSE)</f>
        <v>0</v>
      </c>
      <c r="D241" s="34"/>
      <c r="E241" s="34"/>
    </row>
    <row r="242" spans="1:5" x14ac:dyDescent="0.3">
      <c r="A242" s="32">
        <v>241</v>
      </c>
      <c r="B242" s="32"/>
      <c r="C242" s="32" t="b">
        <f>_xlfn.XLOOKUP(Table61011121314[[#This Row],[Category No]],Table8[Category No],Table8[Chapter List],FALSE)</f>
        <v>0</v>
      </c>
      <c r="D242" s="34"/>
      <c r="E242" s="34"/>
    </row>
    <row r="243" spans="1:5" x14ac:dyDescent="0.3">
      <c r="A243" s="32">
        <v>242</v>
      </c>
      <c r="B243" s="32"/>
      <c r="C243" s="32" t="b">
        <f>_xlfn.XLOOKUP(Table61011121314[[#This Row],[Category No]],Table8[Category No],Table8[Chapter List],FALSE)</f>
        <v>0</v>
      </c>
      <c r="D243" s="34"/>
      <c r="E243" s="34"/>
    </row>
    <row r="244" spans="1:5" x14ac:dyDescent="0.3">
      <c r="A244" s="32">
        <v>243</v>
      </c>
      <c r="B244" s="32"/>
      <c r="C244" s="32" t="b">
        <f>_xlfn.XLOOKUP(Table61011121314[[#This Row],[Category No]],Table8[Category No],Table8[Chapter List],FALSE)</f>
        <v>0</v>
      </c>
      <c r="D244" s="34"/>
      <c r="E244" s="34"/>
    </row>
    <row r="245" spans="1:5" x14ac:dyDescent="0.3">
      <c r="A245" s="32">
        <v>244</v>
      </c>
      <c r="B245" s="32"/>
      <c r="C245" s="32" t="b">
        <f>_xlfn.XLOOKUP(Table61011121314[[#This Row],[Category No]],Table8[Category No],Table8[Chapter List],FALSE)</f>
        <v>0</v>
      </c>
      <c r="D245" s="34"/>
      <c r="E245" s="34"/>
    </row>
    <row r="246" spans="1:5" x14ac:dyDescent="0.3">
      <c r="A246" s="32">
        <v>245</v>
      </c>
      <c r="B246" s="32"/>
      <c r="C246" s="32" t="b">
        <f>_xlfn.XLOOKUP(Table61011121314[[#This Row],[Category No]],Table8[Category No],Table8[Chapter List],FALSE)</f>
        <v>0</v>
      </c>
      <c r="D246" s="34"/>
      <c r="E246" s="34"/>
    </row>
    <row r="247" spans="1:5" x14ac:dyDescent="0.3">
      <c r="A247" s="32">
        <v>246</v>
      </c>
      <c r="B247" s="32"/>
      <c r="C247" s="32" t="b">
        <f>_xlfn.XLOOKUP(Table61011121314[[#This Row],[Category No]],Table8[Category No],Table8[Chapter List],FALSE)</f>
        <v>0</v>
      </c>
      <c r="D247" s="34"/>
      <c r="E247" s="34"/>
    </row>
    <row r="248" spans="1:5" x14ac:dyDescent="0.3">
      <c r="A248" s="32">
        <v>247</v>
      </c>
      <c r="B248" s="32"/>
      <c r="C248" s="32" t="b">
        <f>_xlfn.XLOOKUP(Table61011121314[[#This Row],[Category No]],Table8[Category No],Table8[Chapter List],FALSE)</f>
        <v>0</v>
      </c>
      <c r="D248" s="34"/>
      <c r="E248" s="34"/>
    </row>
    <row r="249" spans="1:5" x14ac:dyDescent="0.3">
      <c r="A249" s="32">
        <v>248</v>
      </c>
      <c r="B249" s="32"/>
      <c r="C249" s="32" t="b">
        <f>_xlfn.XLOOKUP(Table61011121314[[#This Row],[Category No]],Table8[Category No],Table8[Chapter List],FALSE)</f>
        <v>0</v>
      </c>
      <c r="D249" s="34"/>
      <c r="E249" s="34"/>
    </row>
    <row r="250" spans="1:5" x14ac:dyDescent="0.3">
      <c r="A250" s="32">
        <v>249</v>
      </c>
      <c r="B250" s="32"/>
      <c r="C250" s="32" t="b">
        <f>_xlfn.XLOOKUP(Table61011121314[[#This Row],[Category No]],Table8[Category No],Table8[Chapter List],FALSE)</f>
        <v>0</v>
      </c>
      <c r="D250" s="34"/>
      <c r="E250" s="34"/>
    </row>
    <row r="251" spans="1:5" x14ac:dyDescent="0.3">
      <c r="A251" s="32">
        <v>250</v>
      </c>
      <c r="B251" s="32"/>
      <c r="C251" s="32" t="b">
        <f>_xlfn.XLOOKUP(Table61011121314[[#This Row],[Category No]],Table8[Category No],Table8[Chapter List],FALSE)</f>
        <v>0</v>
      </c>
      <c r="D251" s="34"/>
      <c r="E251" s="34"/>
    </row>
    <row r="252" spans="1:5" x14ac:dyDescent="0.3">
      <c r="A252" s="32">
        <v>251</v>
      </c>
      <c r="B252" s="32"/>
      <c r="C252" s="32" t="b">
        <f>_xlfn.XLOOKUP(Table61011121314[[#This Row],[Category No]],Table8[Category No],Table8[Chapter List],FALSE)</f>
        <v>0</v>
      </c>
      <c r="D252" s="34"/>
      <c r="E252" s="34"/>
    </row>
    <row r="253" spans="1:5" x14ac:dyDescent="0.3">
      <c r="A253" s="32">
        <v>252</v>
      </c>
      <c r="B253" s="32"/>
      <c r="C253" s="32" t="b">
        <f>_xlfn.XLOOKUP(Table61011121314[[#This Row],[Category No]],Table8[Category No],Table8[Chapter List],FALSE)</f>
        <v>0</v>
      </c>
      <c r="D253" s="34"/>
      <c r="E253" s="34"/>
    </row>
    <row r="254" spans="1:5" x14ac:dyDescent="0.3">
      <c r="A254" s="32">
        <v>253</v>
      </c>
      <c r="B254" s="32"/>
      <c r="C254" s="32" t="b">
        <f>_xlfn.XLOOKUP(Table61011121314[[#This Row],[Category No]],Table8[Category No],Table8[Chapter List],FALSE)</f>
        <v>0</v>
      </c>
      <c r="D254" s="34"/>
      <c r="E254" s="34"/>
    </row>
    <row r="255" spans="1:5" x14ac:dyDescent="0.3">
      <c r="A255" s="32">
        <v>254</v>
      </c>
      <c r="B255" s="32"/>
      <c r="C255" s="32" t="b">
        <f>_xlfn.XLOOKUP(Table61011121314[[#This Row],[Category No]],Table8[Category No],Table8[Chapter List],FALSE)</f>
        <v>0</v>
      </c>
      <c r="D255" s="34"/>
      <c r="E255" s="34"/>
    </row>
    <row r="256" spans="1:5" x14ac:dyDescent="0.3">
      <c r="A256" s="32">
        <v>255</v>
      </c>
      <c r="B256" s="32"/>
      <c r="C256" s="32" t="b">
        <f>_xlfn.XLOOKUP(Table61011121314[[#This Row],[Category No]],Table8[Category No],Table8[Chapter List],FALSE)</f>
        <v>0</v>
      </c>
      <c r="D256" s="34"/>
      <c r="E256" s="34"/>
    </row>
    <row r="257" spans="1:5" x14ac:dyDescent="0.3">
      <c r="A257" s="32">
        <v>256</v>
      </c>
      <c r="B257" s="32"/>
      <c r="C257" s="32" t="b">
        <f>_xlfn.XLOOKUP(Table61011121314[[#This Row],[Category No]],Table8[Category No],Table8[Chapter List],FALSE)</f>
        <v>0</v>
      </c>
      <c r="D257" s="34"/>
      <c r="E257" s="34"/>
    </row>
    <row r="258" spans="1:5" x14ac:dyDescent="0.3">
      <c r="A258" s="32">
        <v>257</v>
      </c>
      <c r="B258" s="32"/>
      <c r="C258" s="32" t="b">
        <f>_xlfn.XLOOKUP(Table61011121314[[#This Row],[Category No]],Table8[Category No],Table8[Chapter List],FALSE)</f>
        <v>0</v>
      </c>
      <c r="D258" s="34"/>
      <c r="E258" s="34"/>
    </row>
    <row r="259" spans="1:5" x14ac:dyDescent="0.3">
      <c r="A259" s="32">
        <v>258</v>
      </c>
      <c r="B259" s="32"/>
      <c r="C259" s="32" t="b">
        <f>_xlfn.XLOOKUP(Table61011121314[[#This Row],[Category No]],Table8[Category No],Table8[Chapter List],FALSE)</f>
        <v>0</v>
      </c>
      <c r="D259" s="34"/>
      <c r="E259" s="34"/>
    </row>
    <row r="260" spans="1:5" x14ac:dyDescent="0.3">
      <c r="A260" s="32">
        <v>259</v>
      </c>
      <c r="B260" s="32"/>
      <c r="C260" s="32" t="b">
        <f>_xlfn.XLOOKUP(Table61011121314[[#This Row],[Category No]],Table8[Category No],Table8[Chapter List],FALSE)</f>
        <v>0</v>
      </c>
      <c r="D260" s="34"/>
      <c r="E260" s="34"/>
    </row>
    <row r="261" spans="1:5" x14ac:dyDescent="0.3">
      <c r="A261" s="32">
        <v>260</v>
      </c>
      <c r="B261" s="32"/>
      <c r="C261" s="32" t="b">
        <f>_xlfn.XLOOKUP(Table61011121314[[#This Row],[Category No]],Table8[Category No],Table8[Chapter List],FALSE)</f>
        <v>0</v>
      </c>
      <c r="D261" s="34"/>
      <c r="E261" s="34"/>
    </row>
    <row r="262" spans="1:5" x14ac:dyDescent="0.3">
      <c r="A262" s="32">
        <v>261</v>
      </c>
      <c r="B262" s="32"/>
      <c r="C262" s="32" t="b">
        <f>_xlfn.XLOOKUP(Table61011121314[[#This Row],[Category No]],Table8[Category No],Table8[Chapter List],FALSE)</f>
        <v>0</v>
      </c>
      <c r="D262" s="34"/>
      <c r="E262" s="34"/>
    </row>
    <row r="263" spans="1:5" x14ac:dyDescent="0.3">
      <c r="A263" s="32">
        <v>262</v>
      </c>
      <c r="B263" s="32"/>
      <c r="C263" s="32" t="b">
        <f>_xlfn.XLOOKUP(Table61011121314[[#This Row],[Category No]],Table8[Category No],Table8[Chapter List],FALSE)</f>
        <v>0</v>
      </c>
      <c r="D263" s="34"/>
      <c r="E263" s="34"/>
    </row>
    <row r="264" spans="1:5" x14ac:dyDescent="0.3">
      <c r="A264" s="32">
        <v>263</v>
      </c>
      <c r="B264" s="32"/>
      <c r="C264" s="32" t="b">
        <f>_xlfn.XLOOKUP(Table61011121314[[#This Row],[Category No]],Table8[Category No],Table8[Chapter List],FALSE)</f>
        <v>0</v>
      </c>
      <c r="D264" s="34"/>
      <c r="E264" s="34"/>
    </row>
    <row r="265" spans="1:5" x14ac:dyDescent="0.3">
      <c r="A265" s="32">
        <v>264</v>
      </c>
      <c r="B265" s="32"/>
      <c r="C265" s="32" t="b">
        <f>_xlfn.XLOOKUP(Table61011121314[[#This Row],[Category No]],Table8[Category No],Table8[Chapter List],FALSE)</f>
        <v>0</v>
      </c>
      <c r="D265" s="34"/>
      <c r="E265" s="34"/>
    </row>
    <row r="266" spans="1:5" x14ac:dyDescent="0.3">
      <c r="A266" s="32">
        <v>265</v>
      </c>
      <c r="B266" s="32"/>
      <c r="C266" s="32" t="b">
        <f>_xlfn.XLOOKUP(Table61011121314[[#This Row],[Category No]],Table8[Category No],Table8[Chapter List],FALSE)</f>
        <v>0</v>
      </c>
      <c r="D266" s="34"/>
      <c r="E266" s="34"/>
    </row>
    <row r="267" spans="1:5" x14ac:dyDescent="0.3">
      <c r="A267" s="32">
        <v>266</v>
      </c>
      <c r="B267" s="32"/>
      <c r="C267" s="32" t="b">
        <f>_xlfn.XLOOKUP(Table61011121314[[#This Row],[Category No]],Table8[Category No],Table8[Chapter List],FALSE)</f>
        <v>0</v>
      </c>
      <c r="D267" s="34"/>
      <c r="E267" s="34"/>
    </row>
    <row r="268" spans="1:5" x14ac:dyDescent="0.3">
      <c r="A268" s="32">
        <v>267</v>
      </c>
      <c r="B268" s="32"/>
      <c r="C268" s="32" t="b">
        <f>_xlfn.XLOOKUP(Table61011121314[[#This Row],[Category No]],Table8[Category No],Table8[Chapter List],FALSE)</f>
        <v>0</v>
      </c>
      <c r="D268" s="34"/>
      <c r="E268" s="34"/>
    </row>
    <row r="269" spans="1:5" x14ac:dyDescent="0.3">
      <c r="A269" s="32">
        <v>268</v>
      </c>
      <c r="B269" s="32"/>
      <c r="C269" s="32" t="b">
        <f>_xlfn.XLOOKUP(Table61011121314[[#This Row],[Category No]],Table8[Category No],Table8[Chapter List],FALSE)</f>
        <v>0</v>
      </c>
      <c r="D269" s="34"/>
      <c r="E269" s="34"/>
    </row>
    <row r="270" spans="1:5" x14ac:dyDescent="0.3">
      <c r="A270" s="32">
        <v>269</v>
      </c>
      <c r="B270" s="32"/>
      <c r="C270" s="32" t="b">
        <f>_xlfn.XLOOKUP(Table61011121314[[#This Row],[Category No]],Table8[Category No],Table8[Chapter List],FALSE)</f>
        <v>0</v>
      </c>
      <c r="D270" s="34"/>
      <c r="E270" s="34"/>
    </row>
    <row r="271" spans="1:5" x14ac:dyDescent="0.3">
      <c r="A271" s="32">
        <v>270</v>
      </c>
      <c r="B271" s="32"/>
      <c r="C271" s="32" t="b">
        <f>_xlfn.XLOOKUP(Table61011121314[[#This Row],[Category No]],Table8[Category No],Table8[Chapter List],FALSE)</f>
        <v>0</v>
      </c>
      <c r="D271" s="34"/>
      <c r="E271" s="34"/>
    </row>
    <row r="272" spans="1:5" x14ac:dyDescent="0.3">
      <c r="A272" s="32">
        <v>271</v>
      </c>
      <c r="B272" s="32"/>
      <c r="C272" s="32" t="b">
        <f>_xlfn.XLOOKUP(Table61011121314[[#This Row],[Category No]],Table8[Category No],Table8[Chapter List],FALSE)</f>
        <v>0</v>
      </c>
      <c r="D272" s="34"/>
      <c r="E272" s="34"/>
    </row>
    <row r="273" spans="1:5" x14ac:dyDescent="0.3">
      <c r="A273" s="32">
        <v>272</v>
      </c>
      <c r="B273" s="32"/>
      <c r="C273" s="32" t="b">
        <f>_xlfn.XLOOKUP(Table61011121314[[#This Row],[Category No]],Table8[Category No],Table8[Chapter List],FALSE)</f>
        <v>0</v>
      </c>
      <c r="D273" s="34"/>
      <c r="E273" s="34"/>
    </row>
    <row r="274" spans="1:5" x14ac:dyDescent="0.3">
      <c r="A274" s="32">
        <v>273</v>
      </c>
      <c r="B274" s="32"/>
      <c r="C274" s="32" t="b">
        <f>_xlfn.XLOOKUP(Table61011121314[[#This Row],[Category No]],Table8[Category No],Table8[Chapter List],FALSE)</f>
        <v>0</v>
      </c>
      <c r="D274" s="34"/>
      <c r="E274" s="34"/>
    </row>
    <row r="275" spans="1:5" x14ac:dyDescent="0.3">
      <c r="A275" s="32">
        <v>274</v>
      </c>
      <c r="B275" s="32"/>
      <c r="C275" s="32" t="b">
        <f>_xlfn.XLOOKUP(Table61011121314[[#This Row],[Category No]],Table8[Category No],Table8[Chapter List],FALSE)</f>
        <v>0</v>
      </c>
      <c r="D275" s="34"/>
      <c r="E275" s="34"/>
    </row>
    <row r="276" spans="1:5" x14ac:dyDescent="0.3">
      <c r="A276" s="32">
        <v>275</v>
      </c>
      <c r="B276" s="32"/>
      <c r="C276" s="32" t="b">
        <f>_xlfn.XLOOKUP(Table61011121314[[#This Row],[Category No]],Table8[Category No],Table8[Chapter List],FALSE)</f>
        <v>0</v>
      </c>
      <c r="D276" s="34"/>
      <c r="E276" s="34"/>
    </row>
    <row r="277" spans="1:5" x14ac:dyDescent="0.3">
      <c r="A277" s="32">
        <v>276</v>
      </c>
      <c r="B277" s="32"/>
      <c r="C277" s="32" t="b">
        <f>_xlfn.XLOOKUP(Table61011121314[[#This Row],[Category No]],Table8[Category No],Table8[Chapter List],FALSE)</f>
        <v>0</v>
      </c>
      <c r="D277" s="34"/>
      <c r="E277" s="34"/>
    </row>
    <row r="278" spans="1:5" x14ac:dyDescent="0.3">
      <c r="A278" s="32">
        <v>277</v>
      </c>
      <c r="B278" s="32"/>
      <c r="C278" s="32" t="b">
        <f>_xlfn.XLOOKUP(Table61011121314[[#This Row],[Category No]],Table8[Category No],Table8[Chapter List],FALSE)</f>
        <v>0</v>
      </c>
      <c r="D278" s="34"/>
      <c r="E278" s="34"/>
    </row>
    <row r="279" spans="1:5" x14ac:dyDescent="0.3">
      <c r="A279" s="32">
        <v>278</v>
      </c>
      <c r="B279" s="32"/>
      <c r="C279" s="32" t="b">
        <f>_xlfn.XLOOKUP(Table61011121314[[#This Row],[Category No]],Table8[Category No],Table8[Chapter List],FALSE)</f>
        <v>0</v>
      </c>
      <c r="D279" s="34"/>
      <c r="E279" s="34"/>
    </row>
    <row r="280" spans="1:5" x14ac:dyDescent="0.3">
      <c r="A280" s="32">
        <v>279</v>
      </c>
      <c r="B280" s="32"/>
      <c r="C280" s="32" t="b">
        <f>_xlfn.XLOOKUP(Table61011121314[[#This Row],[Category No]],Table8[Category No],Table8[Chapter List],FALSE)</f>
        <v>0</v>
      </c>
      <c r="D280" s="34"/>
      <c r="E280" s="34"/>
    </row>
    <row r="281" spans="1:5" x14ac:dyDescent="0.3">
      <c r="A281" s="32">
        <v>280</v>
      </c>
      <c r="B281" s="32"/>
      <c r="C281" s="32" t="b">
        <f>_xlfn.XLOOKUP(Table61011121314[[#This Row],[Category No]],Table8[Category No],Table8[Chapter List],FALSE)</f>
        <v>0</v>
      </c>
      <c r="D281" s="34"/>
      <c r="E281" s="34"/>
    </row>
    <row r="282" spans="1:5" x14ac:dyDescent="0.3">
      <c r="A282" s="32">
        <v>281</v>
      </c>
      <c r="B282" s="32"/>
      <c r="C282" s="32" t="b">
        <f>_xlfn.XLOOKUP(Table61011121314[[#This Row],[Category No]],Table8[Category No],Table8[Chapter List],FALSE)</f>
        <v>0</v>
      </c>
      <c r="D282" s="34"/>
      <c r="E282" s="34"/>
    </row>
    <row r="283" spans="1:5" x14ac:dyDescent="0.3">
      <c r="A283" s="32">
        <v>282</v>
      </c>
      <c r="B283" s="32"/>
      <c r="C283" s="32" t="b">
        <f>_xlfn.XLOOKUP(Table61011121314[[#This Row],[Category No]],Table8[Category No],Table8[Chapter List],FALSE)</f>
        <v>0</v>
      </c>
      <c r="D283" s="34"/>
      <c r="E283" s="34"/>
    </row>
    <row r="284" spans="1:5" x14ac:dyDescent="0.3">
      <c r="A284" s="32">
        <v>283</v>
      </c>
      <c r="B284" s="32"/>
      <c r="C284" s="32" t="b">
        <f>_xlfn.XLOOKUP(Table61011121314[[#This Row],[Category No]],Table8[Category No],Table8[Chapter List],FALSE)</f>
        <v>0</v>
      </c>
      <c r="D284" s="34"/>
      <c r="E284" s="34"/>
    </row>
    <row r="285" spans="1:5" x14ac:dyDescent="0.3">
      <c r="A285" s="32">
        <v>284</v>
      </c>
      <c r="B285" s="32"/>
      <c r="C285" s="32" t="b">
        <f>_xlfn.XLOOKUP(Table61011121314[[#This Row],[Category No]],Table8[Category No],Table8[Chapter List],FALSE)</f>
        <v>0</v>
      </c>
      <c r="D285" s="34"/>
      <c r="E285" s="34"/>
    </row>
    <row r="286" spans="1:5" x14ac:dyDescent="0.3">
      <c r="A286" s="32">
        <v>285</v>
      </c>
      <c r="B286" s="32"/>
      <c r="C286" s="32" t="b">
        <f>_xlfn.XLOOKUP(Table61011121314[[#This Row],[Category No]],Table8[Category No],Table8[Chapter List],FALSE)</f>
        <v>0</v>
      </c>
      <c r="D286" s="34"/>
      <c r="E286" s="34"/>
    </row>
    <row r="287" spans="1:5" x14ac:dyDescent="0.3">
      <c r="A287" s="32">
        <v>286</v>
      </c>
      <c r="B287" s="32"/>
      <c r="C287" s="32" t="b">
        <f>_xlfn.XLOOKUP(Table61011121314[[#This Row],[Category No]],Table8[Category No],Table8[Chapter List],FALSE)</f>
        <v>0</v>
      </c>
      <c r="D287" s="34"/>
      <c r="E287" s="34"/>
    </row>
    <row r="288" spans="1:5" x14ac:dyDescent="0.3">
      <c r="A288" s="32">
        <v>287</v>
      </c>
      <c r="B288" s="32"/>
      <c r="C288" s="32" t="b">
        <f>_xlfn.XLOOKUP(Table61011121314[[#This Row],[Category No]],Table8[Category No],Table8[Chapter List],FALSE)</f>
        <v>0</v>
      </c>
      <c r="D288" s="34"/>
      <c r="E288" s="34"/>
    </row>
    <row r="289" spans="1:5" x14ac:dyDescent="0.3">
      <c r="A289" s="32">
        <v>288</v>
      </c>
      <c r="B289" s="32"/>
      <c r="C289" s="32" t="b">
        <f>_xlfn.XLOOKUP(Table61011121314[[#This Row],[Category No]],Table8[Category No],Table8[Chapter List],FALSE)</f>
        <v>0</v>
      </c>
      <c r="D289" s="34"/>
      <c r="E289" s="34"/>
    </row>
    <row r="290" spans="1:5" x14ac:dyDescent="0.3">
      <c r="A290" s="32">
        <v>289</v>
      </c>
      <c r="B290" s="32"/>
      <c r="C290" s="32" t="b">
        <f>_xlfn.XLOOKUP(Table61011121314[[#This Row],[Category No]],Table8[Category No],Table8[Chapter List],FALSE)</f>
        <v>0</v>
      </c>
      <c r="D290" s="34"/>
      <c r="E290" s="34"/>
    </row>
    <row r="291" spans="1:5" x14ac:dyDescent="0.3">
      <c r="A291" s="32">
        <v>290</v>
      </c>
      <c r="B291" s="32"/>
      <c r="C291" s="32" t="b">
        <f>_xlfn.XLOOKUP(Table61011121314[[#This Row],[Category No]],Table8[Category No],Table8[Chapter List],FALSE)</f>
        <v>0</v>
      </c>
      <c r="D291" s="34"/>
      <c r="E291" s="34"/>
    </row>
    <row r="292" spans="1:5" x14ac:dyDescent="0.3">
      <c r="A292" s="32">
        <v>291</v>
      </c>
      <c r="B292" s="32"/>
      <c r="C292" s="32" t="b">
        <f>_xlfn.XLOOKUP(Table61011121314[[#This Row],[Category No]],Table8[Category No],Table8[Chapter List],FALSE)</f>
        <v>0</v>
      </c>
      <c r="D292" s="34"/>
      <c r="E292" s="34"/>
    </row>
    <row r="293" spans="1:5" x14ac:dyDescent="0.3">
      <c r="A293" s="32">
        <v>292</v>
      </c>
      <c r="B293" s="32"/>
      <c r="C293" s="32" t="b">
        <f>_xlfn.XLOOKUP(Table61011121314[[#This Row],[Category No]],Table8[Category No],Table8[Chapter List],FALSE)</f>
        <v>0</v>
      </c>
      <c r="D293" s="34"/>
      <c r="E293" s="34"/>
    </row>
    <row r="294" spans="1:5" x14ac:dyDescent="0.3">
      <c r="A294" s="32">
        <v>293</v>
      </c>
      <c r="B294" s="32"/>
      <c r="C294" s="32" t="b">
        <f>_xlfn.XLOOKUP(Table61011121314[[#This Row],[Category No]],Table8[Category No],Table8[Chapter List],FALSE)</f>
        <v>0</v>
      </c>
      <c r="D294" s="34"/>
      <c r="E294" s="34"/>
    </row>
    <row r="295" spans="1:5" x14ac:dyDescent="0.3">
      <c r="A295" s="32">
        <v>294</v>
      </c>
      <c r="B295" s="32"/>
      <c r="C295" s="32" t="b">
        <f>_xlfn.XLOOKUP(Table61011121314[[#This Row],[Category No]],Table8[Category No],Table8[Chapter List],FALSE)</f>
        <v>0</v>
      </c>
      <c r="D295" s="34"/>
      <c r="E295" s="34"/>
    </row>
    <row r="296" spans="1:5" x14ac:dyDescent="0.3">
      <c r="A296" s="32">
        <v>295</v>
      </c>
      <c r="B296" s="32"/>
      <c r="C296" s="32" t="b">
        <f>_xlfn.XLOOKUP(Table61011121314[[#This Row],[Category No]],Table8[Category No],Table8[Chapter List],FALSE)</f>
        <v>0</v>
      </c>
      <c r="D296" s="34"/>
      <c r="E296" s="34"/>
    </row>
    <row r="297" spans="1:5" x14ac:dyDescent="0.3">
      <c r="A297" s="32">
        <v>296</v>
      </c>
      <c r="B297" s="32"/>
      <c r="C297" s="32" t="b">
        <f>_xlfn.XLOOKUP(Table61011121314[[#This Row],[Category No]],Table8[Category No],Table8[Chapter List],FALSE)</f>
        <v>0</v>
      </c>
      <c r="D297" s="34"/>
      <c r="E297" s="34"/>
    </row>
    <row r="298" spans="1:5" x14ac:dyDescent="0.3">
      <c r="A298" s="32">
        <v>297</v>
      </c>
      <c r="B298" s="32"/>
      <c r="C298" s="32" t="b">
        <f>_xlfn.XLOOKUP(Table61011121314[[#This Row],[Category No]],Table8[Category No],Table8[Chapter List],FALSE)</f>
        <v>0</v>
      </c>
      <c r="D298" s="34"/>
      <c r="E298" s="34"/>
    </row>
    <row r="299" spans="1:5" x14ac:dyDescent="0.3">
      <c r="A299" s="32">
        <v>298</v>
      </c>
      <c r="B299" s="32"/>
      <c r="C299" s="32" t="b">
        <f>_xlfn.XLOOKUP(Table61011121314[[#This Row],[Category No]],Table8[Category No],Table8[Chapter List],FALSE)</f>
        <v>0</v>
      </c>
      <c r="D299" s="34"/>
      <c r="E299" s="34"/>
    </row>
    <row r="300" spans="1:5" x14ac:dyDescent="0.3">
      <c r="A300" s="32">
        <v>299</v>
      </c>
      <c r="B300" s="32"/>
      <c r="C300" s="32" t="b">
        <f>_xlfn.XLOOKUP(Table61011121314[[#This Row],[Category No]],Table8[Category No],Table8[Chapter List],FALSE)</f>
        <v>0</v>
      </c>
      <c r="D300" s="34"/>
      <c r="E300" s="34"/>
    </row>
    <row r="301" spans="1:5" x14ac:dyDescent="0.3">
      <c r="A301" s="32">
        <v>300</v>
      </c>
      <c r="B301" s="32"/>
      <c r="C301" s="32" t="b">
        <f>_xlfn.XLOOKUP(Table61011121314[[#This Row],[Category No]],Table8[Category No],Table8[Chapter List],FALSE)</f>
        <v>0</v>
      </c>
      <c r="D301" s="34"/>
      <c r="E301" s="34"/>
    </row>
    <row r="302" spans="1:5" x14ac:dyDescent="0.3">
      <c r="A302" s="32">
        <v>301</v>
      </c>
      <c r="B302" s="32"/>
      <c r="C302" s="32" t="b">
        <f>_xlfn.XLOOKUP(Table61011121314[[#This Row],[Category No]],Table8[Category No],Table8[Chapter List],FALSE)</f>
        <v>0</v>
      </c>
      <c r="D302" s="34"/>
      <c r="E302" s="34"/>
    </row>
    <row r="303" spans="1:5" x14ac:dyDescent="0.3">
      <c r="A303" s="32">
        <v>302</v>
      </c>
      <c r="B303" s="32"/>
      <c r="C303" s="32" t="b">
        <f>_xlfn.XLOOKUP(Table61011121314[[#This Row],[Category No]],Table8[Category No],Table8[Chapter List],FALSE)</f>
        <v>0</v>
      </c>
      <c r="D303" s="34"/>
      <c r="E303" s="34"/>
    </row>
    <row r="304" spans="1:5" x14ac:dyDescent="0.3">
      <c r="A304" s="32">
        <v>303</v>
      </c>
      <c r="B304" s="32"/>
      <c r="C304" s="32" t="b">
        <f>_xlfn.XLOOKUP(Table61011121314[[#This Row],[Category No]],Table8[Category No],Table8[Chapter List],FALSE)</f>
        <v>0</v>
      </c>
      <c r="D304" s="34"/>
      <c r="E304" s="34"/>
    </row>
    <row r="305" spans="1:5" x14ac:dyDescent="0.3">
      <c r="A305" s="32">
        <v>304</v>
      </c>
      <c r="B305" s="32"/>
      <c r="C305" s="32" t="b">
        <f>_xlfn.XLOOKUP(Table61011121314[[#This Row],[Category No]],Table8[Category No],Table8[Chapter List],FALSE)</f>
        <v>0</v>
      </c>
      <c r="D305" s="34"/>
      <c r="E305" s="34"/>
    </row>
    <row r="306" spans="1:5" x14ac:dyDescent="0.3">
      <c r="A306" s="32">
        <v>305</v>
      </c>
      <c r="B306" s="32"/>
      <c r="C306" s="32" t="b">
        <f>_xlfn.XLOOKUP(Table61011121314[[#This Row],[Category No]],Table8[Category No],Table8[Chapter List],FALSE)</f>
        <v>0</v>
      </c>
      <c r="D306" s="34"/>
      <c r="E306" s="34"/>
    </row>
    <row r="307" spans="1:5" x14ac:dyDescent="0.3">
      <c r="A307" s="32">
        <v>306</v>
      </c>
      <c r="B307" s="32"/>
      <c r="C307" s="32" t="b">
        <f>_xlfn.XLOOKUP(Table61011121314[[#This Row],[Category No]],Table8[Category No],Table8[Chapter List],FALSE)</f>
        <v>0</v>
      </c>
      <c r="D307" s="34"/>
      <c r="E307" s="34"/>
    </row>
    <row r="308" spans="1:5" x14ac:dyDescent="0.3">
      <c r="A308" s="32">
        <v>307</v>
      </c>
      <c r="B308" s="32"/>
      <c r="C308" s="32" t="b">
        <f>_xlfn.XLOOKUP(Table61011121314[[#This Row],[Category No]],Table8[Category No],Table8[Chapter List],FALSE)</f>
        <v>0</v>
      </c>
      <c r="D308" s="34"/>
      <c r="E308" s="34"/>
    </row>
    <row r="309" spans="1:5" x14ac:dyDescent="0.3">
      <c r="A309" s="32">
        <v>308</v>
      </c>
      <c r="B309" s="32"/>
      <c r="C309" s="32" t="b">
        <f>_xlfn.XLOOKUP(Table61011121314[[#This Row],[Category No]],Table8[Category No],Table8[Chapter List],FALSE)</f>
        <v>0</v>
      </c>
      <c r="D309" s="34"/>
      <c r="E309" s="34"/>
    </row>
    <row r="310" spans="1:5" x14ac:dyDescent="0.3">
      <c r="A310" s="32">
        <v>309</v>
      </c>
      <c r="B310" s="32"/>
      <c r="C310" s="32" t="b">
        <f>_xlfn.XLOOKUP(Table61011121314[[#This Row],[Category No]],Table8[Category No],Table8[Chapter List],FALSE)</f>
        <v>0</v>
      </c>
      <c r="D310" s="34"/>
      <c r="E310" s="34"/>
    </row>
    <row r="311" spans="1:5" x14ac:dyDescent="0.3">
      <c r="A311" s="32">
        <v>310</v>
      </c>
      <c r="B311" s="32"/>
      <c r="C311" s="32" t="b">
        <f>_xlfn.XLOOKUP(Table61011121314[[#This Row],[Category No]],Table8[Category No],Table8[Chapter List],FALSE)</f>
        <v>0</v>
      </c>
      <c r="D311" s="34"/>
      <c r="E311" s="34"/>
    </row>
    <row r="312" spans="1:5" x14ac:dyDescent="0.3">
      <c r="A312" s="32">
        <v>311</v>
      </c>
      <c r="B312" s="32"/>
      <c r="C312" s="32" t="b">
        <f>_xlfn.XLOOKUP(Table61011121314[[#This Row],[Category No]],Table8[Category No],Table8[Chapter List],FALSE)</f>
        <v>0</v>
      </c>
      <c r="D312" s="34"/>
      <c r="E312" s="34"/>
    </row>
    <row r="313" spans="1:5" x14ac:dyDescent="0.3">
      <c r="A313" s="32">
        <v>312</v>
      </c>
      <c r="B313" s="32"/>
      <c r="C313" s="32" t="b">
        <f>_xlfn.XLOOKUP(Table61011121314[[#This Row],[Category No]],Table8[Category No],Table8[Chapter List],FALSE)</f>
        <v>0</v>
      </c>
      <c r="D313" s="34"/>
      <c r="E313" s="34"/>
    </row>
    <row r="314" spans="1:5" x14ac:dyDescent="0.3">
      <c r="A314" s="32">
        <v>313</v>
      </c>
      <c r="B314" s="32"/>
      <c r="C314" s="32" t="b">
        <f>_xlfn.XLOOKUP(Table61011121314[[#This Row],[Category No]],Table8[Category No],Table8[Chapter List],FALSE)</f>
        <v>0</v>
      </c>
      <c r="D314" s="34"/>
      <c r="E314" s="34"/>
    </row>
    <row r="315" spans="1:5" x14ac:dyDescent="0.3">
      <c r="A315" s="32">
        <v>314</v>
      </c>
      <c r="B315" s="32"/>
      <c r="C315" s="32" t="b">
        <f>_xlfn.XLOOKUP(Table61011121314[[#This Row],[Category No]],Table8[Category No],Table8[Chapter List],FALSE)</f>
        <v>0</v>
      </c>
      <c r="D315" s="34"/>
      <c r="E315" s="34"/>
    </row>
    <row r="316" spans="1:5" x14ac:dyDescent="0.3">
      <c r="A316" s="32">
        <v>315</v>
      </c>
      <c r="B316" s="32"/>
      <c r="C316" s="32" t="b">
        <f>_xlfn.XLOOKUP(Table61011121314[[#This Row],[Category No]],Table8[Category No],Table8[Chapter List],FALSE)</f>
        <v>0</v>
      </c>
      <c r="D316" s="34"/>
      <c r="E316" s="34"/>
    </row>
    <row r="317" spans="1:5" x14ac:dyDescent="0.3">
      <c r="A317" s="32">
        <v>316</v>
      </c>
      <c r="B317" s="32"/>
      <c r="C317" s="32" t="b">
        <f>_xlfn.XLOOKUP(Table61011121314[[#This Row],[Category No]],Table8[Category No],Table8[Chapter List],FALSE)</f>
        <v>0</v>
      </c>
      <c r="D317" s="34"/>
      <c r="E317" s="34"/>
    </row>
    <row r="318" spans="1:5" x14ac:dyDescent="0.3">
      <c r="A318" s="32">
        <v>317</v>
      </c>
      <c r="B318" s="32"/>
      <c r="C318" s="32" t="b">
        <f>_xlfn.XLOOKUP(Table61011121314[[#This Row],[Category No]],Table8[Category No],Table8[Chapter List],FALSE)</f>
        <v>0</v>
      </c>
      <c r="D318" s="34"/>
      <c r="E318" s="34"/>
    </row>
    <row r="319" spans="1:5" x14ac:dyDescent="0.3">
      <c r="A319" s="32">
        <v>318</v>
      </c>
      <c r="B319" s="32"/>
      <c r="C319" s="32" t="b">
        <f>_xlfn.XLOOKUP(Table61011121314[[#This Row],[Category No]],Table8[Category No],Table8[Chapter List],FALSE)</f>
        <v>0</v>
      </c>
      <c r="D319" s="34"/>
      <c r="E319" s="34"/>
    </row>
    <row r="320" spans="1:5" x14ac:dyDescent="0.3">
      <c r="A320" s="32">
        <v>319</v>
      </c>
      <c r="B320" s="32"/>
      <c r="C320" s="32" t="b">
        <f>_xlfn.XLOOKUP(Table61011121314[[#This Row],[Category No]],Table8[Category No],Table8[Chapter List],FALSE)</f>
        <v>0</v>
      </c>
      <c r="D320" s="34"/>
      <c r="E320" s="34"/>
    </row>
    <row r="321" spans="1:5" x14ac:dyDescent="0.3">
      <c r="A321" s="32">
        <v>320</v>
      </c>
      <c r="B321" s="32"/>
      <c r="C321" s="32" t="b">
        <f>_xlfn.XLOOKUP(Table61011121314[[#This Row],[Category No]],Table8[Category No],Table8[Chapter List],FALSE)</f>
        <v>0</v>
      </c>
      <c r="D321" s="34"/>
      <c r="E321" s="34"/>
    </row>
    <row r="322" spans="1:5" x14ac:dyDescent="0.3">
      <c r="A322" s="32">
        <v>321</v>
      </c>
      <c r="B322" s="32"/>
      <c r="C322" s="32" t="b">
        <f>_xlfn.XLOOKUP(Table61011121314[[#This Row],[Category No]],Table8[Category No],Table8[Chapter List],FALSE)</f>
        <v>0</v>
      </c>
      <c r="D322" s="34"/>
      <c r="E322" s="34"/>
    </row>
    <row r="323" spans="1:5" x14ac:dyDescent="0.3">
      <c r="A323" s="32">
        <v>322</v>
      </c>
      <c r="B323" s="32"/>
      <c r="C323" s="32" t="b">
        <f>_xlfn.XLOOKUP(Table61011121314[[#This Row],[Category No]],Table8[Category No],Table8[Chapter List],FALSE)</f>
        <v>0</v>
      </c>
      <c r="D323" s="34"/>
      <c r="E323" s="34"/>
    </row>
    <row r="324" spans="1:5" x14ac:dyDescent="0.3">
      <c r="A324" s="32">
        <v>323</v>
      </c>
      <c r="B324" s="32"/>
      <c r="C324" s="32" t="b">
        <f>_xlfn.XLOOKUP(Table61011121314[[#This Row],[Category No]],Table8[Category No],Table8[Chapter List],FALSE)</f>
        <v>0</v>
      </c>
      <c r="D324" s="34"/>
      <c r="E324" s="34"/>
    </row>
    <row r="325" spans="1:5" x14ac:dyDescent="0.3">
      <c r="A325" s="32">
        <v>324</v>
      </c>
      <c r="B325" s="32"/>
      <c r="C325" s="32" t="b">
        <f>_xlfn.XLOOKUP(Table61011121314[[#This Row],[Category No]],Table8[Category No],Table8[Chapter List],FALSE)</f>
        <v>0</v>
      </c>
      <c r="D325" s="34"/>
      <c r="E325" s="34"/>
    </row>
    <row r="326" spans="1:5" x14ac:dyDescent="0.3">
      <c r="A326" s="32">
        <v>325</v>
      </c>
      <c r="B326" s="32"/>
      <c r="C326" s="32" t="b">
        <f>_xlfn.XLOOKUP(Table61011121314[[#This Row],[Category No]],Table8[Category No],Table8[Chapter List],FALSE)</f>
        <v>0</v>
      </c>
      <c r="D326" s="34"/>
      <c r="E326" s="34"/>
    </row>
    <row r="327" spans="1:5" x14ac:dyDescent="0.3">
      <c r="A327" s="32">
        <v>326</v>
      </c>
      <c r="B327" s="32"/>
      <c r="C327" s="32" t="b">
        <f>_xlfn.XLOOKUP(Table61011121314[[#This Row],[Category No]],Table8[Category No],Table8[Chapter List],FALSE)</f>
        <v>0</v>
      </c>
      <c r="D327" s="34"/>
      <c r="E327" s="34"/>
    </row>
    <row r="328" spans="1:5" x14ac:dyDescent="0.3">
      <c r="A328" s="32">
        <v>327</v>
      </c>
      <c r="B328" s="32"/>
      <c r="C328" s="32" t="b">
        <f>_xlfn.XLOOKUP(Table61011121314[[#This Row],[Category No]],Table8[Category No],Table8[Chapter List],FALSE)</f>
        <v>0</v>
      </c>
      <c r="D328" s="34"/>
      <c r="E328" s="34"/>
    </row>
    <row r="329" spans="1:5" x14ac:dyDescent="0.3">
      <c r="A329" s="32">
        <v>328</v>
      </c>
      <c r="B329" s="32"/>
      <c r="C329" s="32" t="b">
        <f>_xlfn.XLOOKUP(Table61011121314[[#This Row],[Category No]],Table8[Category No],Table8[Chapter List],FALSE)</f>
        <v>0</v>
      </c>
      <c r="D329" s="34"/>
      <c r="E329" s="34"/>
    </row>
    <row r="330" spans="1:5" x14ac:dyDescent="0.3">
      <c r="A330" s="32">
        <v>329</v>
      </c>
      <c r="B330" s="32"/>
      <c r="C330" s="32" t="b">
        <f>_xlfn.XLOOKUP(Table61011121314[[#This Row],[Category No]],Table8[Category No],Table8[Chapter List],FALSE)</f>
        <v>0</v>
      </c>
      <c r="D330" s="34"/>
      <c r="E330" s="34"/>
    </row>
    <row r="331" spans="1:5" x14ac:dyDescent="0.3">
      <c r="A331" s="32">
        <v>330</v>
      </c>
      <c r="B331" s="32"/>
      <c r="C331" s="32" t="b">
        <f>_xlfn.XLOOKUP(Table61011121314[[#This Row],[Category No]],Table8[Category No],Table8[Chapter List],FALSE)</f>
        <v>0</v>
      </c>
      <c r="D331" s="34"/>
      <c r="E331" s="34"/>
    </row>
    <row r="332" spans="1:5" x14ac:dyDescent="0.3">
      <c r="A332" s="32">
        <v>331</v>
      </c>
      <c r="B332" s="32"/>
      <c r="C332" s="32" t="b">
        <f>_xlfn.XLOOKUP(Table61011121314[[#This Row],[Category No]],Table8[Category No],Table8[Chapter List],FALSE)</f>
        <v>0</v>
      </c>
      <c r="D332" s="34"/>
      <c r="E332" s="34"/>
    </row>
    <row r="333" spans="1:5" x14ac:dyDescent="0.3">
      <c r="A333" s="32">
        <v>332</v>
      </c>
      <c r="B333" s="32"/>
      <c r="C333" s="32" t="b">
        <f>_xlfn.XLOOKUP(Table61011121314[[#This Row],[Category No]],Table8[Category No],Table8[Chapter List],FALSE)</f>
        <v>0</v>
      </c>
      <c r="D333" s="34"/>
      <c r="E333" s="34"/>
    </row>
    <row r="334" spans="1:5" x14ac:dyDescent="0.3">
      <c r="A334" s="32">
        <v>333</v>
      </c>
      <c r="B334" s="32"/>
      <c r="C334" s="32" t="b">
        <f>_xlfn.XLOOKUP(Table61011121314[[#This Row],[Category No]],Table8[Category No],Table8[Chapter List],FALSE)</f>
        <v>0</v>
      </c>
      <c r="D334" s="34"/>
      <c r="E334" s="34"/>
    </row>
    <row r="335" spans="1:5" x14ac:dyDescent="0.3">
      <c r="A335" s="32">
        <v>334</v>
      </c>
      <c r="B335" s="32"/>
      <c r="C335" s="32" t="b">
        <f>_xlfn.XLOOKUP(Table61011121314[[#This Row],[Category No]],Table8[Category No],Table8[Chapter List],FALSE)</f>
        <v>0</v>
      </c>
      <c r="D335" s="34"/>
      <c r="E335" s="34"/>
    </row>
    <row r="336" spans="1:5" x14ac:dyDescent="0.3">
      <c r="A336" s="32">
        <v>335</v>
      </c>
      <c r="B336" s="32"/>
      <c r="C336" s="32" t="b">
        <f>_xlfn.XLOOKUP(Table61011121314[[#This Row],[Category No]],Table8[Category No],Table8[Chapter List],FALSE)</f>
        <v>0</v>
      </c>
      <c r="D336" s="34"/>
      <c r="E336" s="34"/>
    </row>
    <row r="337" spans="1:5" x14ac:dyDescent="0.3">
      <c r="A337" s="32">
        <v>336</v>
      </c>
      <c r="B337" s="32"/>
      <c r="C337" s="32" t="b">
        <f>_xlfn.XLOOKUP(Table61011121314[[#This Row],[Category No]],Table8[Category No],Table8[Chapter List],FALSE)</f>
        <v>0</v>
      </c>
      <c r="D337" s="34"/>
      <c r="E337" s="34"/>
    </row>
    <row r="338" spans="1:5" x14ac:dyDescent="0.3">
      <c r="A338" s="32">
        <v>337</v>
      </c>
      <c r="B338" s="32"/>
      <c r="C338" s="32" t="b">
        <f>_xlfn.XLOOKUP(Table61011121314[[#This Row],[Category No]],Table8[Category No],Table8[Chapter List],FALSE)</f>
        <v>0</v>
      </c>
      <c r="D338" s="34"/>
      <c r="E338" s="34"/>
    </row>
    <row r="339" spans="1:5" x14ac:dyDescent="0.3">
      <c r="A339" s="32">
        <v>338</v>
      </c>
      <c r="B339" s="32"/>
      <c r="C339" s="32" t="b">
        <f>_xlfn.XLOOKUP(Table61011121314[[#This Row],[Category No]],Table8[Category No],Table8[Chapter List],FALSE)</f>
        <v>0</v>
      </c>
      <c r="D339" s="34"/>
      <c r="E339" s="34"/>
    </row>
    <row r="340" spans="1:5" x14ac:dyDescent="0.3">
      <c r="A340" s="32">
        <v>339</v>
      </c>
      <c r="B340" s="32"/>
      <c r="C340" s="32" t="b">
        <f>_xlfn.XLOOKUP(Table61011121314[[#This Row],[Category No]],Table8[Category No],Table8[Chapter List],FALSE)</f>
        <v>0</v>
      </c>
      <c r="D340" s="34"/>
      <c r="E340" s="34"/>
    </row>
    <row r="341" spans="1:5" x14ac:dyDescent="0.3">
      <c r="A341" s="32">
        <v>340</v>
      </c>
      <c r="B341" s="32"/>
      <c r="C341" s="32" t="b">
        <f>_xlfn.XLOOKUP(Table61011121314[[#This Row],[Category No]],Table8[Category No],Table8[Chapter List],FALSE)</f>
        <v>0</v>
      </c>
      <c r="D341" s="34"/>
      <c r="E341" s="34"/>
    </row>
    <row r="342" spans="1:5" x14ac:dyDescent="0.3">
      <c r="A342" s="32">
        <v>341</v>
      </c>
      <c r="B342" s="32"/>
      <c r="C342" s="32" t="b">
        <f>_xlfn.XLOOKUP(Table61011121314[[#This Row],[Category No]],Table8[Category No],Table8[Chapter List],FALSE)</f>
        <v>0</v>
      </c>
      <c r="D342" s="34"/>
      <c r="E342" s="34"/>
    </row>
    <row r="343" spans="1:5" x14ac:dyDescent="0.3">
      <c r="A343" s="32">
        <v>342</v>
      </c>
      <c r="B343" s="32"/>
      <c r="C343" s="32" t="b">
        <f>_xlfn.XLOOKUP(Table61011121314[[#This Row],[Category No]],Table8[Category No],Table8[Chapter List],FALSE)</f>
        <v>0</v>
      </c>
      <c r="D343" s="34"/>
      <c r="E343" s="34"/>
    </row>
    <row r="344" spans="1:5" x14ac:dyDescent="0.3">
      <c r="A344" s="32">
        <v>343</v>
      </c>
      <c r="B344" s="32"/>
      <c r="C344" s="32" t="b">
        <f>_xlfn.XLOOKUP(Table61011121314[[#This Row],[Category No]],Table8[Category No],Table8[Chapter List],FALSE)</f>
        <v>0</v>
      </c>
      <c r="D344" s="34"/>
      <c r="E344" s="34"/>
    </row>
    <row r="345" spans="1:5" x14ac:dyDescent="0.3">
      <c r="A345" s="32">
        <v>344</v>
      </c>
      <c r="B345" s="32"/>
      <c r="C345" s="32" t="b">
        <f>_xlfn.XLOOKUP(Table61011121314[[#This Row],[Category No]],Table8[Category No],Table8[Chapter List],FALSE)</f>
        <v>0</v>
      </c>
      <c r="D345" s="34"/>
      <c r="E345" s="34"/>
    </row>
    <row r="346" spans="1:5" x14ac:dyDescent="0.3">
      <c r="A346" s="32">
        <v>345</v>
      </c>
      <c r="B346" s="32"/>
      <c r="C346" s="32" t="b">
        <f>_xlfn.XLOOKUP(Table61011121314[[#This Row],[Category No]],Table8[Category No],Table8[Chapter List],FALSE)</f>
        <v>0</v>
      </c>
      <c r="D346" s="34"/>
      <c r="E346" s="34"/>
    </row>
    <row r="347" spans="1:5" x14ac:dyDescent="0.3">
      <c r="A347" s="32">
        <v>346</v>
      </c>
      <c r="B347" s="32"/>
      <c r="C347" s="32" t="b">
        <f>_xlfn.XLOOKUP(Table61011121314[[#This Row],[Category No]],Table8[Category No],Table8[Chapter List],FALSE)</f>
        <v>0</v>
      </c>
      <c r="D347" s="34"/>
      <c r="E347" s="34"/>
    </row>
    <row r="348" spans="1:5" x14ac:dyDescent="0.3">
      <c r="A348" s="32">
        <v>347</v>
      </c>
      <c r="B348" s="32"/>
      <c r="C348" s="32" t="b">
        <f>_xlfn.XLOOKUP(Table61011121314[[#This Row],[Category No]],Table8[Category No],Table8[Chapter List],FALSE)</f>
        <v>0</v>
      </c>
      <c r="D348" s="34"/>
      <c r="E348" s="34"/>
    </row>
    <row r="349" spans="1:5" x14ac:dyDescent="0.3">
      <c r="A349" s="32">
        <v>348</v>
      </c>
      <c r="B349" s="32"/>
      <c r="C349" s="32" t="b">
        <f>_xlfn.XLOOKUP(Table61011121314[[#This Row],[Category No]],Table8[Category No],Table8[Chapter List],FALSE)</f>
        <v>0</v>
      </c>
      <c r="D349" s="34"/>
      <c r="E349" s="34"/>
    </row>
    <row r="350" spans="1:5" x14ac:dyDescent="0.3">
      <c r="A350" s="32">
        <v>349</v>
      </c>
      <c r="B350" s="32"/>
      <c r="C350" s="32" t="b">
        <f>_xlfn.XLOOKUP(Table61011121314[[#This Row],[Category No]],Table8[Category No],Table8[Chapter List],FALSE)</f>
        <v>0</v>
      </c>
      <c r="D350" s="34"/>
      <c r="E350" s="34"/>
    </row>
    <row r="351" spans="1:5" x14ac:dyDescent="0.3">
      <c r="A351" s="32">
        <v>350</v>
      </c>
      <c r="B351" s="32"/>
      <c r="C351" s="32" t="b">
        <f>_xlfn.XLOOKUP(Table61011121314[[#This Row],[Category No]],Table8[Category No],Table8[Chapter List],FALSE)</f>
        <v>0</v>
      </c>
      <c r="D351" s="34"/>
      <c r="E351" s="34"/>
    </row>
    <row r="352" spans="1:5" x14ac:dyDescent="0.3">
      <c r="A352" s="32">
        <v>351</v>
      </c>
      <c r="B352" s="32"/>
      <c r="C352" s="32" t="b">
        <f>_xlfn.XLOOKUP(Table61011121314[[#This Row],[Category No]],Table8[Category No],Table8[Chapter List],FALSE)</f>
        <v>0</v>
      </c>
      <c r="D352" s="34"/>
      <c r="E352" s="34"/>
    </row>
    <row r="353" spans="1:5" x14ac:dyDescent="0.3">
      <c r="A353" s="32">
        <v>352</v>
      </c>
      <c r="B353" s="32"/>
      <c r="C353" s="32" t="b">
        <f>_xlfn.XLOOKUP(Table61011121314[[#This Row],[Category No]],Table8[Category No],Table8[Chapter List],FALSE)</f>
        <v>0</v>
      </c>
      <c r="D353" s="34"/>
      <c r="E353" s="34"/>
    </row>
    <row r="354" spans="1:5" x14ac:dyDescent="0.3">
      <c r="A354" s="32">
        <v>353</v>
      </c>
      <c r="B354" s="32"/>
      <c r="C354" s="32" t="b">
        <f>_xlfn.XLOOKUP(Table61011121314[[#This Row],[Category No]],Table8[Category No],Table8[Chapter List],FALSE)</f>
        <v>0</v>
      </c>
      <c r="D354" s="34"/>
      <c r="E354" s="34"/>
    </row>
    <row r="355" spans="1:5" x14ac:dyDescent="0.3">
      <c r="A355" s="32">
        <v>354</v>
      </c>
      <c r="B355" s="32"/>
      <c r="C355" s="32" t="b">
        <f>_xlfn.XLOOKUP(Table61011121314[[#This Row],[Category No]],Table8[Category No],Table8[Chapter List],FALSE)</f>
        <v>0</v>
      </c>
      <c r="D355" s="34"/>
      <c r="E355" s="34"/>
    </row>
    <row r="356" spans="1:5" x14ac:dyDescent="0.3">
      <c r="A356" s="32">
        <v>355</v>
      </c>
      <c r="B356" s="32"/>
      <c r="C356" s="32" t="b">
        <f>_xlfn.XLOOKUP(Table61011121314[[#This Row],[Category No]],Table8[Category No],Table8[Chapter List],FALSE)</f>
        <v>0</v>
      </c>
      <c r="D356" s="34"/>
      <c r="E356" s="34"/>
    </row>
    <row r="357" spans="1:5" x14ac:dyDescent="0.3">
      <c r="A357" s="32">
        <v>356</v>
      </c>
      <c r="B357" s="32"/>
      <c r="C357" s="32" t="b">
        <f>_xlfn.XLOOKUP(Table61011121314[[#This Row],[Category No]],Table8[Category No],Table8[Chapter List],FALSE)</f>
        <v>0</v>
      </c>
      <c r="D357" s="34"/>
      <c r="E357" s="34"/>
    </row>
    <row r="358" spans="1:5" x14ac:dyDescent="0.3">
      <c r="A358" s="32">
        <v>357</v>
      </c>
      <c r="B358" s="32"/>
      <c r="C358" s="32" t="b">
        <f>_xlfn.XLOOKUP(Table61011121314[[#This Row],[Category No]],Table8[Category No],Table8[Chapter List],FALSE)</f>
        <v>0</v>
      </c>
      <c r="D358" s="34"/>
      <c r="E358" s="34"/>
    </row>
    <row r="359" spans="1:5" x14ac:dyDescent="0.3">
      <c r="A359" s="32">
        <v>358</v>
      </c>
      <c r="B359" s="32"/>
      <c r="C359" s="32" t="b">
        <f>_xlfn.XLOOKUP(Table61011121314[[#This Row],[Category No]],Table8[Category No],Table8[Chapter List],FALSE)</f>
        <v>0</v>
      </c>
      <c r="D359" s="34"/>
      <c r="E359" s="34"/>
    </row>
    <row r="360" spans="1:5" x14ac:dyDescent="0.3">
      <c r="A360" s="32">
        <v>359</v>
      </c>
      <c r="B360" s="32"/>
      <c r="C360" s="32" t="b">
        <f>_xlfn.XLOOKUP(Table61011121314[[#This Row],[Category No]],Table8[Category No],Table8[Chapter List],FALSE)</f>
        <v>0</v>
      </c>
      <c r="D360" s="34"/>
      <c r="E360" s="34"/>
    </row>
    <row r="361" spans="1:5" x14ac:dyDescent="0.3">
      <c r="A361" s="32">
        <v>360</v>
      </c>
      <c r="B361" s="32"/>
      <c r="C361" s="32" t="b">
        <f>_xlfn.XLOOKUP(Table61011121314[[#This Row],[Category No]],Table8[Category No],Table8[Chapter List],FALSE)</f>
        <v>0</v>
      </c>
      <c r="D361" s="34"/>
      <c r="E361" s="34"/>
    </row>
    <row r="362" spans="1:5" x14ac:dyDescent="0.3">
      <c r="A362" s="32">
        <v>361</v>
      </c>
      <c r="B362" s="32"/>
      <c r="C362" s="32" t="b">
        <f>_xlfn.XLOOKUP(Table61011121314[[#This Row],[Category No]],Table8[Category No],Table8[Chapter List],FALSE)</f>
        <v>0</v>
      </c>
      <c r="D362" s="34"/>
      <c r="E362" s="34"/>
    </row>
    <row r="363" spans="1:5" x14ac:dyDescent="0.3">
      <c r="A363" s="32">
        <v>362</v>
      </c>
      <c r="B363" s="32"/>
      <c r="C363" s="32" t="b">
        <f>_xlfn.XLOOKUP(Table61011121314[[#This Row],[Category No]],Table8[Category No],Table8[Chapter List],FALSE)</f>
        <v>0</v>
      </c>
      <c r="D363" s="34"/>
      <c r="E363" s="34"/>
    </row>
    <row r="364" spans="1:5" x14ac:dyDescent="0.3">
      <c r="A364" s="32">
        <v>363</v>
      </c>
      <c r="B364" s="32"/>
      <c r="C364" s="32" t="b">
        <f>_xlfn.XLOOKUP(Table61011121314[[#This Row],[Category No]],Table8[Category No],Table8[Chapter List],FALSE)</f>
        <v>0</v>
      </c>
      <c r="D364" s="34"/>
      <c r="E364" s="34"/>
    </row>
    <row r="365" spans="1:5" x14ac:dyDescent="0.3">
      <c r="A365" s="32">
        <v>364</v>
      </c>
      <c r="B365" s="32"/>
      <c r="C365" s="32" t="b">
        <f>_xlfn.XLOOKUP(Table61011121314[[#This Row],[Category No]],Table8[Category No],Table8[Chapter List],FALSE)</f>
        <v>0</v>
      </c>
      <c r="D365" s="34"/>
      <c r="E365" s="34"/>
    </row>
    <row r="366" spans="1:5" x14ac:dyDescent="0.3">
      <c r="A366" s="32">
        <v>365</v>
      </c>
      <c r="B366" s="32"/>
      <c r="C366" s="32" t="b">
        <f>_xlfn.XLOOKUP(Table61011121314[[#This Row],[Category No]],Table8[Category No],Table8[Chapter List],FALSE)</f>
        <v>0</v>
      </c>
      <c r="D366" s="34"/>
      <c r="E366" s="34"/>
    </row>
    <row r="367" spans="1:5" x14ac:dyDescent="0.3">
      <c r="A367" s="32">
        <v>366</v>
      </c>
      <c r="B367" s="32"/>
      <c r="C367" s="32" t="b">
        <f>_xlfn.XLOOKUP(Table61011121314[[#This Row],[Category No]],Table8[Category No],Table8[Chapter List],FALSE)</f>
        <v>0</v>
      </c>
      <c r="D367" s="34"/>
      <c r="E367" s="34"/>
    </row>
    <row r="368" spans="1:5" x14ac:dyDescent="0.3">
      <c r="A368" s="32">
        <v>367</v>
      </c>
      <c r="B368" s="32"/>
      <c r="C368" s="32" t="b">
        <f>_xlfn.XLOOKUP(Table61011121314[[#This Row],[Category No]],Table8[Category No],Table8[Chapter List],FALSE)</f>
        <v>0</v>
      </c>
      <c r="D368" s="34"/>
      <c r="E368" s="34"/>
    </row>
    <row r="369" spans="1:5" x14ac:dyDescent="0.3">
      <c r="A369" s="32">
        <v>368</v>
      </c>
      <c r="B369" s="32"/>
      <c r="C369" s="32" t="b">
        <f>_xlfn.XLOOKUP(Table61011121314[[#This Row],[Category No]],Table8[Category No],Table8[Chapter List],FALSE)</f>
        <v>0</v>
      </c>
      <c r="D369" s="34"/>
      <c r="E369" s="34"/>
    </row>
    <row r="370" spans="1:5" x14ac:dyDescent="0.3">
      <c r="A370" s="32">
        <v>369</v>
      </c>
      <c r="B370" s="32"/>
      <c r="C370" s="32" t="b">
        <f>_xlfn.XLOOKUP(Table61011121314[[#This Row],[Category No]],Table8[Category No],Table8[Chapter List],FALSE)</f>
        <v>0</v>
      </c>
      <c r="D370" s="34"/>
      <c r="E370" s="34"/>
    </row>
    <row r="371" spans="1:5" x14ac:dyDescent="0.3">
      <c r="A371" s="32">
        <v>370</v>
      </c>
      <c r="B371" s="32"/>
      <c r="C371" s="32" t="b">
        <f>_xlfn.XLOOKUP(Table61011121314[[#This Row],[Category No]],Table8[Category No],Table8[Chapter List],FALSE)</f>
        <v>0</v>
      </c>
      <c r="D371" s="34"/>
      <c r="E371" s="34"/>
    </row>
    <row r="372" spans="1:5" x14ac:dyDescent="0.3">
      <c r="A372" s="32">
        <v>371</v>
      </c>
      <c r="B372" s="32"/>
      <c r="C372" s="32" t="b">
        <f>_xlfn.XLOOKUP(Table61011121314[[#This Row],[Category No]],Table8[Category No],Table8[Chapter List],FALSE)</f>
        <v>0</v>
      </c>
      <c r="D372" s="34"/>
      <c r="E372" s="34"/>
    </row>
    <row r="373" spans="1:5" x14ac:dyDescent="0.3">
      <c r="A373" s="32">
        <v>372</v>
      </c>
      <c r="B373" s="32"/>
      <c r="C373" s="32" t="b">
        <f>_xlfn.XLOOKUP(Table61011121314[[#This Row],[Category No]],Table8[Category No],Table8[Chapter List],FALSE)</f>
        <v>0</v>
      </c>
      <c r="D373" s="34"/>
      <c r="E373" s="34"/>
    </row>
    <row r="374" spans="1:5" x14ac:dyDescent="0.3">
      <c r="A374" s="32">
        <v>373</v>
      </c>
      <c r="B374" s="32"/>
      <c r="C374" s="32" t="b">
        <f>_xlfn.XLOOKUP(Table61011121314[[#This Row],[Category No]],Table8[Category No],Table8[Chapter List],FALSE)</f>
        <v>0</v>
      </c>
      <c r="D374" s="34"/>
      <c r="E374" s="34"/>
    </row>
    <row r="375" spans="1:5" x14ac:dyDescent="0.3">
      <c r="A375" s="32">
        <v>374</v>
      </c>
      <c r="B375" s="32"/>
      <c r="C375" s="32" t="b">
        <f>_xlfn.XLOOKUP(Table61011121314[[#This Row],[Category No]],Table8[Category No],Table8[Chapter List],FALSE)</f>
        <v>0</v>
      </c>
      <c r="D375" s="34"/>
      <c r="E375" s="34"/>
    </row>
    <row r="376" spans="1:5" x14ac:dyDescent="0.3">
      <c r="A376" s="32">
        <v>375</v>
      </c>
      <c r="B376" s="32"/>
      <c r="C376" s="32" t="b">
        <f>_xlfn.XLOOKUP(Table61011121314[[#This Row],[Category No]],Table8[Category No],Table8[Chapter List],FALSE)</f>
        <v>0</v>
      </c>
      <c r="D376" s="34"/>
      <c r="E376" s="34"/>
    </row>
    <row r="377" spans="1:5" x14ac:dyDescent="0.3">
      <c r="A377" s="32">
        <v>376</v>
      </c>
      <c r="B377" s="32"/>
      <c r="C377" s="32" t="b">
        <f>_xlfn.XLOOKUP(Table61011121314[[#This Row],[Category No]],Table8[Category No],Table8[Chapter List],FALSE)</f>
        <v>0</v>
      </c>
      <c r="D377" s="34"/>
      <c r="E377" s="34"/>
    </row>
    <row r="378" spans="1:5" x14ac:dyDescent="0.3">
      <c r="A378" s="32">
        <v>377</v>
      </c>
      <c r="B378" s="32"/>
      <c r="C378" s="32" t="b">
        <f>_xlfn.XLOOKUP(Table61011121314[[#This Row],[Category No]],Table8[Category No],Table8[Chapter List],FALSE)</f>
        <v>0</v>
      </c>
      <c r="D378" s="34"/>
      <c r="E378" s="34"/>
    </row>
    <row r="379" spans="1:5" x14ac:dyDescent="0.3">
      <c r="A379" s="32">
        <v>378</v>
      </c>
      <c r="B379" s="32"/>
      <c r="C379" s="32" t="b">
        <f>_xlfn.XLOOKUP(Table61011121314[[#This Row],[Category No]],Table8[Category No],Table8[Chapter List],FALSE)</f>
        <v>0</v>
      </c>
      <c r="D379" s="34"/>
      <c r="E379" s="34"/>
    </row>
    <row r="380" spans="1:5" x14ac:dyDescent="0.3">
      <c r="A380" s="32">
        <v>379</v>
      </c>
      <c r="B380" s="32"/>
      <c r="C380" s="32" t="b">
        <f>_xlfn.XLOOKUP(Table61011121314[[#This Row],[Category No]],Table8[Category No],Table8[Chapter List],FALSE)</f>
        <v>0</v>
      </c>
      <c r="D380" s="34"/>
      <c r="E380" s="34"/>
    </row>
    <row r="381" spans="1:5" x14ac:dyDescent="0.3">
      <c r="A381" s="32">
        <v>380</v>
      </c>
      <c r="B381" s="32"/>
      <c r="C381" s="32" t="b">
        <f>_xlfn.XLOOKUP(Table61011121314[[#This Row],[Category No]],Table8[Category No],Table8[Chapter List],FALSE)</f>
        <v>0</v>
      </c>
      <c r="D381" s="34"/>
      <c r="E381" s="34"/>
    </row>
    <row r="382" spans="1:5" x14ac:dyDescent="0.3">
      <c r="A382" s="32">
        <v>381</v>
      </c>
      <c r="B382" s="32"/>
      <c r="C382" s="32" t="b">
        <f>_xlfn.XLOOKUP(Table61011121314[[#This Row],[Category No]],Table8[Category No],Table8[Chapter List],FALSE)</f>
        <v>0</v>
      </c>
      <c r="D382" s="34"/>
      <c r="E382" s="34"/>
    </row>
    <row r="383" spans="1:5" x14ac:dyDescent="0.3">
      <c r="A383" s="32">
        <v>382</v>
      </c>
      <c r="B383" s="32"/>
      <c r="C383" s="32" t="b">
        <f>_xlfn.XLOOKUP(Table61011121314[[#This Row],[Category No]],Table8[Category No],Table8[Chapter List],FALSE)</f>
        <v>0</v>
      </c>
      <c r="D383" s="34"/>
      <c r="E383" s="34"/>
    </row>
    <row r="384" spans="1:5" x14ac:dyDescent="0.3">
      <c r="A384" s="32">
        <v>383</v>
      </c>
      <c r="B384" s="32"/>
      <c r="C384" s="32" t="b">
        <f>_xlfn.XLOOKUP(Table61011121314[[#This Row],[Category No]],Table8[Category No],Table8[Chapter List],FALSE)</f>
        <v>0</v>
      </c>
      <c r="D384" s="34"/>
      <c r="E384" s="34"/>
    </row>
    <row r="385" spans="1:5" x14ac:dyDescent="0.3">
      <c r="A385" s="32">
        <v>384</v>
      </c>
      <c r="B385" s="32"/>
      <c r="C385" s="32" t="b">
        <f>_xlfn.XLOOKUP(Table61011121314[[#This Row],[Category No]],Table8[Category No],Table8[Chapter List],FALSE)</f>
        <v>0</v>
      </c>
      <c r="D385" s="34"/>
      <c r="E385" s="34"/>
    </row>
    <row r="386" spans="1:5" x14ac:dyDescent="0.3">
      <c r="A386" s="32">
        <v>385</v>
      </c>
      <c r="B386" s="32"/>
      <c r="C386" s="32" t="b">
        <f>_xlfn.XLOOKUP(Table61011121314[[#This Row],[Category No]],Table8[Category No],Table8[Chapter List],FALSE)</f>
        <v>0</v>
      </c>
      <c r="D386" s="34"/>
      <c r="E386" s="34"/>
    </row>
    <row r="387" spans="1:5" x14ac:dyDescent="0.3">
      <c r="A387" s="32">
        <v>386</v>
      </c>
      <c r="B387" s="32"/>
      <c r="C387" s="32" t="b">
        <f>_xlfn.XLOOKUP(Table61011121314[[#This Row],[Category No]],Table8[Category No],Table8[Chapter List],FALSE)</f>
        <v>0</v>
      </c>
      <c r="D387" s="34"/>
      <c r="E387" s="34"/>
    </row>
    <row r="388" spans="1:5" x14ac:dyDescent="0.3">
      <c r="A388" s="32">
        <v>387</v>
      </c>
      <c r="B388" s="32"/>
      <c r="C388" s="32" t="b">
        <f>_xlfn.XLOOKUP(Table61011121314[[#This Row],[Category No]],Table8[Category No],Table8[Chapter List],FALSE)</f>
        <v>0</v>
      </c>
      <c r="D388" s="34"/>
      <c r="E388" s="34"/>
    </row>
    <row r="389" spans="1:5" x14ac:dyDescent="0.3">
      <c r="A389" s="32">
        <v>388</v>
      </c>
      <c r="B389" s="32"/>
      <c r="C389" s="32" t="b">
        <f>_xlfn.XLOOKUP(Table61011121314[[#This Row],[Category No]],Table8[Category No],Table8[Chapter List],FALSE)</f>
        <v>0</v>
      </c>
      <c r="D389" s="34"/>
      <c r="E389" s="34"/>
    </row>
    <row r="390" spans="1:5" x14ac:dyDescent="0.3">
      <c r="A390" s="32">
        <v>389</v>
      </c>
      <c r="B390" s="32"/>
      <c r="C390" s="32" t="b">
        <f>_xlfn.XLOOKUP(Table61011121314[[#This Row],[Category No]],Table8[Category No],Table8[Chapter List],FALSE)</f>
        <v>0</v>
      </c>
      <c r="D390" s="34"/>
      <c r="E390" s="34"/>
    </row>
    <row r="391" spans="1:5" x14ac:dyDescent="0.3">
      <c r="A391" s="32">
        <v>390</v>
      </c>
      <c r="B391" s="32"/>
      <c r="C391" s="32" t="b">
        <f>_xlfn.XLOOKUP(Table61011121314[[#This Row],[Category No]],Table8[Category No],Table8[Chapter List],FALSE)</f>
        <v>0</v>
      </c>
      <c r="D391" s="34"/>
      <c r="E391" s="34"/>
    </row>
    <row r="392" spans="1:5" x14ac:dyDescent="0.3">
      <c r="A392" s="32">
        <v>391</v>
      </c>
      <c r="B392" s="32"/>
      <c r="C392" s="32" t="b">
        <f>_xlfn.XLOOKUP(Table61011121314[[#This Row],[Category No]],Table8[Category No],Table8[Chapter List],FALSE)</f>
        <v>0</v>
      </c>
      <c r="D392" s="34"/>
      <c r="E392" s="34"/>
    </row>
    <row r="393" spans="1:5" x14ac:dyDescent="0.3">
      <c r="A393" s="32">
        <v>392</v>
      </c>
      <c r="B393" s="32"/>
      <c r="C393" s="32" t="b">
        <f>_xlfn.XLOOKUP(Table61011121314[[#This Row],[Category No]],Table8[Category No],Table8[Chapter List],FALSE)</f>
        <v>0</v>
      </c>
      <c r="D393" s="34"/>
      <c r="E393" s="34"/>
    </row>
    <row r="394" spans="1:5" x14ac:dyDescent="0.3">
      <c r="A394" s="32">
        <v>393</v>
      </c>
      <c r="B394" s="32"/>
      <c r="C394" s="32" t="b">
        <f>_xlfn.XLOOKUP(Table61011121314[[#This Row],[Category No]],Table8[Category No],Table8[Chapter List],FALSE)</f>
        <v>0</v>
      </c>
      <c r="D394" s="34"/>
      <c r="E394" s="34"/>
    </row>
    <row r="395" spans="1:5" x14ac:dyDescent="0.3">
      <c r="A395" s="32">
        <v>394</v>
      </c>
      <c r="B395" s="32"/>
      <c r="C395" s="32" t="b">
        <f>_xlfn.XLOOKUP(Table61011121314[[#This Row],[Category No]],Table8[Category No],Table8[Chapter List],FALSE)</f>
        <v>0</v>
      </c>
      <c r="D395" s="34"/>
      <c r="E395" s="34"/>
    </row>
    <row r="396" spans="1:5" x14ac:dyDescent="0.3">
      <c r="A396" s="32">
        <v>395</v>
      </c>
      <c r="B396" s="32"/>
      <c r="C396" s="32" t="b">
        <f>_xlfn.XLOOKUP(Table61011121314[[#This Row],[Category No]],Table8[Category No],Table8[Chapter List],FALSE)</f>
        <v>0</v>
      </c>
      <c r="D396" s="34"/>
      <c r="E396" s="34"/>
    </row>
    <row r="397" spans="1:5" x14ac:dyDescent="0.3">
      <c r="A397" s="32">
        <v>396</v>
      </c>
      <c r="B397" s="32"/>
      <c r="C397" s="32" t="b">
        <f>_xlfn.XLOOKUP(Table61011121314[[#This Row],[Category No]],Table8[Category No],Table8[Chapter List],FALSE)</f>
        <v>0</v>
      </c>
      <c r="D397" s="34"/>
      <c r="E397" s="34"/>
    </row>
    <row r="398" spans="1:5" x14ac:dyDescent="0.3">
      <c r="A398" s="32">
        <v>397</v>
      </c>
      <c r="B398" s="32"/>
      <c r="C398" s="32" t="b">
        <f>_xlfn.XLOOKUP(Table61011121314[[#This Row],[Category No]],Table8[Category No],Table8[Chapter List],FALSE)</f>
        <v>0</v>
      </c>
      <c r="D398" s="34"/>
      <c r="E398" s="34"/>
    </row>
    <row r="399" spans="1:5" x14ac:dyDescent="0.3">
      <c r="A399" s="32">
        <v>398</v>
      </c>
      <c r="B399" s="32"/>
      <c r="C399" s="32" t="b">
        <f>_xlfn.XLOOKUP(Table61011121314[[#This Row],[Category No]],Table8[Category No],Table8[Chapter List],FALSE)</f>
        <v>0</v>
      </c>
      <c r="D399" s="34"/>
      <c r="E399" s="34"/>
    </row>
    <row r="400" spans="1:5" x14ac:dyDescent="0.3">
      <c r="A400" s="32">
        <v>399</v>
      </c>
      <c r="B400" s="32"/>
      <c r="C400" s="32" t="b">
        <f>_xlfn.XLOOKUP(Table61011121314[[#This Row],[Category No]],Table8[Category No],Table8[Chapter List],FALSE)</f>
        <v>0</v>
      </c>
      <c r="D400" s="34"/>
      <c r="E400" s="34"/>
    </row>
    <row r="401" spans="1:5" x14ac:dyDescent="0.3">
      <c r="A401" s="32">
        <v>400</v>
      </c>
      <c r="B401" s="32"/>
      <c r="C401" s="32" t="b">
        <f>_xlfn.XLOOKUP(Table61011121314[[#This Row],[Category No]],Table8[Category No],Table8[Chapter List],FALSE)</f>
        <v>0</v>
      </c>
      <c r="D401" s="34"/>
      <c r="E401" s="34"/>
    </row>
    <row r="402" spans="1:5" x14ac:dyDescent="0.3">
      <c r="A402" s="32">
        <v>401</v>
      </c>
      <c r="B402" s="32"/>
      <c r="C402" s="32" t="b">
        <f>_xlfn.XLOOKUP(Table61011121314[[#This Row],[Category No]],Table8[Category No],Table8[Chapter List],FALSE)</f>
        <v>0</v>
      </c>
      <c r="D402" s="34"/>
      <c r="E402" s="34"/>
    </row>
    <row r="403" spans="1:5" x14ac:dyDescent="0.3">
      <c r="A403" s="32">
        <v>402</v>
      </c>
      <c r="B403" s="32"/>
      <c r="C403" s="32" t="b">
        <f>_xlfn.XLOOKUP(Table61011121314[[#This Row],[Category No]],Table8[Category No],Table8[Chapter List],FALSE)</f>
        <v>0</v>
      </c>
      <c r="D403" s="34"/>
      <c r="E403" s="34"/>
    </row>
    <row r="404" spans="1:5" x14ac:dyDescent="0.3">
      <c r="A404" s="32">
        <v>403</v>
      </c>
      <c r="B404" s="32"/>
      <c r="C404" s="32" t="b">
        <f>_xlfn.XLOOKUP(Table61011121314[[#This Row],[Category No]],Table8[Category No],Table8[Chapter List],FALSE)</f>
        <v>0</v>
      </c>
      <c r="D404" s="34"/>
      <c r="E404" s="34"/>
    </row>
    <row r="405" spans="1:5" x14ac:dyDescent="0.3">
      <c r="A405" s="32">
        <v>404</v>
      </c>
      <c r="B405" s="32"/>
      <c r="C405" s="32" t="b">
        <f>_xlfn.XLOOKUP(Table61011121314[[#This Row],[Category No]],Table8[Category No],Table8[Chapter List],FALSE)</f>
        <v>0</v>
      </c>
      <c r="D405" s="34"/>
      <c r="E405" s="34"/>
    </row>
    <row r="406" spans="1:5" x14ac:dyDescent="0.3">
      <c r="A406" s="32">
        <v>405</v>
      </c>
      <c r="B406" s="32"/>
      <c r="C406" s="32" t="b">
        <f>_xlfn.XLOOKUP(Table61011121314[[#This Row],[Category No]],Table8[Category No],Table8[Chapter List],FALSE)</f>
        <v>0</v>
      </c>
      <c r="D406" s="34"/>
      <c r="E406" s="34"/>
    </row>
    <row r="407" spans="1:5" x14ac:dyDescent="0.3">
      <c r="A407" s="32">
        <v>406</v>
      </c>
      <c r="B407" s="32"/>
      <c r="C407" s="32" t="b">
        <f>_xlfn.XLOOKUP(Table61011121314[[#This Row],[Category No]],Table8[Category No],Table8[Chapter List],FALSE)</f>
        <v>0</v>
      </c>
      <c r="D407" s="34"/>
      <c r="E407" s="34"/>
    </row>
    <row r="408" spans="1:5" x14ac:dyDescent="0.3">
      <c r="A408" s="32">
        <v>407</v>
      </c>
      <c r="B408" s="32"/>
      <c r="C408" s="32" t="b">
        <f>_xlfn.XLOOKUP(Table61011121314[[#This Row],[Category No]],Table8[Category No],Table8[Chapter List],FALSE)</f>
        <v>0</v>
      </c>
      <c r="D408" s="34"/>
      <c r="E408" s="34"/>
    </row>
    <row r="409" spans="1:5" x14ac:dyDescent="0.3">
      <c r="A409" s="32">
        <v>408</v>
      </c>
      <c r="B409" s="32"/>
      <c r="C409" s="32" t="b">
        <f>_xlfn.XLOOKUP(Table61011121314[[#This Row],[Category No]],Table8[Category No],Table8[Chapter List],FALSE)</f>
        <v>0</v>
      </c>
      <c r="D409" s="34"/>
      <c r="E409" s="34"/>
    </row>
    <row r="410" spans="1:5" x14ac:dyDescent="0.3">
      <c r="A410" s="32">
        <v>409</v>
      </c>
      <c r="B410" s="32"/>
      <c r="C410" s="32" t="b">
        <f>_xlfn.XLOOKUP(Table61011121314[[#This Row],[Category No]],Table8[Category No],Table8[Chapter List],FALSE)</f>
        <v>0</v>
      </c>
      <c r="D410" s="34"/>
      <c r="E410" s="34"/>
    </row>
    <row r="411" spans="1:5" x14ac:dyDescent="0.3">
      <c r="A411" s="32">
        <v>410</v>
      </c>
      <c r="B411" s="32"/>
      <c r="C411" s="32" t="b">
        <f>_xlfn.XLOOKUP(Table61011121314[[#This Row],[Category No]],Table8[Category No],Table8[Chapter List],FALSE)</f>
        <v>0</v>
      </c>
      <c r="D411" s="34"/>
      <c r="E411" s="34"/>
    </row>
    <row r="412" spans="1:5" x14ac:dyDescent="0.3">
      <c r="A412" s="32">
        <v>411</v>
      </c>
      <c r="B412" s="32"/>
      <c r="C412" s="32" t="b">
        <f>_xlfn.XLOOKUP(Table61011121314[[#This Row],[Category No]],Table8[Category No],Table8[Chapter List],FALSE)</f>
        <v>0</v>
      </c>
      <c r="D412" s="34"/>
      <c r="E412" s="34"/>
    </row>
    <row r="413" spans="1:5" x14ac:dyDescent="0.3">
      <c r="A413" s="32">
        <v>412</v>
      </c>
      <c r="B413" s="32"/>
      <c r="C413" s="32" t="b">
        <f>_xlfn.XLOOKUP(Table61011121314[[#This Row],[Category No]],Table8[Category No],Table8[Chapter List],FALSE)</f>
        <v>0</v>
      </c>
      <c r="D413" s="34"/>
      <c r="E413" s="34"/>
    </row>
    <row r="414" spans="1:5" x14ac:dyDescent="0.3">
      <c r="A414" s="32">
        <v>413</v>
      </c>
      <c r="B414" s="32"/>
      <c r="C414" s="32" t="b">
        <f>_xlfn.XLOOKUP(Table61011121314[[#This Row],[Category No]],Table8[Category No],Table8[Chapter List],FALSE)</f>
        <v>0</v>
      </c>
      <c r="D414" s="34"/>
      <c r="E414" s="34"/>
    </row>
    <row r="415" spans="1:5" x14ac:dyDescent="0.3">
      <c r="A415" s="32">
        <v>414</v>
      </c>
      <c r="B415" s="32"/>
      <c r="C415" s="32" t="b">
        <f>_xlfn.XLOOKUP(Table61011121314[[#This Row],[Category No]],Table8[Category No],Table8[Chapter List],FALSE)</f>
        <v>0</v>
      </c>
      <c r="D415" s="34"/>
      <c r="E415" s="34"/>
    </row>
    <row r="416" spans="1:5" x14ac:dyDescent="0.3">
      <c r="A416" s="32">
        <v>415</v>
      </c>
      <c r="B416" s="32"/>
      <c r="C416" s="32" t="b">
        <f>_xlfn.XLOOKUP(Table61011121314[[#This Row],[Category No]],Table8[Category No],Table8[Chapter List],FALSE)</f>
        <v>0</v>
      </c>
      <c r="D416" s="34"/>
      <c r="E416" s="34"/>
    </row>
    <row r="417" spans="1:5" x14ac:dyDescent="0.3">
      <c r="A417" s="32">
        <v>416</v>
      </c>
      <c r="B417" s="32"/>
      <c r="C417" s="32" t="b">
        <f>_xlfn.XLOOKUP(Table61011121314[[#This Row],[Category No]],Table8[Category No],Table8[Chapter List],FALSE)</f>
        <v>0</v>
      </c>
      <c r="D417" s="34"/>
      <c r="E417" s="34"/>
    </row>
    <row r="418" spans="1:5" x14ac:dyDescent="0.3">
      <c r="A418" s="32">
        <v>417</v>
      </c>
      <c r="B418" s="32"/>
      <c r="C418" s="32" t="b">
        <f>_xlfn.XLOOKUP(Table61011121314[[#This Row],[Category No]],Table8[Category No],Table8[Chapter List],FALSE)</f>
        <v>0</v>
      </c>
      <c r="D418" s="34"/>
      <c r="E418" s="34"/>
    </row>
    <row r="419" spans="1:5" x14ac:dyDescent="0.3">
      <c r="A419" s="32">
        <v>418</v>
      </c>
      <c r="B419" s="32"/>
      <c r="C419" s="32" t="b">
        <f>_xlfn.XLOOKUP(Table61011121314[[#This Row],[Category No]],Table8[Category No],Table8[Chapter List],FALSE)</f>
        <v>0</v>
      </c>
      <c r="D419" s="34"/>
      <c r="E419" s="34"/>
    </row>
    <row r="420" spans="1:5" x14ac:dyDescent="0.3">
      <c r="A420" s="32">
        <v>419</v>
      </c>
      <c r="B420" s="32"/>
      <c r="C420" s="32" t="b">
        <f>_xlfn.XLOOKUP(Table61011121314[[#This Row],[Category No]],Table8[Category No],Table8[Chapter List],FALSE)</f>
        <v>0</v>
      </c>
      <c r="D420" s="34"/>
      <c r="E420" s="34"/>
    </row>
    <row r="421" spans="1:5" x14ac:dyDescent="0.3">
      <c r="A421" s="32">
        <v>420</v>
      </c>
      <c r="B421" s="32"/>
      <c r="C421" s="32" t="b">
        <f>_xlfn.XLOOKUP(Table61011121314[[#This Row],[Category No]],Table8[Category No],Table8[Chapter List],FALSE)</f>
        <v>0</v>
      </c>
      <c r="D421" s="34"/>
      <c r="E421" s="34"/>
    </row>
    <row r="422" spans="1:5" x14ac:dyDescent="0.3">
      <c r="A422" s="32">
        <v>421</v>
      </c>
      <c r="B422" s="32"/>
      <c r="C422" s="32" t="b">
        <f>_xlfn.XLOOKUP(Table61011121314[[#This Row],[Category No]],Table8[Category No],Table8[Chapter List],FALSE)</f>
        <v>0</v>
      </c>
      <c r="D422" s="34"/>
      <c r="E422" s="34"/>
    </row>
    <row r="423" spans="1:5" x14ac:dyDescent="0.3">
      <c r="A423" s="32">
        <v>422</v>
      </c>
      <c r="B423" s="32"/>
      <c r="C423" s="32" t="b">
        <f>_xlfn.XLOOKUP(Table61011121314[[#This Row],[Category No]],Table8[Category No],Table8[Chapter List],FALSE)</f>
        <v>0</v>
      </c>
      <c r="D423" s="34"/>
      <c r="E423" s="34"/>
    </row>
    <row r="424" spans="1:5" x14ac:dyDescent="0.3">
      <c r="A424" s="32">
        <v>423</v>
      </c>
      <c r="B424" s="32"/>
      <c r="C424" s="32" t="b">
        <f>_xlfn.XLOOKUP(Table61011121314[[#This Row],[Category No]],Table8[Category No],Table8[Chapter List],FALSE)</f>
        <v>0</v>
      </c>
      <c r="D424" s="34"/>
      <c r="E424" s="34"/>
    </row>
    <row r="425" spans="1:5" x14ac:dyDescent="0.3">
      <c r="A425" s="32">
        <v>424</v>
      </c>
      <c r="B425" s="32"/>
      <c r="C425" s="32" t="b">
        <f>_xlfn.XLOOKUP(Table61011121314[[#This Row],[Category No]],Table8[Category No],Table8[Chapter List],FALSE)</f>
        <v>0</v>
      </c>
      <c r="D425" s="34"/>
      <c r="E425" s="34"/>
    </row>
    <row r="426" spans="1:5" x14ac:dyDescent="0.3">
      <c r="A426" s="32">
        <v>425</v>
      </c>
      <c r="B426" s="32"/>
      <c r="C426" s="32" t="b">
        <f>_xlfn.XLOOKUP(Table61011121314[[#This Row],[Category No]],Table8[Category No],Table8[Chapter List],FALSE)</f>
        <v>0</v>
      </c>
      <c r="D426" s="34"/>
      <c r="E426" s="34"/>
    </row>
    <row r="427" spans="1:5" x14ac:dyDescent="0.3">
      <c r="A427" s="32">
        <v>426</v>
      </c>
      <c r="B427" s="32"/>
      <c r="C427" s="32" t="b">
        <f>_xlfn.XLOOKUP(Table61011121314[[#This Row],[Category No]],Table8[Category No],Table8[Chapter List],FALSE)</f>
        <v>0</v>
      </c>
      <c r="D427" s="34"/>
      <c r="E427" s="34"/>
    </row>
    <row r="428" spans="1:5" x14ac:dyDescent="0.3">
      <c r="A428" s="32">
        <v>427</v>
      </c>
      <c r="B428" s="32"/>
      <c r="C428" s="32" t="b">
        <f>_xlfn.XLOOKUP(Table61011121314[[#This Row],[Category No]],Table8[Category No],Table8[Chapter List],FALSE)</f>
        <v>0</v>
      </c>
      <c r="D428" s="34"/>
      <c r="E428" s="34"/>
    </row>
    <row r="429" spans="1:5" x14ac:dyDescent="0.3">
      <c r="A429" s="32">
        <v>428</v>
      </c>
      <c r="B429" s="32"/>
      <c r="C429" s="32" t="b">
        <f>_xlfn.XLOOKUP(Table61011121314[[#This Row],[Category No]],Table8[Category No],Table8[Chapter List],FALSE)</f>
        <v>0</v>
      </c>
      <c r="D429" s="34"/>
      <c r="E429" s="34"/>
    </row>
    <row r="430" spans="1:5" x14ac:dyDescent="0.3">
      <c r="A430" s="32">
        <v>429</v>
      </c>
      <c r="B430" s="32"/>
      <c r="C430" s="32" t="b">
        <f>_xlfn.XLOOKUP(Table61011121314[[#This Row],[Category No]],Table8[Category No],Table8[Chapter List],FALSE)</f>
        <v>0</v>
      </c>
      <c r="D430" s="34"/>
      <c r="E430" s="34"/>
    </row>
    <row r="431" spans="1:5" x14ac:dyDescent="0.3">
      <c r="A431" s="32">
        <v>430</v>
      </c>
      <c r="B431" s="32"/>
      <c r="C431" s="32" t="b">
        <f>_xlfn.XLOOKUP(Table61011121314[[#This Row],[Category No]],Table8[Category No],Table8[Chapter List],FALSE)</f>
        <v>0</v>
      </c>
      <c r="D431" s="34"/>
      <c r="E431" s="34"/>
    </row>
    <row r="432" spans="1:5" x14ac:dyDescent="0.3">
      <c r="A432" s="32">
        <v>431</v>
      </c>
      <c r="B432" s="32"/>
      <c r="C432" s="32" t="b">
        <f>_xlfn.XLOOKUP(Table61011121314[[#This Row],[Category No]],Table8[Category No],Table8[Chapter List],FALSE)</f>
        <v>0</v>
      </c>
      <c r="D432" s="34"/>
      <c r="E432" s="34"/>
    </row>
    <row r="433" spans="1:5" x14ac:dyDescent="0.3">
      <c r="A433" s="32">
        <v>432</v>
      </c>
      <c r="B433" s="32"/>
      <c r="C433" s="32" t="b">
        <f>_xlfn.XLOOKUP(Table61011121314[[#This Row],[Category No]],Table8[Category No],Table8[Chapter List],FALSE)</f>
        <v>0</v>
      </c>
      <c r="D433" s="34"/>
      <c r="E433" s="34"/>
    </row>
    <row r="434" spans="1:5" x14ac:dyDescent="0.3">
      <c r="A434" s="32">
        <v>433</v>
      </c>
      <c r="B434" s="32"/>
      <c r="C434" s="32" t="b">
        <f>_xlfn.XLOOKUP(Table61011121314[[#This Row],[Category No]],Table8[Category No],Table8[Chapter List],FALSE)</f>
        <v>0</v>
      </c>
      <c r="D434" s="34"/>
      <c r="E434" s="34"/>
    </row>
    <row r="435" spans="1:5" x14ac:dyDescent="0.3">
      <c r="A435" s="32">
        <v>434</v>
      </c>
      <c r="B435" s="32"/>
      <c r="C435" s="32" t="b">
        <f>_xlfn.XLOOKUP(Table61011121314[[#This Row],[Category No]],Table8[Category No],Table8[Chapter List],FALSE)</f>
        <v>0</v>
      </c>
      <c r="D435" s="34"/>
      <c r="E435" s="34"/>
    </row>
    <row r="436" spans="1:5" x14ac:dyDescent="0.3">
      <c r="A436" s="32">
        <v>435</v>
      </c>
      <c r="B436" s="32"/>
      <c r="C436" s="32" t="b">
        <f>_xlfn.XLOOKUP(Table61011121314[[#This Row],[Category No]],Table8[Category No],Table8[Chapter List],FALSE)</f>
        <v>0</v>
      </c>
      <c r="D436" s="34"/>
      <c r="E436" s="34"/>
    </row>
    <row r="437" spans="1:5" x14ac:dyDescent="0.3">
      <c r="A437" s="32">
        <v>436</v>
      </c>
      <c r="B437" s="32"/>
      <c r="C437" s="32" t="b">
        <f>_xlfn.XLOOKUP(Table61011121314[[#This Row],[Category No]],Table8[Category No],Table8[Chapter List],FALSE)</f>
        <v>0</v>
      </c>
      <c r="D437" s="34"/>
      <c r="E437" s="34"/>
    </row>
    <row r="438" spans="1:5" x14ac:dyDescent="0.3">
      <c r="A438" s="32">
        <v>437</v>
      </c>
      <c r="B438" s="32"/>
      <c r="C438" s="32" t="b">
        <f>_xlfn.XLOOKUP(Table61011121314[[#This Row],[Category No]],Table8[Category No],Table8[Chapter List],FALSE)</f>
        <v>0</v>
      </c>
      <c r="D438" s="34"/>
      <c r="E438" s="34"/>
    </row>
    <row r="439" spans="1:5" x14ac:dyDescent="0.3">
      <c r="A439" s="32">
        <v>438</v>
      </c>
      <c r="B439" s="32"/>
      <c r="C439" s="32" t="b">
        <f>_xlfn.XLOOKUP(Table61011121314[[#This Row],[Category No]],Table8[Category No],Table8[Chapter List],FALSE)</f>
        <v>0</v>
      </c>
      <c r="D439" s="34"/>
      <c r="E439" s="34"/>
    </row>
    <row r="440" spans="1:5" x14ac:dyDescent="0.3">
      <c r="A440" s="32">
        <v>439</v>
      </c>
      <c r="B440" s="32"/>
      <c r="C440" s="32" t="b">
        <f>_xlfn.XLOOKUP(Table61011121314[[#This Row],[Category No]],Table8[Category No],Table8[Chapter List],FALSE)</f>
        <v>0</v>
      </c>
      <c r="D440" s="34"/>
      <c r="E440" s="34"/>
    </row>
    <row r="441" spans="1:5" x14ac:dyDescent="0.3">
      <c r="A441" s="32">
        <v>440</v>
      </c>
      <c r="B441" s="32"/>
      <c r="C441" s="32" t="b">
        <f>_xlfn.XLOOKUP(Table61011121314[[#This Row],[Category No]],Table8[Category No],Table8[Chapter List],FALSE)</f>
        <v>0</v>
      </c>
      <c r="D441" s="34"/>
      <c r="E441" s="34"/>
    </row>
    <row r="442" spans="1:5" x14ac:dyDescent="0.3">
      <c r="A442" s="32">
        <v>441</v>
      </c>
      <c r="B442" s="32"/>
      <c r="C442" s="32" t="b">
        <f>_xlfn.XLOOKUP(Table61011121314[[#This Row],[Category No]],Table8[Category No],Table8[Chapter List],FALSE)</f>
        <v>0</v>
      </c>
      <c r="D442" s="34"/>
      <c r="E442" s="34"/>
    </row>
    <row r="443" spans="1:5" x14ac:dyDescent="0.3">
      <c r="A443" s="32">
        <v>442</v>
      </c>
      <c r="B443" s="32"/>
      <c r="C443" s="32" t="b">
        <f>_xlfn.XLOOKUP(Table61011121314[[#This Row],[Category No]],Table8[Category No],Table8[Chapter List],FALSE)</f>
        <v>0</v>
      </c>
      <c r="D443" s="34"/>
      <c r="E443" s="34"/>
    </row>
    <row r="444" spans="1:5" x14ac:dyDescent="0.3">
      <c r="A444" s="32">
        <v>443</v>
      </c>
      <c r="B444" s="32"/>
      <c r="C444" s="32" t="b">
        <f>_xlfn.XLOOKUP(Table61011121314[[#This Row],[Category No]],Table8[Category No],Table8[Chapter List],FALSE)</f>
        <v>0</v>
      </c>
      <c r="D444" s="34"/>
      <c r="E444" s="34"/>
    </row>
    <row r="445" spans="1:5" x14ac:dyDescent="0.3">
      <c r="A445" s="32">
        <v>444</v>
      </c>
      <c r="B445" s="32"/>
      <c r="C445" s="32" t="b">
        <f>_xlfn.XLOOKUP(Table61011121314[[#This Row],[Category No]],Table8[Category No],Table8[Chapter List],FALSE)</f>
        <v>0</v>
      </c>
      <c r="D445" s="34"/>
      <c r="E445" s="34"/>
    </row>
    <row r="446" spans="1:5" x14ac:dyDescent="0.3">
      <c r="A446" s="32">
        <v>445</v>
      </c>
      <c r="B446" s="32"/>
      <c r="C446" s="32" t="b">
        <f>_xlfn.XLOOKUP(Table61011121314[[#This Row],[Category No]],Table8[Category No],Table8[Chapter List],FALSE)</f>
        <v>0</v>
      </c>
      <c r="D446" s="34"/>
      <c r="E446" s="34"/>
    </row>
    <row r="447" spans="1:5" x14ac:dyDescent="0.3">
      <c r="A447" s="32">
        <v>446</v>
      </c>
      <c r="B447" s="32"/>
      <c r="C447" s="32" t="b">
        <f>_xlfn.XLOOKUP(Table61011121314[[#This Row],[Category No]],Table8[Category No],Table8[Chapter List],FALSE)</f>
        <v>0</v>
      </c>
      <c r="D447" s="34"/>
      <c r="E447" s="34"/>
    </row>
    <row r="448" spans="1:5" x14ac:dyDescent="0.3">
      <c r="A448" s="32">
        <v>447</v>
      </c>
      <c r="B448" s="32"/>
      <c r="C448" s="32" t="b">
        <f>_xlfn.XLOOKUP(Table61011121314[[#This Row],[Category No]],Table8[Category No],Table8[Chapter List],FALSE)</f>
        <v>0</v>
      </c>
      <c r="D448" s="34"/>
      <c r="E448" s="34"/>
    </row>
    <row r="449" spans="1:5" x14ac:dyDescent="0.3">
      <c r="A449" s="32">
        <v>448</v>
      </c>
      <c r="B449" s="32"/>
      <c r="C449" s="32" t="b">
        <f>_xlfn.XLOOKUP(Table61011121314[[#This Row],[Category No]],Table8[Category No],Table8[Chapter List],FALSE)</f>
        <v>0</v>
      </c>
      <c r="D449" s="34"/>
      <c r="E449" s="34"/>
    </row>
    <row r="450" spans="1:5" x14ac:dyDescent="0.3">
      <c r="A450" s="32">
        <v>449</v>
      </c>
      <c r="B450" s="32"/>
      <c r="C450" s="32" t="b">
        <f>_xlfn.XLOOKUP(Table61011121314[[#This Row],[Category No]],Table8[Category No],Table8[Chapter List],FALSE)</f>
        <v>0</v>
      </c>
      <c r="D450" s="34"/>
      <c r="E450" s="34"/>
    </row>
    <row r="451" spans="1:5" x14ac:dyDescent="0.3">
      <c r="A451" s="32">
        <v>450</v>
      </c>
      <c r="B451" s="32"/>
      <c r="C451" s="32" t="b">
        <f>_xlfn.XLOOKUP(Table61011121314[[#This Row],[Category No]],Table8[Category No],Table8[Chapter List],FALSE)</f>
        <v>0</v>
      </c>
      <c r="D451" s="34"/>
      <c r="E451" s="34"/>
    </row>
    <row r="452" spans="1:5" x14ac:dyDescent="0.3">
      <c r="A452" s="32">
        <v>451</v>
      </c>
      <c r="B452" s="32"/>
      <c r="C452" s="32" t="b">
        <f>_xlfn.XLOOKUP(Table61011121314[[#This Row],[Category No]],Table8[Category No],Table8[Chapter List],FALSE)</f>
        <v>0</v>
      </c>
      <c r="D452" s="34"/>
      <c r="E452" s="34"/>
    </row>
    <row r="453" spans="1:5" x14ac:dyDescent="0.3">
      <c r="A453" s="32">
        <v>452</v>
      </c>
      <c r="B453" s="32"/>
      <c r="C453" s="32" t="b">
        <f>_xlfn.XLOOKUP(Table61011121314[[#This Row],[Category No]],Table8[Category No],Table8[Chapter List],FALSE)</f>
        <v>0</v>
      </c>
      <c r="D453" s="34"/>
      <c r="E453" s="34"/>
    </row>
    <row r="454" spans="1:5" x14ac:dyDescent="0.3">
      <c r="A454" s="32">
        <v>453</v>
      </c>
      <c r="B454" s="32"/>
      <c r="C454" s="32" t="b">
        <f>_xlfn.XLOOKUP(Table61011121314[[#This Row],[Category No]],Table8[Category No],Table8[Chapter List],FALSE)</f>
        <v>0</v>
      </c>
      <c r="D454" s="34"/>
      <c r="E454" s="34"/>
    </row>
    <row r="455" spans="1:5" x14ac:dyDescent="0.3">
      <c r="A455" s="32">
        <v>454</v>
      </c>
      <c r="B455" s="32"/>
      <c r="C455" s="32" t="b">
        <f>_xlfn.XLOOKUP(Table61011121314[[#This Row],[Category No]],Table8[Category No],Table8[Chapter List],FALSE)</f>
        <v>0</v>
      </c>
      <c r="D455" s="34"/>
      <c r="E455" s="34"/>
    </row>
    <row r="456" spans="1:5" x14ac:dyDescent="0.3">
      <c r="A456" s="32">
        <v>455</v>
      </c>
      <c r="B456" s="32"/>
      <c r="C456" s="32" t="b">
        <f>_xlfn.XLOOKUP(Table61011121314[[#This Row],[Category No]],Table8[Category No],Table8[Chapter List],FALSE)</f>
        <v>0</v>
      </c>
      <c r="D456" s="34"/>
      <c r="E456" s="34"/>
    </row>
    <row r="457" spans="1:5" x14ac:dyDescent="0.3">
      <c r="A457" s="32">
        <v>456</v>
      </c>
      <c r="B457" s="32"/>
      <c r="C457" s="32" t="b">
        <f>_xlfn.XLOOKUP(Table61011121314[[#This Row],[Category No]],Table8[Category No],Table8[Chapter List],FALSE)</f>
        <v>0</v>
      </c>
      <c r="D457" s="34"/>
      <c r="E457" s="34"/>
    </row>
    <row r="458" spans="1:5" x14ac:dyDescent="0.3">
      <c r="A458" s="32">
        <v>457</v>
      </c>
      <c r="B458" s="32"/>
      <c r="C458" s="32" t="b">
        <f>_xlfn.XLOOKUP(Table61011121314[[#This Row],[Category No]],Table8[Category No],Table8[Chapter List],FALSE)</f>
        <v>0</v>
      </c>
      <c r="D458" s="34"/>
      <c r="E458" s="34"/>
    </row>
    <row r="459" spans="1:5" x14ac:dyDescent="0.3">
      <c r="A459" s="32">
        <v>458</v>
      </c>
      <c r="B459" s="32"/>
      <c r="C459" s="32" t="b">
        <f>_xlfn.XLOOKUP(Table61011121314[[#This Row],[Category No]],Table8[Category No],Table8[Chapter List],FALSE)</f>
        <v>0</v>
      </c>
      <c r="D459" s="34"/>
      <c r="E459" s="34"/>
    </row>
    <row r="460" spans="1:5" x14ac:dyDescent="0.3">
      <c r="A460" s="32">
        <v>459</v>
      </c>
      <c r="B460" s="32"/>
      <c r="C460" s="32" t="b">
        <f>_xlfn.XLOOKUP(Table61011121314[[#This Row],[Category No]],Table8[Category No],Table8[Chapter List],FALSE)</f>
        <v>0</v>
      </c>
      <c r="D460" s="34"/>
      <c r="E460" s="34"/>
    </row>
    <row r="461" spans="1:5" x14ac:dyDescent="0.3">
      <c r="A461" s="32">
        <v>460</v>
      </c>
      <c r="B461" s="32"/>
      <c r="C461" s="32" t="b">
        <f>_xlfn.XLOOKUP(Table61011121314[[#This Row],[Category No]],Table8[Category No],Table8[Chapter List],FALSE)</f>
        <v>0</v>
      </c>
      <c r="D461" s="34"/>
      <c r="E461" s="34"/>
    </row>
    <row r="462" spans="1:5" x14ac:dyDescent="0.3">
      <c r="A462" s="32">
        <v>461</v>
      </c>
      <c r="B462" s="32"/>
      <c r="C462" s="32" t="b">
        <f>_xlfn.XLOOKUP(Table61011121314[[#This Row],[Category No]],Table8[Category No],Table8[Chapter List],FALSE)</f>
        <v>0</v>
      </c>
      <c r="D462" s="34"/>
      <c r="E462" s="34"/>
    </row>
    <row r="463" spans="1:5" x14ac:dyDescent="0.3">
      <c r="A463" s="32">
        <v>462</v>
      </c>
      <c r="B463" s="32"/>
      <c r="C463" s="32" t="b">
        <f>_xlfn.XLOOKUP(Table61011121314[[#This Row],[Category No]],Table8[Category No],Table8[Chapter List],FALSE)</f>
        <v>0</v>
      </c>
      <c r="D463" s="34"/>
      <c r="E463" s="34"/>
    </row>
    <row r="464" spans="1:5" x14ac:dyDescent="0.3">
      <c r="A464" s="32">
        <v>463</v>
      </c>
      <c r="B464" s="32"/>
      <c r="C464" s="32" t="b">
        <f>_xlfn.XLOOKUP(Table61011121314[[#This Row],[Category No]],Table8[Category No],Table8[Chapter List],FALSE)</f>
        <v>0</v>
      </c>
      <c r="D464" s="34"/>
      <c r="E464" s="34"/>
    </row>
    <row r="465" spans="1:5" x14ac:dyDescent="0.3">
      <c r="A465" s="32">
        <v>464</v>
      </c>
      <c r="B465" s="32"/>
      <c r="C465" s="32" t="b">
        <f>_xlfn.XLOOKUP(Table61011121314[[#This Row],[Category No]],Table8[Category No],Table8[Chapter List],FALSE)</f>
        <v>0</v>
      </c>
      <c r="D465" s="34"/>
      <c r="E465" s="34"/>
    </row>
    <row r="466" spans="1:5" x14ac:dyDescent="0.3">
      <c r="A466" s="32">
        <v>465</v>
      </c>
      <c r="B466" s="32"/>
      <c r="C466" s="32" t="b">
        <f>_xlfn.XLOOKUP(Table61011121314[[#This Row],[Category No]],Table8[Category No],Table8[Chapter List],FALSE)</f>
        <v>0</v>
      </c>
      <c r="D466" s="34"/>
      <c r="E466" s="34"/>
    </row>
    <row r="467" spans="1:5" x14ac:dyDescent="0.3">
      <c r="A467" s="32">
        <v>466</v>
      </c>
      <c r="B467" s="32"/>
      <c r="C467" s="32" t="b">
        <f>_xlfn.XLOOKUP(Table61011121314[[#This Row],[Category No]],Table8[Category No],Table8[Chapter List],FALSE)</f>
        <v>0</v>
      </c>
      <c r="D467" s="34"/>
      <c r="E467" s="34"/>
    </row>
    <row r="468" spans="1:5" x14ac:dyDescent="0.3">
      <c r="A468" s="32">
        <v>467</v>
      </c>
      <c r="B468" s="32"/>
      <c r="C468" s="32" t="b">
        <f>_xlfn.XLOOKUP(Table61011121314[[#This Row],[Category No]],Table8[Category No],Table8[Chapter List],FALSE)</f>
        <v>0</v>
      </c>
      <c r="D468" s="34"/>
      <c r="E468" s="34"/>
    </row>
    <row r="469" spans="1:5" x14ac:dyDescent="0.3">
      <c r="A469" s="32">
        <v>468</v>
      </c>
      <c r="B469" s="32"/>
      <c r="C469" s="32" t="b">
        <f>_xlfn.XLOOKUP(Table61011121314[[#This Row],[Category No]],Table8[Category No],Table8[Chapter List],FALSE)</f>
        <v>0</v>
      </c>
      <c r="D469" s="34"/>
      <c r="E469" s="34"/>
    </row>
    <row r="470" spans="1:5" x14ac:dyDescent="0.3">
      <c r="A470" s="32">
        <v>469</v>
      </c>
      <c r="B470" s="32"/>
      <c r="C470" s="32" t="b">
        <f>_xlfn.XLOOKUP(Table61011121314[[#This Row],[Category No]],Table8[Category No],Table8[Chapter List],FALSE)</f>
        <v>0</v>
      </c>
      <c r="D470" s="34"/>
      <c r="E470" s="34"/>
    </row>
    <row r="471" spans="1:5" x14ac:dyDescent="0.3">
      <c r="A471" s="32">
        <v>470</v>
      </c>
      <c r="B471" s="32"/>
      <c r="C471" s="32" t="b">
        <f>_xlfn.XLOOKUP(Table61011121314[[#This Row],[Category No]],Table8[Category No],Table8[Chapter List],FALSE)</f>
        <v>0</v>
      </c>
      <c r="D471" s="34"/>
      <c r="E471" s="34"/>
    </row>
    <row r="472" spans="1:5" x14ac:dyDescent="0.3">
      <c r="A472" s="32">
        <v>471</v>
      </c>
      <c r="B472" s="32"/>
      <c r="C472" s="32" t="b">
        <f>_xlfn.XLOOKUP(Table61011121314[[#This Row],[Category No]],Table8[Category No],Table8[Chapter List],FALSE)</f>
        <v>0</v>
      </c>
      <c r="D472" s="34"/>
      <c r="E472" s="34"/>
    </row>
    <row r="473" spans="1:5" x14ac:dyDescent="0.3">
      <c r="A473" s="32">
        <v>472</v>
      </c>
      <c r="B473" s="32"/>
      <c r="C473" s="32" t="b">
        <f>_xlfn.XLOOKUP(Table61011121314[[#This Row],[Category No]],Table8[Category No],Table8[Chapter List],FALSE)</f>
        <v>0</v>
      </c>
      <c r="D473" s="34"/>
      <c r="E473" s="34"/>
    </row>
    <row r="474" spans="1:5" x14ac:dyDescent="0.3">
      <c r="A474" s="32">
        <v>473</v>
      </c>
      <c r="B474" s="32"/>
      <c r="C474" s="32" t="b">
        <f>_xlfn.XLOOKUP(Table61011121314[[#This Row],[Category No]],Table8[Category No],Table8[Chapter List],FALSE)</f>
        <v>0</v>
      </c>
      <c r="D474" s="34"/>
      <c r="E474" s="34"/>
    </row>
    <row r="475" spans="1:5" x14ac:dyDescent="0.3">
      <c r="A475" s="32">
        <v>474</v>
      </c>
      <c r="B475" s="32"/>
      <c r="C475" s="32" t="b">
        <f>_xlfn.XLOOKUP(Table61011121314[[#This Row],[Category No]],Table8[Category No],Table8[Chapter List],FALSE)</f>
        <v>0</v>
      </c>
      <c r="D475" s="34"/>
      <c r="E475" s="34"/>
    </row>
    <row r="476" spans="1:5" x14ac:dyDescent="0.3">
      <c r="A476" s="32">
        <v>475</v>
      </c>
      <c r="B476" s="32"/>
      <c r="C476" s="32" t="b">
        <f>_xlfn.XLOOKUP(Table61011121314[[#This Row],[Category No]],Table8[Category No],Table8[Chapter List],FALSE)</f>
        <v>0</v>
      </c>
      <c r="D476" s="34"/>
      <c r="E476" s="34"/>
    </row>
    <row r="477" spans="1:5" x14ac:dyDescent="0.3">
      <c r="A477" s="32">
        <v>476</v>
      </c>
      <c r="B477" s="32"/>
      <c r="C477" s="32" t="b">
        <f>_xlfn.XLOOKUP(Table61011121314[[#This Row],[Category No]],Table8[Category No],Table8[Chapter List],FALSE)</f>
        <v>0</v>
      </c>
      <c r="D477" s="34"/>
      <c r="E477" s="34"/>
    </row>
    <row r="478" spans="1:5" x14ac:dyDescent="0.3">
      <c r="A478" s="32">
        <v>477</v>
      </c>
      <c r="B478" s="32"/>
      <c r="C478" s="32" t="b">
        <f>_xlfn.XLOOKUP(Table61011121314[[#This Row],[Category No]],Table8[Category No],Table8[Chapter List],FALSE)</f>
        <v>0</v>
      </c>
      <c r="D478" s="34"/>
      <c r="E478" s="34"/>
    </row>
    <row r="479" spans="1:5" x14ac:dyDescent="0.3">
      <c r="A479" s="32">
        <v>478</v>
      </c>
      <c r="B479" s="32"/>
      <c r="C479" s="32" t="b">
        <f>_xlfn.XLOOKUP(Table61011121314[[#This Row],[Category No]],Table8[Category No],Table8[Chapter List],FALSE)</f>
        <v>0</v>
      </c>
      <c r="D479" s="34"/>
      <c r="E479" s="34"/>
    </row>
    <row r="480" spans="1:5" x14ac:dyDescent="0.3">
      <c r="A480" s="32">
        <v>479</v>
      </c>
      <c r="B480" s="32"/>
      <c r="C480" s="32" t="b">
        <f>_xlfn.XLOOKUP(Table61011121314[[#This Row],[Category No]],Table8[Category No],Table8[Chapter List],FALSE)</f>
        <v>0</v>
      </c>
      <c r="D480" s="34"/>
      <c r="E480" s="34"/>
    </row>
    <row r="481" spans="1:5" x14ac:dyDescent="0.3">
      <c r="A481" s="32">
        <v>480</v>
      </c>
      <c r="B481" s="32"/>
      <c r="C481" s="32" t="b">
        <f>_xlfn.XLOOKUP(Table61011121314[[#This Row],[Category No]],Table8[Category No],Table8[Chapter List],FALSE)</f>
        <v>0</v>
      </c>
      <c r="D481" s="34"/>
      <c r="E481" s="34"/>
    </row>
    <row r="482" spans="1:5" x14ac:dyDescent="0.3">
      <c r="A482" s="32">
        <v>481</v>
      </c>
      <c r="B482" s="32"/>
      <c r="C482" s="32" t="b">
        <f>_xlfn.XLOOKUP(Table61011121314[[#This Row],[Category No]],Table8[Category No],Table8[Chapter List],FALSE)</f>
        <v>0</v>
      </c>
      <c r="D482" s="34"/>
      <c r="E482" s="34"/>
    </row>
    <row r="483" spans="1:5" x14ac:dyDescent="0.3">
      <c r="A483" s="32">
        <v>482</v>
      </c>
      <c r="B483" s="32"/>
      <c r="C483" s="32" t="b">
        <f>_xlfn.XLOOKUP(Table61011121314[[#This Row],[Category No]],Table8[Category No],Table8[Chapter List],FALSE)</f>
        <v>0</v>
      </c>
      <c r="D483" s="34"/>
      <c r="E483" s="34"/>
    </row>
    <row r="484" spans="1:5" x14ac:dyDescent="0.3">
      <c r="A484" s="32">
        <v>483</v>
      </c>
      <c r="B484" s="32"/>
      <c r="C484" s="32" t="b">
        <f>_xlfn.XLOOKUP(Table61011121314[[#This Row],[Category No]],Table8[Category No],Table8[Chapter List],FALSE)</f>
        <v>0</v>
      </c>
      <c r="D484" s="34"/>
      <c r="E484" s="34"/>
    </row>
    <row r="485" spans="1:5" x14ac:dyDescent="0.3">
      <c r="A485" s="32">
        <v>484</v>
      </c>
      <c r="B485" s="32"/>
      <c r="C485" s="32" t="b">
        <f>_xlfn.XLOOKUP(Table61011121314[[#This Row],[Category No]],Table8[Category No],Table8[Chapter List],FALSE)</f>
        <v>0</v>
      </c>
      <c r="D485" s="34"/>
      <c r="E485" s="34"/>
    </row>
    <row r="486" spans="1:5" x14ac:dyDescent="0.3">
      <c r="A486" s="32">
        <v>485</v>
      </c>
      <c r="B486" s="32"/>
      <c r="C486" s="32" t="b">
        <f>_xlfn.XLOOKUP(Table61011121314[[#This Row],[Category No]],Table8[Category No],Table8[Chapter List],FALSE)</f>
        <v>0</v>
      </c>
      <c r="D486" s="34"/>
      <c r="E486" s="34"/>
    </row>
    <row r="487" spans="1:5" x14ac:dyDescent="0.3">
      <c r="A487" s="32">
        <v>486</v>
      </c>
      <c r="B487" s="32"/>
      <c r="C487" s="32" t="b">
        <f>_xlfn.XLOOKUP(Table61011121314[[#This Row],[Category No]],Table8[Category No],Table8[Chapter List],FALSE)</f>
        <v>0</v>
      </c>
      <c r="D487" s="34"/>
      <c r="E487" s="34"/>
    </row>
    <row r="488" spans="1:5" x14ac:dyDescent="0.3">
      <c r="A488" s="32">
        <v>487</v>
      </c>
      <c r="B488" s="32"/>
      <c r="C488" s="32" t="b">
        <f>_xlfn.XLOOKUP(Table61011121314[[#This Row],[Category No]],Table8[Category No],Table8[Chapter List],FALSE)</f>
        <v>0</v>
      </c>
      <c r="D488" s="34"/>
      <c r="E488" s="34"/>
    </row>
    <row r="489" spans="1:5" x14ac:dyDescent="0.3">
      <c r="A489" s="32">
        <v>488</v>
      </c>
      <c r="B489" s="32"/>
      <c r="C489" s="32" t="b">
        <f>_xlfn.XLOOKUP(Table61011121314[[#This Row],[Category No]],Table8[Category No],Table8[Chapter List],FALSE)</f>
        <v>0</v>
      </c>
      <c r="D489" s="34"/>
      <c r="E489" s="34"/>
    </row>
    <row r="490" spans="1:5" x14ac:dyDescent="0.3">
      <c r="A490" s="32">
        <v>489</v>
      </c>
      <c r="B490" s="32"/>
      <c r="C490" s="32" t="b">
        <f>_xlfn.XLOOKUP(Table61011121314[[#This Row],[Category No]],Table8[Category No],Table8[Chapter List],FALSE)</f>
        <v>0</v>
      </c>
      <c r="D490" s="34"/>
      <c r="E490" s="34"/>
    </row>
    <row r="491" spans="1:5" x14ac:dyDescent="0.3">
      <c r="A491" s="32">
        <v>490</v>
      </c>
      <c r="B491" s="32"/>
      <c r="C491" s="32" t="b">
        <f>_xlfn.XLOOKUP(Table61011121314[[#This Row],[Category No]],Table8[Category No],Table8[Chapter List],FALSE)</f>
        <v>0</v>
      </c>
      <c r="D491" s="34"/>
      <c r="E491" s="34"/>
    </row>
    <row r="492" spans="1:5" x14ac:dyDescent="0.3">
      <c r="A492" s="32">
        <v>491</v>
      </c>
      <c r="B492" s="32"/>
      <c r="C492" s="32" t="b">
        <f>_xlfn.XLOOKUP(Table61011121314[[#This Row],[Category No]],Table8[Category No],Table8[Chapter List],FALSE)</f>
        <v>0</v>
      </c>
      <c r="D492" s="34"/>
      <c r="E492" s="34"/>
    </row>
    <row r="493" spans="1:5" x14ac:dyDescent="0.3">
      <c r="A493" s="32">
        <v>492</v>
      </c>
      <c r="B493" s="32"/>
      <c r="C493" s="32" t="b">
        <f>_xlfn.XLOOKUP(Table61011121314[[#This Row],[Category No]],Table8[Category No],Table8[Chapter List],FALSE)</f>
        <v>0</v>
      </c>
      <c r="D493" s="34"/>
      <c r="E493" s="34"/>
    </row>
    <row r="494" spans="1:5" x14ac:dyDescent="0.3">
      <c r="A494" s="32">
        <v>493</v>
      </c>
      <c r="B494" s="32"/>
      <c r="C494" s="32" t="b">
        <f>_xlfn.XLOOKUP(Table61011121314[[#This Row],[Category No]],Table8[Category No],Table8[Chapter List],FALSE)</f>
        <v>0</v>
      </c>
      <c r="D494" s="34"/>
      <c r="E494" s="34"/>
    </row>
    <row r="495" spans="1:5" x14ac:dyDescent="0.3">
      <c r="A495" s="32">
        <v>494</v>
      </c>
      <c r="B495" s="32"/>
      <c r="C495" s="32" t="b">
        <f>_xlfn.XLOOKUP(Table61011121314[[#This Row],[Category No]],Table8[Category No],Table8[Chapter List],FALSE)</f>
        <v>0</v>
      </c>
      <c r="D495" s="34"/>
      <c r="E495" s="34"/>
    </row>
    <row r="496" spans="1:5" x14ac:dyDescent="0.3">
      <c r="A496" s="32">
        <v>495</v>
      </c>
      <c r="B496" s="32"/>
      <c r="C496" s="32" t="b">
        <f>_xlfn.XLOOKUP(Table61011121314[[#This Row],[Category No]],Table8[Category No],Table8[Chapter List],FALSE)</f>
        <v>0</v>
      </c>
      <c r="D496" s="34"/>
      <c r="E496" s="34"/>
    </row>
    <row r="497" spans="1:5" x14ac:dyDescent="0.3">
      <c r="A497" s="32">
        <v>496</v>
      </c>
      <c r="B497" s="32"/>
      <c r="C497" s="32" t="b">
        <f>_xlfn.XLOOKUP(Table61011121314[[#This Row],[Category No]],Table8[Category No],Table8[Chapter List],FALSE)</f>
        <v>0</v>
      </c>
      <c r="D497" s="34"/>
      <c r="E497" s="34"/>
    </row>
    <row r="498" spans="1:5" x14ac:dyDescent="0.3">
      <c r="A498" s="32">
        <v>497</v>
      </c>
      <c r="B498" s="32"/>
      <c r="C498" s="32" t="b">
        <f>_xlfn.XLOOKUP(Table61011121314[[#This Row],[Category No]],Table8[Category No],Table8[Chapter List],FALSE)</f>
        <v>0</v>
      </c>
      <c r="D498" s="34"/>
      <c r="E498" s="34"/>
    </row>
    <row r="499" spans="1:5" x14ac:dyDescent="0.3">
      <c r="A499" s="32">
        <v>498</v>
      </c>
      <c r="B499" s="32"/>
      <c r="C499" s="32" t="b">
        <f>_xlfn.XLOOKUP(Table61011121314[[#This Row],[Category No]],Table8[Category No],Table8[Chapter List],FALSE)</f>
        <v>0</v>
      </c>
      <c r="D499" s="34"/>
      <c r="E499" s="34"/>
    </row>
    <row r="500" spans="1:5" x14ac:dyDescent="0.3">
      <c r="A500" s="32">
        <v>499</v>
      </c>
      <c r="B500" s="32"/>
      <c r="C500" s="32" t="b">
        <f>_xlfn.XLOOKUP(Table61011121314[[#This Row],[Category No]],Table8[Category No],Table8[Chapter List],FALSE)</f>
        <v>0</v>
      </c>
      <c r="D500" s="34"/>
      <c r="E500" s="34"/>
    </row>
    <row r="501" spans="1:5" x14ac:dyDescent="0.3">
      <c r="A501" s="32">
        <v>500</v>
      </c>
      <c r="B501" s="32"/>
      <c r="C501" s="32" t="b">
        <f>_xlfn.XLOOKUP(Table61011121314[[#This Row],[Category No]],Table8[Category No],Table8[Chapter List],FALSE)</f>
        <v>0</v>
      </c>
      <c r="D501" s="34"/>
      <c r="E501" s="34"/>
    </row>
    <row r="502" spans="1:5" x14ac:dyDescent="0.3">
      <c r="A502" s="32">
        <v>501</v>
      </c>
      <c r="B502" s="32"/>
      <c r="C502" s="32" t="b">
        <f>_xlfn.XLOOKUP(Table61011121314[[#This Row],[Category No]],Table8[Category No],Table8[Chapter List],FALSE)</f>
        <v>0</v>
      </c>
      <c r="D502" s="34"/>
      <c r="E502" s="34"/>
    </row>
    <row r="503" spans="1:5" x14ac:dyDescent="0.3">
      <c r="A503" s="32">
        <v>502</v>
      </c>
      <c r="B503" s="32"/>
      <c r="C503" s="32" t="b">
        <f>_xlfn.XLOOKUP(Table61011121314[[#This Row],[Category No]],Table8[Category No],Table8[Chapter List],FALSE)</f>
        <v>0</v>
      </c>
      <c r="D503" s="34"/>
      <c r="E503" s="34"/>
    </row>
    <row r="504" spans="1:5" x14ac:dyDescent="0.3">
      <c r="A504" s="32">
        <v>503</v>
      </c>
      <c r="B504" s="32"/>
      <c r="C504" s="32" t="b">
        <f>_xlfn.XLOOKUP(Table61011121314[[#This Row],[Category No]],Table8[Category No],Table8[Chapter List],FALSE)</f>
        <v>0</v>
      </c>
      <c r="D504" s="34"/>
      <c r="E504" s="34"/>
    </row>
    <row r="505" spans="1:5" x14ac:dyDescent="0.3">
      <c r="A505" s="32">
        <v>504</v>
      </c>
      <c r="B505" s="32"/>
      <c r="C505" s="32" t="b">
        <f>_xlfn.XLOOKUP(Table61011121314[[#This Row],[Category No]],Table8[Category No],Table8[Chapter List],FALSE)</f>
        <v>0</v>
      </c>
      <c r="D505" s="34"/>
      <c r="E505" s="34"/>
    </row>
    <row r="506" spans="1:5" x14ac:dyDescent="0.3">
      <c r="A506" s="32">
        <v>505</v>
      </c>
      <c r="B506" s="32"/>
      <c r="C506" s="32" t="b">
        <f>_xlfn.XLOOKUP(Table61011121314[[#This Row],[Category No]],Table8[Category No],Table8[Chapter List],FALSE)</f>
        <v>0</v>
      </c>
      <c r="D506" s="34"/>
      <c r="E506" s="34"/>
    </row>
    <row r="507" spans="1:5" x14ac:dyDescent="0.3">
      <c r="A507" s="32">
        <v>506</v>
      </c>
      <c r="B507" s="32"/>
      <c r="C507" s="32" t="b">
        <f>_xlfn.XLOOKUP(Table61011121314[[#This Row],[Category No]],Table8[Category No],Table8[Chapter List],FALSE)</f>
        <v>0</v>
      </c>
      <c r="D507" s="34"/>
      <c r="E507" s="34"/>
    </row>
    <row r="508" spans="1:5" x14ac:dyDescent="0.3">
      <c r="A508" s="32">
        <v>507</v>
      </c>
      <c r="B508" s="32"/>
      <c r="C508" s="32" t="b">
        <f>_xlfn.XLOOKUP(Table61011121314[[#This Row],[Category No]],Table8[Category No],Table8[Chapter List],FALSE)</f>
        <v>0</v>
      </c>
      <c r="D508" s="34"/>
      <c r="E508" s="34"/>
    </row>
    <row r="509" spans="1:5" x14ac:dyDescent="0.3">
      <c r="A509" s="32">
        <v>508</v>
      </c>
      <c r="B509" s="32"/>
      <c r="C509" s="32" t="b">
        <f>_xlfn.XLOOKUP(Table61011121314[[#This Row],[Category No]],Table8[Category No],Table8[Chapter List],FALSE)</f>
        <v>0</v>
      </c>
      <c r="D509" s="34"/>
      <c r="E509" s="34"/>
    </row>
    <row r="510" spans="1:5" x14ac:dyDescent="0.3">
      <c r="A510" s="32">
        <v>509</v>
      </c>
      <c r="B510" s="32"/>
      <c r="C510" s="32" t="b">
        <f>_xlfn.XLOOKUP(Table61011121314[[#This Row],[Category No]],Table8[Category No],Table8[Chapter List],FALSE)</f>
        <v>0</v>
      </c>
      <c r="D510" s="34"/>
      <c r="E510" s="34"/>
    </row>
    <row r="511" spans="1:5" x14ac:dyDescent="0.3">
      <c r="A511" s="32">
        <v>510</v>
      </c>
      <c r="B511" s="32"/>
      <c r="C511" s="32" t="b">
        <f>_xlfn.XLOOKUP(Table61011121314[[#This Row],[Category No]],Table8[Category No],Table8[Chapter List],FALSE)</f>
        <v>0</v>
      </c>
      <c r="D511" s="34"/>
      <c r="E511" s="34"/>
    </row>
    <row r="512" spans="1:5" x14ac:dyDescent="0.3">
      <c r="A512" s="32">
        <v>511</v>
      </c>
      <c r="B512" s="32"/>
      <c r="C512" s="32" t="b">
        <f>_xlfn.XLOOKUP(Table61011121314[[#This Row],[Category No]],Table8[Category No],Table8[Chapter List],FALSE)</f>
        <v>0</v>
      </c>
      <c r="D512" s="34"/>
      <c r="E512" s="34"/>
    </row>
    <row r="513" spans="1:5" x14ac:dyDescent="0.3">
      <c r="A513" s="32">
        <v>512</v>
      </c>
      <c r="B513" s="32"/>
      <c r="C513" s="32" t="b">
        <f>_xlfn.XLOOKUP(Table61011121314[[#This Row],[Category No]],Table8[Category No],Table8[Chapter List],FALSE)</f>
        <v>0</v>
      </c>
      <c r="D513" s="34"/>
      <c r="E513" s="34"/>
    </row>
    <row r="514" spans="1:5" x14ac:dyDescent="0.3">
      <c r="A514" s="32">
        <v>513</v>
      </c>
      <c r="B514" s="32"/>
      <c r="C514" s="32" t="b">
        <f>_xlfn.XLOOKUP(Table61011121314[[#This Row],[Category No]],Table8[Category No],Table8[Chapter List],FALSE)</f>
        <v>0</v>
      </c>
      <c r="D514" s="34"/>
      <c r="E514" s="34"/>
    </row>
    <row r="515" spans="1:5" x14ac:dyDescent="0.3">
      <c r="A515" s="32">
        <v>514</v>
      </c>
      <c r="B515" s="32"/>
      <c r="C515" s="32" t="b">
        <f>_xlfn.XLOOKUP(Table61011121314[[#This Row],[Category No]],Table8[Category No],Table8[Chapter List],FALSE)</f>
        <v>0</v>
      </c>
      <c r="D515" s="34"/>
      <c r="E515" s="34"/>
    </row>
    <row r="516" spans="1:5" x14ac:dyDescent="0.3">
      <c r="A516" s="32">
        <v>515</v>
      </c>
      <c r="B516" s="32"/>
      <c r="C516" s="32" t="b">
        <f>_xlfn.XLOOKUP(Table61011121314[[#This Row],[Category No]],Table8[Category No],Table8[Chapter List],FALSE)</f>
        <v>0</v>
      </c>
      <c r="D516" s="34"/>
      <c r="E516" s="34"/>
    </row>
    <row r="517" spans="1:5" x14ac:dyDescent="0.3">
      <c r="A517" s="32">
        <v>516</v>
      </c>
      <c r="B517" s="32"/>
      <c r="C517" s="32" t="b">
        <f>_xlfn.XLOOKUP(Table61011121314[[#This Row],[Category No]],Table8[Category No],Table8[Chapter List],FALSE)</f>
        <v>0</v>
      </c>
      <c r="D517" s="34"/>
      <c r="E517" s="34"/>
    </row>
    <row r="518" spans="1:5" x14ac:dyDescent="0.3">
      <c r="A518" s="32">
        <v>517</v>
      </c>
      <c r="B518" s="32"/>
      <c r="C518" s="32" t="b">
        <f>_xlfn.XLOOKUP(Table61011121314[[#This Row],[Category No]],Table8[Category No],Table8[Chapter List],FALSE)</f>
        <v>0</v>
      </c>
      <c r="D518" s="34"/>
      <c r="E518" s="34"/>
    </row>
    <row r="519" spans="1:5" x14ac:dyDescent="0.3">
      <c r="A519" s="32">
        <v>518</v>
      </c>
      <c r="B519" s="32"/>
      <c r="C519" s="32" t="b">
        <f>_xlfn.XLOOKUP(Table61011121314[[#This Row],[Category No]],Table8[Category No],Table8[Chapter List],FALSE)</f>
        <v>0</v>
      </c>
      <c r="D519" s="34"/>
      <c r="E519" s="34"/>
    </row>
    <row r="520" spans="1:5" x14ac:dyDescent="0.3">
      <c r="A520" s="32">
        <v>519</v>
      </c>
      <c r="B520" s="32"/>
      <c r="C520" s="32" t="b">
        <f>_xlfn.XLOOKUP(Table61011121314[[#This Row],[Category No]],Table8[Category No],Table8[Chapter List],FALSE)</f>
        <v>0</v>
      </c>
      <c r="D520" s="34"/>
      <c r="E520" s="34"/>
    </row>
    <row r="521" spans="1:5" x14ac:dyDescent="0.3">
      <c r="A521" s="32">
        <v>520</v>
      </c>
      <c r="B521" s="32"/>
      <c r="C521" s="32" t="b">
        <f>_xlfn.XLOOKUP(Table61011121314[[#This Row],[Category No]],Table8[Category No],Table8[Chapter List],FALSE)</f>
        <v>0</v>
      </c>
      <c r="D521" s="34"/>
      <c r="E521" s="34"/>
    </row>
    <row r="522" spans="1:5" x14ac:dyDescent="0.3">
      <c r="A522" s="32">
        <v>521</v>
      </c>
      <c r="B522" s="32"/>
      <c r="C522" s="32" t="b">
        <f>_xlfn.XLOOKUP(Table61011121314[[#This Row],[Category No]],Table8[Category No],Table8[Chapter List],FALSE)</f>
        <v>0</v>
      </c>
      <c r="D522" s="34"/>
      <c r="E522" s="34"/>
    </row>
    <row r="523" spans="1:5" x14ac:dyDescent="0.3">
      <c r="A523" s="32">
        <v>522</v>
      </c>
      <c r="B523" s="32"/>
      <c r="C523" s="32" t="b">
        <f>_xlfn.XLOOKUP(Table61011121314[[#This Row],[Category No]],Table8[Category No],Table8[Chapter List],FALSE)</f>
        <v>0</v>
      </c>
      <c r="D523" s="34"/>
      <c r="E523" s="34"/>
    </row>
    <row r="524" spans="1:5" x14ac:dyDescent="0.3">
      <c r="A524" s="32">
        <v>523</v>
      </c>
      <c r="B524" s="32"/>
      <c r="C524" s="32" t="b">
        <f>_xlfn.XLOOKUP(Table61011121314[[#This Row],[Category No]],Table8[Category No],Table8[Chapter List],FALSE)</f>
        <v>0</v>
      </c>
      <c r="D524" s="34"/>
      <c r="E524" s="34"/>
    </row>
    <row r="525" spans="1:5" x14ac:dyDescent="0.3">
      <c r="A525" s="32">
        <v>524</v>
      </c>
      <c r="B525" s="32"/>
      <c r="C525" s="32" t="b">
        <f>_xlfn.XLOOKUP(Table61011121314[[#This Row],[Category No]],Table8[Category No],Table8[Chapter List],FALSE)</f>
        <v>0</v>
      </c>
      <c r="D525" s="34"/>
      <c r="E525" s="34"/>
    </row>
    <row r="526" spans="1:5" x14ac:dyDescent="0.3">
      <c r="A526" s="32">
        <v>525</v>
      </c>
      <c r="B526" s="32"/>
      <c r="C526" s="32" t="b">
        <f>_xlfn.XLOOKUP(Table61011121314[[#This Row],[Category No]],Table8[Category No],Table8[Chapter List],FALSE)</f>
        <v>0</v>
      </c>
      <c r="D526" s="34"/>
      <c r="E526" s="34"/>
    </row>
    <row r="527" spans="1:5" x14ac:dyDescent="0.3">
      <c r="A527" s="32">
        <v>526</v>
      </c>
      <c r="B527" s="32"/>
      <c r="C527" s="32" t="b">
        <f>_xlfn.XLOOKUP(Table61011121314[[#This Row],[Category No]],Table8[Category No],Table8[Chapter List],FALSE)</f>
        <v>0</v>
      </c>
      <c r="D527" s="34"/>
      <c r="E527" s="34"/>
    </row>
    <row r="528" spans="1:5" x14ac:dyDescent="0.3">
      <c r="A528" s="32">
        <v>527</v>
      </c>
      <c r="B528" s="32"/>
      <c r="C528" s="32" t="b">
        <f>_xlfn.XLOOKUP(Table61011121314[[#This Row],[Category No]],Table8[Category No],Table8[Chapter List],FALSE)</f>
        <v>0</v>
      </c>
      <c r="D528" s="34"/>
      <c r="E528" s="34"/>
    </row>
    <row r="529" spans="1:5" x14ac:dyDescent="0.3">
      <c r="A529" s="32">
        <v>528</v>
      </c>
      <c r="B529" s="32"/>
      <c r="C529" s="32" t="b">
        <f>_xlfn.XLOOKUP(Table61011121314[[#This Row],[Category No]],Table8[Category No],Table8[Chapter List],FALSE)</f>
        <v>0</v>
      </c>
      <c r="D529" s="34"/>
      <c r="E529" s="34"/>
    </row>
    <row r="530" spans="1:5" x14ac:dyDescent="0.3">
      <c r="A530" s="32">
        <v>529</v>
      </c>
      <c r="B530" s="32"/>
      <c r="C530" s="32" t="b">
        <f>_xlfn.XLOOKUP(Table61011121314[[#This Row],[Category No]],Table8[Category No],Table8[Chapter List],FALSE)</f>
        <v>0</v>
      </c>
      <c r="D530" s="34"/>
      <c r="E530" s="34"/>
    </row>
    <row r="531" spans="1:5" x14ac:dyDescent="0.3">
      <c r="A531" s="32">
        <v>530</v>
      </c>
      <c r="B531" s="32"/>
      <c r="C531" s="32" t="b">
        <f>_xlfn.XLOOKUP(Table61011121314[[#This Row],[Category No]],Table8[Category No],Table8[Chapter List],FALSE)</f>
        <v>0</v>
      </c>
      <c r="D531" s="34"/>
      <c r="E531" s="34"/>
    </row>
    <row r="532" spans="1:5" x14ac:dyDescent="0.3">
      <c r="A532" s="32">
        <v>531</v>
      </c>
      <c r="B532" s="32"/>
      <c r="C532" s="32" t="b">
        <f>_xlfn.XLOOKUP(Table61011121314[[#This Row],[Category No]],Table8[Category No],Table8[Chapter List],FALSE)</f>
        <v>0</v>
      </c>
      <c r="D532" s="34"/>
      <c r="E532" s="34"/>
    </row>
    <row r="533" spans="1:5" x14ac:dyDescent="0.3">
      <c r="A533" s="32">
        <v>532</v>
      </c>
      <c r="B533" s="32"/>
      <c r="C533" s="32" t="b">
        <f>_xlfn.XLOOKUP(Table61011121314[[#This Row],[Category No]],Table8[Category No],Table8[Chapter List],FALSE)</f>
        <v>0</v>
      </c>
      <c r="D533" s="34"/>
      <c r="E533" s="34"/>
    </row>
    <row r="534" spans="1:5" x14ac:dyDescent="0.3">
      <c r="A534" s="32">
        <v>533</v>
      </c>
      <c r="B534" s="32"/>
      <c r="C534" s="32" t="b">
        <f>_xlfn.XLOOKUP(Table61011121314[[#This Row],[Category No]],Table8[Category No],Table8[Chapter List],FALSE)</f>
        <v>0</v>
      </c>
      <c r="D534" s="34"/>
      <c r="E534" s="34"/>
    </row>
    <row r="535" spans="1:5" x14ac:dyDescent="0.3">
      <c r="A535" s="32">
        <v>534</v>
      </c>
      <c r="B535" s="32"/>
      <c r="C535" s="32" t="b">
        <f>_xlfn.XLOOKUP(Table61011121314[[#This Row],[Category No]],Table8[Category No],Table8[Chapter List],FALSE)</f>
        <v>0</v>
      </c>
      <c r="D535" s="34"/>
      <c r="E535" s="34"/>
    </row>
    <row r="536" spans="1:5" x14ac:dyDescent="0.3">
      <c r="A536" s="32">
        <v>535</v>
      </c>
      <c r="B536" s="32"/>
      <c r="C536" s="32" t="b">
        <f>_xlfn.XLOOKUP(Table61011121314[[#This Row],[Category No]],Table8[Category No],Table8[Chapter List],FALSE)</f>
        <v>0</v>
      </c>
      <c r="D536" s="34"/>
      <c r="E536" s="34"/>
    </row>
    <row r="537" spans="1:5" x14ac:dyDescent="0.3">
      <c r="A537" s="32">
        <v>536</v>
      </c>
      <c r="B537" s="32"/>
      <c r="C537" s="32" t="b">
        <f>_xlfn.XLOOKUP(Table61011121314[[#This Row],[Category No]],Table8[Category No],Table8[Chapter List],FALSE)</f>
        <v>0</v>
      </c>
      <c r="D537" s="34"/>
      <c r="E537" s="34"/>
    </row>
    <row r="538" spans="1:5" x14ac:dyDescent="0.3">
      <c r="A538" s="32">
        <v>537</v>
      </c>
      <c r="B538" s="32"/>
      <c r="C538" s="32" t="b">
        <f>_xlfn.XLOOKUP(Table61011121314[[#This Row],[Category No]],Table8[Category No],Table8[Chapter List],FALSE)</f>
        <v>0</v>
      </c>
      <c r="D538" s="34"/>
      <c r="E538" s="34"/>
    </row>
    <row r="539" spans="1:5" x14ac:dyDescent="0.3">
      <c r="A539" s="32">
        <v>538</v>
      </c>
      <c r="B539" s="32"/>
      <c r="C539" s="32" t="b">
        <f>_xlfn.XLOOKUP(Table61011121314[[#This Row],[Category No]],Table8[Category No],Table8[Chapter List],FALSE)</f>
        <v>0</v>
      </c>
      <c r="D539" s="34"/>
      <c r="E539" s="34"/>
    </row>
    <row r="540" spans="1:5" x14ac:dyDescent="0.3">
      <c r="A540" s="32">
        <v>539</v>
      </c>
      <c r="B540" s="32"/>
      <c r="C540" s="32" t="b">
        <f>_xlfn.XLOOKUP(Table61011121314[[#This Row],[Category No]],Table8[Category No],Table8[Chapter List],FALSE)</f>
        <v>0</v>
      </c>
      <c r="D540" s="34"/>
      <c r="E540" s="34"/>
    </row>
    <row r="541" spans="1:5" x14ac:dyDescent="0.3">
      <c r="A541" s="32">
        <v>540</v>
      </c>
      <c r="B541" s="32"/>
      <c r="C541" s="32" t="b">
        <f>_xlfn.XLOOKUP(Table61011121314[[#This Row],[Category No]],Table8[Category No],Table8[Chapter List],FALSE)</f>
        <v>0</v>
      </c>
      <c r="D541" s="34"/>
      <c r="E541" s="34"/>
    </row>
    <row r="542" spans="1:5" x14ac:dyDescent="0.3">
      <c r="A542" s="32">
        <v>541</v>
      </c>
      <c r="B542" s="32"/>
      <c r="C542" s="32" t="b">
        <f>_xlfn.XLOOKUP(Table61011121314[[#This Row],[Category No]],Table8[Category No],Table8[Chapter List],FALSE)</f>
        <v>0</v>
      </c>
      <c r="D542" s="34"/>
      <c r="E542" s="34"/>
    </row>
    <row r="543" spans="1:5" x14ac:dyDescent="0.3">
      <c r="A543" s="32">
        <v>542</v>
      </c>
      <c r="B543" s="32"/>
      <c r="C543" s="32" t="b">
        <f>_xlfn.XLOOKUP(Table61011121314[[#This Row],[Category No]],Table8[Category No],Table8[Chapter List],FALSE)</f>
        <v>0</v>
      </c>
      <c r="D543" s="34"/>
      <c r="E543" s="34"/>
    </row>
    <row r="544" spans="1:5" x14ac:dyDescent="0.3">
      <c r="A544" s="32">
        <v>543</v>
      </c>
      <c r="B544" s="32"/>
      <c r="C544" s="32" t="b">
        <f>_xlfn.XLOOKUP(Table61011121314[[#This Row],[Category No]],Table8[Category No],Table8[Chapter List],FALSE)</f>
        <v>0</v>
      </c>
      <c r="D544" s="34"/>
      <c r="E544" s="34"/>
    </row>
    <row r="545" spans="1:5" x14ac:dyDescent="0.3">
      <c r="A545" s="32">
        <v>544</v>
      </c>
      <c r="B545" s="32"/>
      <c r="C545" s="32" t="b">
        <f>_xlfn.XLOOKUP(Table61011121314[[#This Row],[Category No]],Table8[Category No],Table8[Chapter List],FALSE)</f>
        <v>0</v>
      </c>
      <c r="D545" s="34"/>
      <c r="E545" s="34"/>
    </row>
    <row r="546" spans="1:5" x14ac:dyDescent="0.3">
      <c r="A546" s="32">
        <v>545</v>
      </c>
      <c r="B546" s="32"/>
      <c r="C546" s="32" t="b">
        <f>_xlfn.XLOOKUP(Table61011121314[[#This Row],[Category No]],Table8[Category No],Table8[Chapter List],FALSE)</f>
        <v>0</v>
      </c>
      <c r="D546" s="34"/>
      <c r="E546" s="34"/>
    </row>
    <row r="547" spans="1:5" x14ac:dyDescent="0.3">
      <c r="A547" s="32">
        <v>546</v>
      </c>
      <c r="B547" s="32"/>
      <c r="C547" s="32" t="b">
        <f>_xlfn.XLOOKUP(Table61011121314[[#This Row],[Category No]],Table8[Category No],Table8[Chapter List],FALSE)</f>
        <v>0</v>
      </c>
      <c r="D547" s="34"/>
      <c r="E547" s="34"/>
    </row>
    <row r="548" spans="1:5" x14ac:dyDescent="0.3">
      <c r="A548" s="32">
        <v>547</v>
      </c>
      <c r="B548" s="32"/>
      <c r="C548" s="32" t="b">
        <f>_xlfn.XLOOKUP(Table61011121314[[#This Row],[Category No]],Table8[Category No],Table8[Chapter List],FALSE)</f>
        <v>0</v>
      </c>
      <c r="D548" s="34"/>
      <c r="E548" s="34"/>
    </row>
    <row r="549" spans="1:5" x14ac:dyDescent="0.3">
      <c r="A549" s="32">
        <v>548</v>
      </c>
      <c r="B549" s="32"/>
      <c r="C549" s="32" t="b">
        <f>_xlfn.XLOOKUP(Table61011121314[[#This Row],[Category No]],Table8[Category No],Table8[Chapter List],FALSE)</f>
        <v>0</v>
      </c>
      <c r="D549" s="34"/>
      <c r="E549" s="34"/>
    </row>
    <row r="550" spans="1:5" x14ac:dyDescent="0.3">
      <c r="A550" s="32">
        <v>549</v>
      </c>
      <c r="B550" s="32"/>
      <c r="C550" s="32" t="b">
        <f>_xlfn.XLOOKUP(Table61011121314[[#This Row],[Category No]],Table8[Category No],Table8[Chapter List],FALSE)</f>
        <v>0</v>
      </c>
      <c r="D550" s="34"/>
      <c r="E550" s="34"/>
    </row>
    <row r="551" spans="1:5" x14ac:dyDescent="0.3">
      <c r="A551" s="32">
        <v>550</v>
      </c>
      <c r="B551" s="32"/>
      <c r="C551" s="32" t="b">
        <f>_xlfn.XLOOKUP(Table61011121314[[#This Row],[Category No]],Table8[Category No],Table8[Chapter List],FALSE)</f>
        <v>0</v>
      </c>
      <c r="D551" s="34"/>
      <c r="E551" s="34"/>
    </row>
    <row r="552" spans="1:5" x14ac:dyDescent="0.3">
      <c r="A552" s="32">
        <v>551</v>
      </c>
      <c r="B552" s="32"/>
      <c r="C552" s="32" t="b">
        <f>_xlfn.XLOOKUP(Table61011121314[[#This Row],[Category No]],Table8[Category No],Table8[Chapter List],FALSE)</f>
        <v>0</v>
      </c>
      <c r="D552" s="34"/>
      <c r="E552" s="34"/>
    </row>
    <row r="553" spans="1:5" x14ac:dyDescent="0.3">
      <c r="A553" s="32">
        <v>552</v>
      </c>
      <c r="B553" s="32"/>
      <c r="C553" s="32" t="b">
        <f>_xlfn.XLOOKUP(Table61011121314[[#This Row],[Category No]],Table8[Category No],Table8[Chapter List],FALSE)</f>
        <v>0</v>
      </c>
      <c r="D553" s="34"/>
      <c r="E553" s="34"/>
    </row>
    <row r="554" spans="1:5" x14ac:dyDescent="0.3">
      <c r="A554" s="32">
        <v>553</v>
      </c>
      <c r="B554" s="32"/>
      <c r="C554" s="32" t="b">
        <f>_xlfn.XLOOKUP(Table61011121314[[#This Row],[Category No]],Table8[Category No],Table8[Chapter List],FALSE)</f>
        <v>0</v>
      </c>
      <c r="D554" s="34"/>
      <c r="E554" s="34"/>
    </row>
    <row r="555" spans="1:5" x14ac:dyDescent="0.3">
      <c r="A555" s="32">
        <v>554</v>
      </c>
      <c r="B555" s="32"/>
      <c r="C555" s="32" t="b">
        <f>_xlfn.XLOOKUP(Table61011121314[[#This Row],[Category No]],Table8[Category No],Table8[Chapter List],FALSE)</f>
        <v>0</v>
      </c>
      <c r="D555" s="34"/>
      <c r="E555" s="34"/>
    </row>
    <row r="556" spans="1:5" x14ac:dyDescent="0.3">
      <c r="A556" s="32">
        <v>555</v>
      </c>
      <c r="B556" s="32"/>
      <c r="C556" s="32" t="b">
        <f>_xlfn.XLOOKUP(Table61011121314[[#This Row],[Category No]],Table8[Category No],Table8[Chapter List],FALSE)</f>
        <v>0</v>
      </c>
      <c r="D556" s="34"/>
      <c r="E556" s="34"/>
    </row>
    <row r="557" spans="1:5" x14ac:dyDescent="0.3">
      <c r="A557" s="32">
        <v>556</v>
      </c>
      <c r="B557" s="32"/>
      <c r="C557" s="32" t="b">
        <f>_xlfn.XLOOKUP(Table61011121314[[#This Row],[Category No]],Table8[Category No],Table8[Chapter List],FALSE)</f>
        <v>0</v>
      </c>
      <c r="D557" s="34"/>
      <c r="E557" s="34"/>
    </row>
    <row r="558" spans="1:5" x14ac:dyDescent="0.3">
      <c r="A558" s="32">
        <v>557</v>
      </c>
      <c r="B558" s="32"/>
      <c r="C558" s="32" t="b">
        <f>_xlfn.XLOOKUP(Table61011121314[[#This Row],[Category No]],Table8[Category No],Table8[Chapter List],FALSE)</f>
        <v>0</v>
      </c>
      <c r="D558" s="34"/>
      <c r="E558" s="34"/>
    </row>
    <row r="559" spans="1:5" x14ac:dyDescent="0.3">
      <c r="A559" s="32">
        <v>558</v>
      </c>
      <c r="B559" s="32"/>
      <c r="C559" s="32" t="b">
        <f>_xlfn.XLOOKUP(Table61011121314[[#This Row],[Category No]],Table8[Category No],Table8[Chapter List],FALSE)</f>
        <v>0</v>
      </c>
      <c r="D559" s="34"/>
      <c r="E559" s="34"/>
    </row>
    <row r="560" spans="1:5" x14ac:dyDescent="0.3">
      <c r="A560" s="32">
        <v>559</v>
      </c>
      <c r="B560" s="32"/>
      <c r="C560" s="32" t="b">
        <f>_xlfn.XLOOKUP(Table61011121314[[#This Row],[Category No]],Table8[Category No],Table8[Chapter List],FALSE)</f>
        <v>0</v>
      </c>
      <c r="D560" s="34"/>
      <c r="E560" s="34"/>
    </row>
    <row r="561" spans="1:5" x14ac:dyDescent="0.3">
      <c r="A561" s="32">
        <v>560</v>
      </c>
      <c r="B561" s="32"/>
      <c r="C561" s="32" t="b">
        <f>_xlfn.XLOOKUP(Table61011121314[[#This Row],[Category No]],Table8[Category No],Table8[Chapter List],FALSE)</f>
        <v>0</v>
      </c>
      <c r="D561" s="34"/>
      <c r="E561" s="34"/>
    </row>
    <row r="562" spans="1:5" x14ac:dyDescent="0.3">
      <c r="A562" s="32">
        <v>561</v>
      </c>
      <c r="B562" s="32"/>
      <c r="C562" s="32" t="b">
        <f>_xlfn.XLOOKUP(Table61011121314[[#This Row],[Category No]],Table8[Category No],Table8[Chapter List],FALSE)</f>
        <v>0</v>
      </c>
      <c r="D562" s="34"/>
      <c r="E562" s="34"/>
    </row>
    <row r="563" spans="1:5" x14ac:dyDescent="0.3">
      <c r="A563" s="32">
        <v>562</v>
      </c>
      <c r="B563" s="32"/>
      <c r="C563" s="32" t="b">
        <f>_xlfn.XLOOKUP(Table61011121314[[#This Row],[Category No]],Table8[Category No],Table8[Chapter List],FALSE)</f>
        <v>0</v>
      </c>
      <c r="D563" s="34"/>
      <c r="E563" s="34"/>
    </row>
    <row r="564" spans="1:5" x14ac:dyDescent="0.3">
      <c r="A564" s="32">
        <v>563</v>
      </c>
      <c r="B564" s="32"/>
      <c r="C564" s="32" t="b">
        <f>_xlfn.XLOOKUP(Table61011121314[[#This Row],[Category No]],Table8[Category No],Table8[Chapter List],FALSE)</f>
        <v>0</v>
      </c>
      <c r="D564" s="34"/>
      <c r="E564" s="34"/>
    </row>
    <row r="565" spans="1:5" x14ac:dyDescent="0.3">
      <c r="A565" s="32">
        <v>564</v>
      </c>
      <c r="B565" s="32"/>
      <c r="C565" s="32" t="b">
        <f>_xlfn.XLOOKUP(Table61011121314[[#This Row],[Category No]],Table8[Category No],Table8[Chapter List],FALSE)</f>
        <v>0</v>
      </c>
      <c r="D565" s="34"/>
      <c r="E565" s="34"/>
    </row>
    <row r="566" spans="1:5" x14ac:dyDescent="0.3">
      <c r="A566" s="32">
        <v>565</v>
      </c>
      <c r="B566" s="32"/>
      <c r="C566" s="32" t="b">
        <f>_xlfn.XLOOKUP(Table61011121314[[#This Row],[Category No]],Table8[Category No],Table8[Chapter List],FALSE)</f>
        <v>0</v>
      </c>
      <c r="D566" s="34"/>
      <c r="E566" s="34"/>
    </row>
    <row r="567" spans="1:5" x14ac:dyDescent="0.3">
      <c r="A567" s="32">
        <v>566</v>
      </c>
      <c r="B567" s="32"/>
      <c r="C567" s="32" t="b">
        <f>_xlfn.XLOOKUP(Table61011121314[[#This Row],[Category No]],Table8[Category No],Table8[Chapter List],FALSE)</f>
        <v>0</v>
      </c>
      <c r="D567" s="34"/>
      <c r="E567" s="34"/>
    </row>
    <row r="568" spans="1:5" x14ac:dyDescent="0.3">
      <c r="A568" s="32">
        <v>567</v>
      </c>
      <c r="B568" s="32"/>
      <c r="C568" s="32" t="b">
        <f>_xlfn.XLOOKUP(Table61011121314[[#This Row],[Category No]],Table8[Category No],Table8[Chapter List],FALSE)</f>
        <v>0</v>
      </c>
      <c r="D568" s="34"/>
      <c r="E568" s="34"/>
    </row>
    <row r="569" spans="1:5" x14ac:dyDescent="0.3">
      <c r="A569" s="32">
        <v>568</v>
      </c>
      <c r="B569" s="32"/>
      <c r="C569" s="32" t="b">
        <f>_xlfn.XLOOKUP(Table61011121314[[#This Row],[Category No]],Table8[Category No],Table8[Chapter List],FALSE)</f>
        <v>0</v>
      </c>
      <c r="D569" s="34"/>
      <c r="E569" s="34"/>
    </row>
    <row r="570" spans="1:5" x14ac:dyDescent="0.3">
      <c r="A570" s="32">
        <v>569</v>
      </c>
      <c r="B570" s="32"/>
      <c r="C570" s="32" t="b">
        <f>_xlfn.XLOOKUP(Table61011121314[[#This Row],[Category No]],Table8[Category No],Table8[Chapter List],FALSE)</f>
        <v>0</v>
      </c>
      <c r="D570" s="34"/>
      <c r="E570" s="34"/>
    </row>
    <row r="571" spans="1:5" x14ac:dyDescent="0.3">
      <c r="A571" s="32">
        <v>570</v>
      </c>
      <c r="B571" s="32"/>
      <c r="C571" s="32" t="b">
        <f>_xlfn.XLOOKUP(Table61011121314[[#This Row],[Category No]],Table8[Category No],Table8[Chapter List],FALSE)</f>
        <v>0</v>
      </c>
      <c r="D571" s="34"/>
      <c r="E571" s="34"/>
    </row>
    <row r="572" spans="1:5" x14ac:dyDescent="0.3">
      <c r="A572" s="32">
        <v>571</v>
      </c>
      <c r="B572" s="32"/>
      <c r="C572" s="32" t="b">
        <f>_xlfn.XLOOKUP(Table61011121314[[#This Row],[Category No]],Table8[Category No],Table8[Chapter List],FALSE)</f>
        <v>0</v>
      </c>
      <c r="D572" s="34"/>
      <c r="E572" s="34"/>
    </row>
    <row r="573" spans="1:5" x14ac:dyDescent="0.3">
      <c r="A573" s="32">
        <v>572</v>
      </c>
      <c r="B573" s="32"/>
      <c r="C573" s="32" t="b">
        <f>_xlfn.XLOOKUP(Table61011121314[[#This Row],[Category No]],Table8[Category No],Table8[Chapter List],FALSE)</f>
        <v>0</v>
      </c>
      <c r="D573" s="34"/>
      <c r="E573" s="34"/>
    </row>
    <row r="574" spans="1:5" x14ac:dyDescent="0.3">
      <c r="A574" s="32">
        <v>573</v>
      </c>
      <c r="B574" s="32"/>
      <c r="C574" s="32" t="b">
        <f>_xlfn.XLOOKUP(Table61011121314[[#This Row],[Category No]],Table8[Category No],Table8[Chapter List],FALSE)</f>
        <v>0</v>
      </c>
      <c r="D574" s="34"/>
      <c r="E574" s="34"/>
    </row>
    <row r="575" spans="1:5" x14ac:dyDescent="0.3">
      <c r="A575" s="32">
        <v>574</v>
      </c>
      <c r="B575" s="32"/>
      <c r="C575" s="32" t="b">
        <f>_xlfn.XLOOKUP(Table61011121314[[#This Row],[Category No]],Table8[Category No],Table8[Chapter List],FALSE)</f>
        <v>0</v>
      </c>
      <c r="D575" s="34"/>
      <c r="E575" s="34"/>
    </row>
    <row r="576" spans="1:5" x14ac:dyDescent="0.3">
      <c r="A576" s="32">
        <v>575</v>
      </c>
      <c r="B576" s="32"/>
      <c r="C576" s="32" t="b">
        <f>_xlfn.XLOOKUP(Table61011121314[[#This Row],[Category No]],Table8[Category No],Table8[Chapter List],FALSE)</f>
        <v>0</v>
      </c>
      <c r="D576" s="34"/>
      <c r="E576" s="34"/>
    </row>
    <row r="577" spans="1:5" x14ac:dyDescent="0.3">
      <c r="A577" s="32">
        <v>576</v>
      </c>
      <c r="B577" s="32"/>
      <c r="C577" s="32" t="b">
        <f>_xlfn.XLOOKUP(Table61011121314[[#This Row],[Category No]],Table8[Category No],Table8[Chapter List],FALSE)</f>
        <v>0</v>
      </c>
      <c r="D577" s="34"/>
      <c r="E577" s="34"/>
    </row>
    <row r="578" spans="1:5" x14ac:dyDescent="0.3">
      <c r="A578" s="32">
        <v>577</v>
      </c>
      <c r="B578" s="32"/>
      <c r="C578" s="32" t="b">
        <f>_xlfn.XLOOKUP(Table61011121314[[#This Row],[Category No]],Table8[Category No],Table8[Chapter List],FALSE)</f>
        <v>0</v>
      </c>
      <c r="D578" s="34"/>
      <c r="E578" s="34"/>
    </row>
    <row r="579" spans="1:5" x14ac:dyDescent="0.3">
      <c r="A579" s="32">
        <v>578</v>
      </c>
      <c r="B579" s="32"/>
      <c r="C579" s="32" t="b">
        <f>_xlfn.XLOOKUP(Table61011121314[[#This Row],[Category No]],Table8[Category No],Table8[Chapter List],FALSE)</f>
        <v>0</v>
      </c>
      <c r="D579" s="34"/>
      <c r="E579" s="34"/>
    </row>
    <row r="580" spans="1:5" x14ac:dyDescent="0.3">
      <c r="A580" s="32">
        <v>579</v>
      </c>
      <c r="B580" s="32"/>
      <c r="C580" s="32" t="b">
        <f>_xlfn.XLOOKUP(Table61011121314[[#This Row],[Category No]],Table8[Category No],Table8[Chapter List],FALSE)</f>
        <v>0</v>
      </c>
      <c r="D580" s="34"/>
      <c r="E580" s="34"/>
    </row>
    <row r="581" spans="1:5" x14ac:dyDescent="0.3">
      <c r="A581" s="32">
        <v>580</v>
      </c>
      <c r="B581" s="32"/>
      <c r="C581" s="32" t="b">
        <f>_xlfn.XLOOKUP(Table61011121314[[#This Row],[Category No]],Table8[Category No],Table8[Chapter List],FALSE)</f>
        <v>0</v>
      </c>
      <c r="D581" s="34"/>
      <c r="E581" s="34"/>
    </row>
    <row r="582" spans="1:5" x14ac:dyDescent="0.3">
      <c r="A582" s="32">
        <v>581</v>
      </c>
      <c r="B582" s="32"/>
      <c r="C582" s="32" t="b">
        <f>_xlfn.XLOOKUP(Table61011121314[[#This Row],[Category No]],Table8[Category No],Table8[Chapter List],FALSE)</f>
        <v>0</v>
      </c>
      <c r="D582" s="34"/>
      <c r="E582" s="34"/>
    </row>
    <row r="583" spans="1:5" x14ac:dyDescent="0.3">
      <c r="A583" s="32">
        <v>582</v>
      </c>
      <c r="B583" s="32"/>
      <c r="C583" s="32" t="b">
        <f>_xlfn.XLOOKUP(Table61011121314[[#This Row],[Category No]],Table8[Category No],Table8[Chapter List],FALSE)</f>
        <v>0</v>
      </c>
      <c r="D583" s="34"/>
      <c r="E583" s="34"/>
    </row>
    <row r="584" spans="1:5" x14ac:dyDescent="0.3">
      <c r="A584" s="32">
        <v>583</v>
      </c>
      <c r="B584" s="32"/>
      <c r="C584" s="32" t="b">
        <f>_xlfn.XLOOKUP(Table61011121314[[#This Row],[Category No]],Table8[Category No],Table8[Chapter List],FALSE)</f>
        <v>0</v>
      </c>
      <c r="D584" s="34"/>
      <c r="E584" s="34"/>
    </row>
    <row r="585" spans="1:5" x14ac:dyDescent="0.3">
      <c r="A585" s="32">
        <v>584</v>
      </c>
      <c r="B585" s="32"/>
      <c r="C585" s="32" t="b">
        <f>_xlfn.XLOOKUP(Table61011121314[[#This Row],[Category No]],Table8[Category No],Table8[Chapter List],FALSE)</f>
        <v>0</v>
      </c>
      <c r="D585" s="34"/>
      <c r="E585" s="34"/>
    </row>
    <row r="586" spans="1:5" x14ac:dyDescent="0.3">
      <c r="A586" s="32">
        <v>585</v>
      </c>
      <c r="B586" s="32"/>
      <c r="C586" s="32" t="b">
        <f>_xlfn.XLOOKUP(Table61011121314[[#This Row],[Category No]],Table8[Category No],Table8[Chapter List],FALSE)</f>
        <v>0</v>
      </c>
      <c r="D586" s="34"/>
      <c r="E586" s="34"/>
    </row>
    <row r="587" spans="1:5" x14ac:dyDescent="0.3">
      <c r="A587" s="32">
        <v>586</v>
      </c>
      <c r="B587" s="32"/>
      <c r="C587" s="32" t="b">
        <f>_xlfn.XLOOKUP(Table61011121314[[#This Row],[Category No]],Table8[Category No],Table8[Chapter List],FALSE)</f>
        <v>0</v>
      </c>
      <c r="D587" s="34"/>
      <c r="E587" s="34"/>
    </row>
    <row r="588" spans="1:5" x14ac:dyDescent="0.3">
      <c r="A588" s="32">
        <v>587</v>
      </c>
      <c r="B588" s="32"/>
      <c r="C588" s="32" t="b">
        <f>_xlfn.XLOOKUP(Table61011121314[[#This Row],[Category No]],Table8[Category No],Table8[Chapter List],FALSE)</f>
        <v>0</v>
      </c>
      <c r="D588" s="34"/>
      <c r="E588" s="34"/>
    </row>
    <row r="589" spans="1:5" x14ac:dyDescent="0.3">
      <c r="A589" s="32">
        <v>588</v>
      </c>
      <c r="B589" s="32"/>
      <c r="C589" s="32" t="b">
        <f>_xlfn.XLOOKUP(Table61011121314[[#This Row],[Category No]],Table8[Category No],Table8[Chapter List],FALSE)</f>
        <v>0</v>
      </c>
      <c r="D589" s="34"/>
      <c r="E589" s="34"/>
    </row>
    <row r="590" spans="1:5" x14ac:dyDescent="0.3">
      <c r="A590" s="32">
        <v>589</v>
      </c>
      <c r="B590" s="32"/>
      <c r="C590" s="32" t="b">
        <f>_xlfn.XLOOKUP(Table61011121314[[#This Row],[Category No]],Table8[Category No],Table8[Chapter List],FALSE)</f>
        <v>0</v>
      </c>
      <c r="D590" s="34"/>
      <c r="E590" s="34"/>
    </row>
    <row r="591" spans="1:5" x14ac:dyDescent="0.3">
      <c r="A591" s="32">
        <v>590</v>
      </c>
      <c r="B591" s="32"/>
      <c r="C591" s="32" t="b">
        <f>_xlfn.XLOOKUP(Table61011121314[[#This Row],[Category No]],Table8[Category No],Table8[Chapter List],FALSE)</f>
        <v>0</v>
      </c>
      <c r="D591" s="34"/>
      <c r="E591" s="34"/>
    </row>
    <row r="592" spans="1:5" x14ac:dyDescent="0.3">
      <c r="A592" s="32">
        <v>591</v>
      </c>
      <c r="B592" s="32"/>
      <c r="C592" s="32" t="b">
        <f>_xlfn.XLOOKUP(Table61011121314[[#This Row],[Category No]],Table8[Category No],Table8[Chapter List],FALSE)</f>
        <v>0</v>
      </c>
      <c r="D592" s="34"/>
      <c r="E592" s="34"/>
    </row>
    <row r="593" spans="1:5" x14ac:dyDescent="0.3">
      <c r="A593" s="32">
        <v>592</v>
      </c>
      <c r="B593" s="32"/>
      <c r="C593" s="32" t="b">
        <f>_xlfn.XLOOKUP(Table61011121314[[#This Row],[Category No]],Table8[Category No],Table8[Chapter List],FALSE)</f>
        <v>0</v>
      </c>
      <c r="D593" s="34"/>
      <c r="E593" s="34"/>
    </row>
    <row r="594" spans="1:5" x14ac:dyDescent="0.3">
      <c r="A594" s="32">
        <v>593</v>
      </c>
      <c r="B594" s="32"/>
      <c r="C594" s="32" t="b">
        <f>_xlfn.XLOOKUP(Table61011121314[[#This Row],[Category No]],Table8[Category No],Table8[Chapter List],FALSE)</f>
        <v>0</v>
      </c>
      <c r="D594" s="34"/>
      <c r="E594" s="34"/>
    </row>
    <row r="595" spans="1:5" x14ac:dyDescent="0.3">
      <c r="A595" s="32">
        <v>594</v>
      </c>
      <c r="B595" s="32"/>
      <c r="C595" s="32" t="b">
        <f>_xlfn.XLOOKUP(Table61011121314[[#This Row],[Category No]],Table8[Category No],Table8[Chapter List],FALSE)</f>
        <v>0</v>
      </c>
      <c r="D595" s="34"/>
      <c r="E595" s="34"/>
    </row>
    <row r="596" spans="1:5" x14ac:dyDescent="0.3">
      <c r="A596" s="32">
        <v>595</v>
      </c>
      <c r="B596" s="32"/>
      <c r="C596" s="32" t="b">
        <f>_xlfn.XLOOKUP(Table61011121314[[#This Row],[Category No]],Table8[Category No],Table8[Chapter List],FALSE)</f>
        <v>0</v>
      </c>
      <c r="D596" s="34"/>
      <c r="E596" s="34"/>
    </row>
    <row r="597" spans="1:5" x14ac:dyDescent="0.3">
      <c r="A597" s="32">
        <v>596</v>
      </c>
      <c r="B597" s="32"/>
      <c r="C597" s="32" t="b">
        <f>_xlfn.XLOOKUP(Table61011121314[[#This Row],[Category No]],Table8[Category No],Table8[Chapter List],FALSE)</f>
        <v>0</v>
      </c>
      <c r="D597" s="34"/>
      <c r="E597" s="34"/>
    </row>
    <row r="598" spans="1:5" x14ac:dyDescent="0.3">
      <c r="A598" s="32">
        <v>597</v>
      </c>
      <c r="B598" s="32"/>
      <c r="C598" s="32" t="b">
        <f>_xlfn.XLOOKUP(Table61011121314[[#This Row],[Category No]],Table8[Category No],Table8[Chapter List],FALSE)</f>
        <v>0</v>
      </c>
      <c r="D598" s="34"/>
      <c r="E598" s="34"/>
    </row>
    <row r="599" spans="1:5" x14ac:dyDescent="0.3">
      <c r="A599" s="32">
        <v>598</v>
      </c>
      <c r="B599" s="32"/>
      <c r="C599" s="32" t="b">
        <f>_xlfn.XLOOKUP(Table61011121314[[#This Row],[Category No]],Table8[Category No],Table8[Chapter List],FALSE)</f>
        <v>0</v>
      </c>
      <c r="D599" s="34"/>
      <c r="E599" s="34"/>
    </row>
    <row r="600" spans="1:5" x14ac:dyDescent="0.3">
      <c r="A600" s="32">
        <v>599</v>
      </c>
      <c r="B600" s="32"/>
      <c r="C600" s="32" t="b">
        <f>_xlfn.XLOOKUP(Table61011121314[[#This Row],[Category No]],Table8[Category No],Table8[Chapter List],FALSE)</f>
        <v>0</v>
      </c>
      <c r="D600" s="34"/>
      <c r="E600" s="34"/>
    </row>
    <row r="601" spans="1:5" x14ac:dyDescent="0.3">
      <c r="A601" s="32">
        <v>600</v>
      </c>
      <c r="B601" s="32"/>
      <c r="C601" s="32" t="b">
        <f>_xlfn.XLOOKUP(Table61011121314[[#This Row],[Category No]],Table8[Category No],Table8[Chapter List],FALSE)</f>
        <v>0</v>
      </c>
      <c r="D601" s="34"/>
      <c r="E601" s="34"/>
    </row>
    <row r="602" spans="1:5" x14ac:dyDescent="0.3">
      <c r="A602" s="32">
        <v>601</v>
      </c>
      <c r="B602" s="32"/>
      <c r="C602" s="32" t="b">
        <f>_xlfn.XLOOKUP(Table61011121314[[#This Row],[Category No]],Table8[Category No],Table8[Chapter List],FALSE)</f>
        <v>0</v>
      </c>
      <c r="D602" s="34"/>
      <c r="E602" s="34"/>
    </row>
    <row r="603" spans="1:5" x14ac:dyDescent="0.3">
      <c r="A603" s="32">
        <v>602</v>
      </c>
      <c r="B603" s="32"/>
      <c r="C603" s="32" t="b">
        <f>_xlfn.XLOOKUP(Table61011121314[[#This Row],[Category No]],Table8[Category No],Table8[Chapter List],FALSE)</f>
        <v>0</v>
      </c>
      <c r="D603" s="34"/>
      <c r="E603" s="34"/>
    </row>
    <row r="604" spans="1:5" x14ac:dyDescent="0.3">
      <c r="A604" s="32">
        <v>603</v>
      </c>
      <c r="B604" s="32"/>
      <c r="C604" s="32" t="b">
        <f>_xlfn.XLOOKUP(Table61011121314[[#This Row],[Category No]],Table8[Category No],Table8[Chapter List],FALSE)</f>
        <v>0</v>
      </c>
      <c r="D604" s="34"/>
      <c r="E604" s="34"/>
    </row>
    <row r="605" spans="1:5" x14ac:dyDescent="0.3">
      <c r="A605" s="32">
        <v>604</v>
      </c>
      <c r="B605" s="32"/>
      <c r="C605" s="32" t="b">
        <f>_xlfn.XLOOKUP(Table61011121314[[#This Row],[Category No]],Table8[Category No],Table8[Chapter List],FALSE)</f>
        <v>0</v>
      </c>
      <c r="D605" s="34"/>
      <c r="E605" s="34"/>
    </row>
    <row r="606" spans="1:5" x14ac:dyDescent="0.3">
      <c r="A606" s="32">
        <v>605</v>
      </c>
      <c r="B606" s="32"/>
      <c r="C606" s="32" t="b">
        <f>_xlfn.XLOOKUP(Table61011121314[[#This Row],[Category No]],Table8[Category No],Table8[Chapter List],FALSE)</f>
        <v>0</v>
      </c>
      <c r="D606" s="34"/>
      <c r="E606" s="34"/>
    </row>
    <row r="607" spans="1:5" x14ac:dyDescent="0.3">
      <c r="A607" s="32">
        <v>606</v>
      </c>
      <c r="B607" s="32"/>
      <c r="C607" s="32" t="b">
        <f>_xlfn.XLOOKUP(Table61011121314[[#This Row],[Category No]],Table8[Category No],Table8[Chapter List],FALSE)</f>
        <v>0</v>
      </c>
      <c r="D607" s="34"/>
      <c r="E607" s="34"/>
    </row>
    <row r="608" spans="1:5" x14ac:dyDescent="0.3">
      <c r="A608" s="32">
        <v>607</v>
      </c>
      <c r="B608" s="32"/>
      <c r="C608" s="32" t="b">
        <f>_xlfn.XLOOKUP(Table61011121314[[#This Row],[Category No]],Table8[Category No],Table8[Chapter List],FALSE)</f>
        <v>0</v>
      </c>
      <c r="D608" s="34"/>
      <c r="E608" s="34"/>
    </row>
    <row r="609" spans="1:5" x14ac:dyDescent="0.3">
      <c r="A609" s="32">
        <v>608</v>
      </c>
      <c r="B609" s="32"/>
      <c r="C609" s="32" t="b">
        <f>_xlfn.XLOOKUP(Table61011121314[[#This Row],[Category No]],Table8[Category No],Table8[Chapter List],FALSE)</f>
        <v>0</v>
      </c>
      <c r="D609" s="34"/>
      <c r="E609" s="34"/>
    </row>
    <row r="610" spans="1:5" x14ac:dyDescent="0.3">
      <c r="A610" s="32">
        <v>609</v>
      </c>
      <c r="B610" s="32"/>
      <c r="C610" s="32" t="b">
        <f>_xlfn.XLOOKUP(Table61011121314[[#This Row],[Category No]],Table8[Category No],Table8[Chapter List],FALSE)</f>
        <v>0</v>
      </c>
      <c r="D610" s="34"/>
      <c r="E610" s="34"/>
    </row>
    <row r="611" spans="1:5" x14ac:dyDescent="0.3">
      <c r="A611" s="32">
        <v>610</v>
      </c>
      <c r="B611" s="32"/>
      <c r="C611" s="32" t="b">
        <f>_xlfn.XLOOKUP(Table61011121314[[#This Row],[Category No]],Table8[Category No],Table8[Chapter List],FALSE)</f>
        <v>0</v>
      </c>
      <c r="D611" s="34"/>
      <c r="E611" s="34"/>
    </row>
    <row r="612" spans="1:5" x14ac:dyDescent="0.3">
      <c r="A612" s="32">
        <v>611</v>
      </c>
      <c r="B612" s="32"/>
      <c r="C612" s="32" t="b">
        <f>_xlfn.XLOOKUP(Table61011121314[[#This Row],[Category No]],Table8[Category No],Table8[Chapter List],FALSE)</f>
        <v>0</v>
      </c>
      <c r="D612" s="34"/>
      <c r="E612" s="34"/>
    </row>
    <row r="613" spans="1:5" x14ac:dyDescent="0.3">
      <c r="A613" s="32">
        <v>612</v>
      </c>
      <c r="B613" s="32"/>
      <c r="C613" s="32" t="b">
        <f>_xlfn.XLOOKUP(Table61011121314[[#This Row],[Category No]],Table8[Category No],Table8[Chapter List],FALSE)</f>
        <v>0</v>
      </c>
      <c r="D613" s="34"/>
      <c r="E613" s="34"/>
    </row>
    <row r="614" spans="1:5" x14ac:dyDescent="0.3">
      <c r="A614" s="32">
        <v>613</v>
      </c>
      <c r="B614" s="32"/>
      <c r="C614" s="32" t="b">
        <f>_xlfn.XLOOKUP(Table61011121314[[#This Row],[Category No]],Table8[Category No],Table8[Chapter List],FALSE)</f>
        <v>0</v>
      </c>
      <c r="D614" s="34"/>
      <c r="E614" s="34"/>
    </row>
    <row r="615" spans="1:5" x14ac:dyDescent="0.3">
      <c r="A615" s="32">
        <v>614</v>
      </c>
      <c r="B615" s="32"/>
      <c r="C615" s="32" t="b">
        <f>_xlfn.XLOOKUP(Table61011121314[[#This Row],[Category No]],Table8[Category No],Table8[Chapter List],FALSE)</f>
        <v>0</v>
      </c>
      <c r="D615" s="34"/>
      <c r="E615" s="34"/>
    </row>
    <row r="616" spans="1:5" x14ac:dyDescent="0.3">
      <c r="A616" s="32">
        <v>615</v>
      </c>
      <c r="B616" s="32"/>
      <c r="C616" s="32" t="b">
        <f>_xlfn.XLOOKUP(Table61011121314[[#This Row],[Category No]],Table8[Category No],Table8[Chapter List],FALSE)</f>
        <v>0</v>
      </c>
      <c r="D616" s="34"/>
      <c r="E616" s="34"/>
    </row>
    <row r="617" spans="1:5" x14ac:dyDescent="0.3">
      <c r="A617" s="32">
        <v>616</v>
      </c>
      <c r="B617" s="32"/>
      <c r="C617" s="32" t="b">
        <f>_xlfn.XLOOKUP(Table61011121314[[#This Row],[Category No]],Table8[Category No],Table8[Chapter List],FALSE)</f>
        <v>0</v>
      </c>
      <c r="D617" s="34"/>
      <c r="E617" s="34"/>
    </row>
    <row r="618" spans="1:5" x14ac:dyDescent="0.3">
      <c r="A618" s="32">
        <v>617</v>
      </c>
      <c r="B618" s="32"/>
      <c r="C618" s="32" t="b">
        <f>_xlfn.XLOOKUP(Table61011121314[[#This Row],[Category No]],Table8[Category No],Table8[Chapter List],FALSE)</f>
        <v>0</v>
      </c>
      <c r="D618" s="34"/>
      <c r="E618" s="34"/>
    </row>
    <row r="619" spans="1:5" x14ac:dyDescent="0.3">
      <c r="A619" s="32">
        <v>618</v>
      </c>
      <c r="B619" s="32"/>
      <c r="C619" s="32" t="b">
        <f>_xlfn.XLOOKUP(Table61011121314[[#This Row],[Category No]],Table8[Category No],Table8[Chapter List],FALSE)</f>
        <v>0</v>
      </c>
      <c r="D619" s="34"/>
      <c r="E619" s="34"/>
    </row>
    <row r="620" spans="1:5" x14ac:dyDescent="0.3">
      <c r="A620" s="32">
        <v>619</v>
      </c>
      <c r="B620" s="32"/>
      <c r="C620" s="32" t="b">
        <f>_xlfn.XLOOKUP(Table61011121314[[#This Row],[Category No]],Table8[Category No],Table8[Chapter List],FALSE)</f>
        <v>0</v>
      </c>
      <c r="D620" s="34"/>
      <c r="E620" s="34"/>
    </row>
    <row r="621" spans="1:5" x14ac:dyDescent="0.3">
      <c r="A621" s="32">
        <v>620</v>
      </c>
      <c r="B621" s="32"/>
      <c r="C621" s="32" t="b">
        <f>_xlfn.XLOOKUP(Table61011121314[[#This Row],[Category No]],Table8[Category No],Table8[Chapter List],FALSE)</f>
        <v>0</v>
      </c>
      <c r="D621" s="34"/>
      <c r="E621" s="34"/>
    </row>
    <row r="622" spans="1:5" x14ac:dyDescent="0.3">
      <c r="A622" s="32">
        <v>621</v>
      </c>
      <c r="B622" s="32"/>
      <c r="C622" s="32" t="b">
        <f>_xlfn.XLOOKUP(Table61011121314[[#This Row],[Category No]],Table8[Category No],Table8[Chapter List],FALSE)</f>
        <v>0</v>
      </c>
      <c r="D622" s="34"/>
      <c r="E622" s="34"/>
    </row>
    <row r="623" spans="1:5" x14ac:dyDescent="0.3">
      <c r="A623" s="32">
        <v>622</v>
      </c>
      <c r="B623" s="32"/>
      <c r="C623" s="32" t="b">
        <f>_xlfn.XLOOKUP(Table61011121314[[#This Row],[Category No]],Table8[Category No],Table8[Chapter List],FALSE)</f>
        <v>0</v>
      </c>
      <c r="D623" s="34"/>
      <c r="E623" s="34"/>
    </row>
    <row r="624" spans="1:5" x14ac:dyDescent="0.3">
      <c r="A624" s="32">
        <v>623</v>
      </c>
      <c r="B624" s="32"/>
      <c r="C624" s="32" t="b">
        <f>_xlfn.XLOOKUP(Table61011121314[[#This Row],[Category No]],Table8[Category No],Table8[Chapter List],FALSE)</f>
        <v>0</v>
      </c>
      <c r="D624" s="34"/>
      <c r="E624" s="34"/>
    </row>
    <row r="625" spans="1:5" x14ac:dyDescent="0.3">
      <c r="A625" s="32">
        <v>624</v>
      </c>
      <c r="B625" s="32"/>
      <c r="C625" s="32" t="b">
        <f>_xlfn.XLOOKUP(Table61011121314[[#This Row],[Category No]],Table8[Category No],Table8[Chapter List],FALSE)</f>
        <v>0</v>
      </c>
      <c r="D625" s="34"/>
      <c r="E625" s="34"/>
    </row>
    <row r="626" spans="1:5" x14ac:dyDescent="0.3">
      <c r="A626" s="32">
        <v>625</v>
      </c>
      <c r="B626" s="32"/>
      <c r="C626" s="32" t="b">
        <f>_xlfn.XLOOKUP(Table61011121314[[#This Row],[Category No]],Table8[Category No],Table8[Chapter List],FALSE)</f>
        <v>0</v>
      </c>
      <c r="D626" s="34"/>
      <c r="E626" s="34"/>
    </row>
    <row r="627" spans="1:5" x14ac:dyDescent="0.3">
      <c r="A627" s="32">
        <v>626</v>
      </c>
      <c r="B627" s="32"/>
      <c r="C627" s="32" t="b">
        <f>_xlfn.XLOOKUP(Table61011121314[[#This Row],[Category No]],Table8[Category No],Table8[Chapter List],FALSE)</f>
        <v>0</v>
      </c>
      <c r="D627" s="34"/>
      <c r="E627" s="34"/>
    </row>
    <row r="628" spans="1:5" x14ac:dyDescent="0.3">
      <c r="A628" s="32">
        <v>627</v>
      </c>
      <c r="B628" s="32"/>
      <c r="C628" s="32" t="b">
        <f>_xlfn.XLOOKUP(Table61011121314[[#This Row],[Category No]],Table8[Category No],Table8[Chapter List],FALSE)</f>
        <v>0</v>
      </c>
      <c r="D628" s="34"/>
      <c r="E628" s="34"/>
    </row>
    <row r="629" spans="1:5" x14ac:dyDescent="0.3">
      <c r="A629" s="32">
        <v>628</v>
      </c>
      <c r="B629" s="32"/>
      <c r="C629" s="32" t="b">
        <f>_xlfn.XLOOKUP(Table61011121314[[#This Row],[Category No]],Table8[Category No],Table8[Chapter List],FALSE)</f>
        <v>0</v>
      </c>
      <c r="D629" s="34"/>
      <c r="E629" s="34"/>
    </row>
    <row r="630" spans="1:5" x14ac:dyDescent="0.3">
      <c r="A630" s="32">
        <v>629</v>
      </c>
      <c r="B630" s="32"/>
      <c r="C630" s="32" t="b">
        <f>_xlfn.XLOOKUP(Table61011121314[[#This Row],[Category No]],Table8[Category No],Table8[Chapter List],FALSE)</f>
        <v>0</v>
      </c>
      <c r="D630" s="34"/>
      <c r="E630" s="34"/>
    </row>
    <row r="631" spans="1:5" x14ac:dyDescent="0.3">
      <c r="A631" s="32">
        <v>630</v>
      </c>
      <c r="B631" s="32"/>
      <c r="C631" s="32" t="b">
        <f>_xlfn.XLOOKUP(Table61011121314[[#This Row],[Category No]],Table8[Category No],Table8[Chapter List],FALSE)</f>
        <v>0</v>
      </c>
      <c r="D631" s="34"/>
      <c r="E631" s="34"/>
    </row>
    <row r="632" spans="1:5" x14ac:dyDescent="0.3">
      <c r="A632" s="32">
        <v>631</v>
      </c>
      <c r="B632" s="32"/>
      <c r="C632" s="32" t="b">
        <f>_xlfn.XLOOKUP(Table61011121314[[#This Row],[Category No]],Table8[Category No],Table8[Chapter List],FALSE)</f>
        <v>0</v>
      </c>
      <c r="D632" s="34"/>
      <c r="E632" s="34"/>
    </row>
    <row r="633" spans="1:5" x14ac:dyDescent="0.3">
      <c r="A633" s="32">
        <v>632</v>
      </c>
      <c r="B633" s="32"/>
      <c r="C633" s="32" t="b">
        <f>_xlfn.XLOOKUP(Table61011121314[[#This Row],[Category No]],Table8[Category No],Table8[Chapter List],FALSE)</f>
        <v>0</v>
      </c>
      <c r="D633" s="34"/>
      <c r="E633" s="34"/>
    </row>
    <row r="634" spans="1:5" x14ac:dyDescent="0.3">
      <c r="A634" s="32">
        <v>633</v>
      </c>
      <c r="B634" s="32"/>
      <c r="C634" s="32" t="b">
        <f>_xlfn.XLOOKUP(Table61011121314[[#This Row],[Category No]],Table8[Category No],Table8[Chapter List],FALSE)</f>
        <v>0</v>
      </c>
      <c r="D634" s="34"/>
      <c r="E634" s="34"/>
    </row>
    <row r="635" spans="1:5" x14ac:dyDescent="0.3">
      <c r="A635" s="32">
        <v>634</v>
      </c>
      <c r="B635" s="32"/>
      <c r="C635" s="32" t="b">
        <f>_xlfn.XLOOKUP(Table61011121314[[#This Row],[Category No]],Table8[Category No],Table8[Chapter List],FALSE)</f>
        <v>0</v>
      </c>
      <c r="D635" s="34"/>
      <c r="E635" s="34"/>
    </row>
    <row r="636" spans="1:5" x14ac:dyDescent="0.3">
      <c r="A636" s="32">
        <v>635</v>
      </c>
      <c r="B636" s="32"/>
      <c r="C636" s="32" t="b">
        <f>_xlfn.XLOOKUP(Table61011121314[[#This Row],[Category No]],Table8[Category No],Table8[Chapter List],FALSE)</f>
        <v>0</v>
      </c>
      <c r="D636" s="34"/>
      <c r="E636" s="34"/>
    </row>
    <row r="637" spans="1:5" x14ac:dyDescent="0.3">
      <c r="A637" s="32">
        <v>636</v>
      </c>
      <c r="B637" s="32"/>
      <c r="C637" s="32" t="b">
        <f>_xlfn.XLOOKUP(Table61011121314[[#This Row],[Category No]],Table8[Category No],Table8[Chapter List],FALSE)</f>
        <v>0</v>
      </c>
      <c r="D637" s="34"/>
      <c r="E637" s="34"/>
    </row>
    <row r="638" spans="1:5" x14ac:dyDescent="0.3">
      <c r="A638" s="32">
        <v>637</v>
      </c>
      <c r="B638" s="32"/>
      <c r="C638" s="32" t="b">
        <f>_xlfn.XLOOKUP(Table61011121314[[#This Row],[Category No]],Table8[Category No],Table8[Chapter List],FALSE)</f>
        <v>0</v>
      </c>
      <c r="D638" s="34"/>
      <c r="E638" s="34"/>
    </row>
    <row r="639" spans="1:5" x14ac:dyDescent="0.3">
      <c r="A639" s="32">
        <v>638</v>
      </c>
      <c r="B639" s="32"/>
      <c r="C639" s="32" t="b">
        <f>_xlfn.XLOOKUP(Table61011121314[[#This Row],[Category No]],Table8[Category No],Table8[Chapter List],FALSE)</f>
        <v>0</v>
      </c>
      <c r="D639" s="34"/>
      <c r="E639" s="34"/>
    </row>
    <row r="640" spans="1:5" x14ac:dyDescent="0.3">
      <c r="A640" s="32">
        <v>639</v>
      </c>
      <c r="B640" s="32"/>
      <c r="C640" s="32" t="b">
        <f>_xlfn.XLOOKUP(Table61011121314[[#This Row],[Category No]],Table8[Category No],Table8[Chapter List],FALSE)</f>
        <v>0</v>
      </c>
      <c r="D640" s="34"/>
      <c r="E640" s="34"/>
    </row>
    <row r="641" spans="1:5" x14ac:dyDescent="0.3">
      <c r="A641" s="32">
        <v>640</v>
      </c>
      <c r="B641" s="32"/>
      <c r="C641" s="32" t="b">
        <f>_xlfn.XLOOKUP(Table61011121314[[#This Row],[Category No]],Table8[Category No],Table8[Chapter List],FALSE)</f>
        <v>0</v>
      </c>
      <c r="D641" s="34"/>
      <c r="E641" s="34"/>
    </row>
    <row r="642" spans="1:5" x14ac:dyDescent="0.3">
      <c r="A642" s="32">
        <v>641</v>
      </c>
      <c r="B642" s="32"/>
      <c r="C642" s="32" t="b">
        <f>_xlfn.XLOOKUP(Table61011121314[[#This Row],[Category No]],Table8[Category No],Table8[Chapter List],FALSE)</f>
        <v>0</v>
      </c>
      <c r="D642" s="34"/>
      <c r="E642" s="34"/>
    </row>
    <row r="643" spans="1:5" x14ac:dyDescent="0.3">
      <c r="A643" s="32">
        <v>642</v>
      </c>
      <c r="B643" s="32"/>
      <c r="C643" s="32" t="b">
        <f>_xlfn.XLOOKUP(Table61011121314[[#This Row],[Category No]],Table8[Category No],Table8[Chapter List],FALSE)</f>
        <v>0</v>
      </c>
      <c r="D643" s="34"/>
      <c r="E643" s="34"/>
    </row>
    <row r="644" spans="1:5" x14ac:dyDescent="0.3">
      <c r="A644" s="32">
        <v>643</v>
      </c>
      <c r="B644" s="32"/>
      <c r="C644" s="32" t="b">
        <f>_xlfn.XLOOKUP(Table61011121314[[#This Row],[Category No]],Table8[Category No],Table8[Chapter List],FALSE)</f>
        <v>0</v>
      </c>
      <c r="D644" s="34"/>
      <c r="E644" s="34"/>
    </row>
    <row r="645" spans="1:5" x14ac:dyDescent="0.3">
      <c r="A645" s="32">
        <v>644</v>
      </c>
      <c r="B645" s="32"/>
      <c r="C645" s="32" t="b">
        <f>_xlfn.XLOOKUP(Table61011121314[[#This Row],[Category No]],Table8[Category No],Table8[Chapter List],FALSE)</f>
        <v>0</v>
      </c>
      <c r="D645" s="34"/>
      <c r="E645" s="34"/>
    </row>
    <row r="646" spans="1:5" x14ac:dyDescent="0.3">
      <c r="A646" s="32">
        <v>645</v>
      </c>
      <c r="B646" s="32"/>
      <c r="C646" s="32" t="b">
        <f>_xlfn.XLOOKUP(Table61011121314[[#This Row],[Category No]],Table8[Category No],Table8[Chapter List],FALSE)</f>
        <v>0</v>
      </c>
      <c r="D646" s="34"/>
      <c r="E646" s="34"/>
    </row>
    <row r="647" spans="1:5" x14ac:dyDescent="0.3">
      <c r="A647" s="32">
        <v>646</v>
      </c>
      <c r="B647" s="32"/>
      <c r="C647" s="32" t="b">
        <f>_xlfn.XLOOKUP(Table61011121314[[#This Row],[Category No]],Table8[Category No],Table8[Chapter List],FALSE)</f>
        <v>0</v>
      </c>
      <c r="D647" s="34"/>
      <c r="E647" s="34"/>
    </row>
    <row r="648" spans="1:5" x14ac:dyDescent="0.3">
      <c r="A648" s="32">
        <v>647</v>
      </c>
      <c r="B648" s="32"/>
      <c r="C648" s="32" t="b">
        <f>_xlfn.XLOOKUP(Table61011121314[[#This Row],[Category No]],Table8[Category No],Table8[Chapter List],FALSE)</f>
        <v>0</v>
      </c>
      <c r="D648" s="34"/>
      <c r="E648" s="34"/>
    </row>
    <row r="649" spans="1:5" x14ac:dyDescent="0.3">
      <c r="A649" s="32">
        <v>648</v>
      </c>
      <c r="B649" s="32"/>
      <c r="C649" s="32" t="b">
        <f>_xlfn.XLOOKUP(Table61011121314[[#This Row],[Category No]],Table8[Category No],Table8[Chapter List],FALSE)</f>
        <v>0</v>
      </c>
      <c r="D649" s="34"/>
      <c r="E649" s="34"/>
    </row>
    <row r="650" spans="1:5" x14ac:dyDescent="0.3">
      <c r="A650" s="32">
        <v>649</v>
      </c>
      <c r="B650" s="32"/>
      <c r="C650" s="32" t="b">
        <f>_xlfn.XLOOKUP(Table61011121314[[#This Row],[Category No]],Table8[Category No],Table8[Chapter List],FALSE)</f>
        <v>0</v>
      </c>
      <c r="D650" s="34"/>
      <c r="E650" s="34"/>
    </row>
    <row r="651" spans="1:5" x14ac:dyDescent="0.3">
      <c r="A651" s="32">
        <v>650</v>
      </c>
      <c r="B651" s="32"/>
      <c r="C651" s="32" t="b">
        <f>_xlfn.XLOOKUP(Table61011121314[[#This Row],[Category No]],Table8[Category No],Table8[Chapter List],FALSE)</f>
        <v>0</v>
      </c>
      <c r="D651" s="34"/>
      <c r="E651" s="34"/>
    </row>
    <row r="652" spans="1:5" x14ac:dyDescent="0.3">
      <c r="A652" s="32">
        <v>651</v>
      </c>
      <c r="B652" s="32"/>
      <c r="C652" s="32" t="b">
        <f>_xlfn.XLOOKUP(Table61011121314[[#This Row],[Category No]],Table8[Category No],Table8[Chapter List],FALSE)</f>
        <v>0</v>
      </c>
      <c r="D652" s="34"/>
      <c r="E652" s="34"/>
    </row>
    <row r="653" spans="1:5" x14ac:dyDescent="0.3">
      <c r="A653" s="32">
        <v>652</v>
      </c>
      <c r="B653" s="32"/>
      <c r="C653" s="32" t="b">
        <f>_xlfn.XLOOKUP(Table61011121314[[#This Row],[Category No]],Table8[Category No],Table8[Chapter List],FALSE)</f>
        <v>0</v>
      </c>
      <c r="D653" s="34"/>
      <c r="E653" s="34"/>
    </row>
    <row r="654" spans="1:5" x14ac:dyDescent="0.3">
      <c r="A654" s="32">
        <v>653</v>
      </c>
      <c r="B654" s="32"/>
      <c r="C654" s="32" t="b">
        <f>_xlfn.XLOOKUP(Table61011121314[[#This Row],[Category No]],Table8[Category No],Table8[Chapter List],FALSE)</f>
        <v>0</v>
      </c>
      <c r="D654" s="34"/>
      <c r="E654" s="34"/>
    </row>
    <row r="655" spans="1:5" x14ac:dyDescent="0.3">
      <c r="A655" s="32">
        <v>654</v>
      </c>
      <c r="B655" s="32"/>
      <c r="C655" s="32" t="b">
        <f>_xlfn.XLOOKUP(Table61011121314[[#This Row],[Category No]],Table8[Category No],Table8[Chapter List],FALSE)</f>
        <v>0</v>
      </c>
      <c r="D655" s="34"/>
      <c r="E655" s="34"/>
    </row>
    <row r="656" spans="1:5" x14ac:dyDescent="0.3">
      <c r="A656" s="32">
        <v>655</v>
      </c>
      <c r="B656" s="32"/>
      <c r="C656" s="32" t="b">
        <f>_xlfn.XLOOKUP(Table61011121314[[#This Row],[Category No]],Table8[Category No],Table8[Chapter List],FALSE)</f>
        <v>0</v>
      </c>
      <c r="D656" s="34"/>
      <c r="E656" s="34"/>
    </row>
    <row r="657" spans="1:5" x14ac:dyDescent="0.3">
      <c r="A657" s="32">
        <v>656</v>
      </c>
      <c r="B657" s="32"/>
      <c r="C657" s="32" t="b">
        <f>_xlfn.XLOOKUP(Table61011121314[[#This Row],[Category No]],Table8[Category No],Table8[Chapter List],FALSE)</f>
        <v>0</v>
      </c>
      <c r="D657" s="34"/>
      <c r="E657" s="34"/>
    </row>
    <row r="658" spans="1:5" x14ac:dyDescent="0.3">
      <c r="A658" s="32">
        <v>657</v>
      </c>
      <c r="B658" s="32"/>
      <c r="C658" s="32" t="b">
        <f>_xlfn.XLOOKUP(Table61011121314[[#This Row],[Category No]],Table8[Category No],Table8[Chapter List],FALSE)</f>
        <v>0</v>
      </c>
      <c r="D658" s="34"/>
      <c r="E658" s="34"/>
    </row>
    <row r="659" spans="1:5" x14ac:dyDescent="0.3">
      <c r="A659" s="32">
        <v>658</v>
      </c>
      <c r="B659" s="32"/>
      <c r="C659" s="32" t="b">
        <f>_xlfn.XLOOKUP(Table61011121314[[#This Row],[Category No]],Table8[Category No],Table8[Chapter List],FALSE)</f>
        <v>0</v>
      </c>
      <c r="D659" s="34"/>
      <c r="E659" s="34"/>
    </row>
    <row r="660" spans="1:5" x14ac:dyDescent="0.3">
      <c r="A660" s="32">
        <v>659</v>
      </c>
      <c r="B660" s="32"/>
      <c r="C660" s="32" t="b">
        <f>_xlfn.XLOOKUP(Table61011121314[[#This Row],[Category No]],Table8[Category No],Table8[Chapter List],FALSE)</f>
        <v>0</v>
      </c>
      <c r="D660" s="34"/>
      <c r="E660" s="34"/>
    </row>
    <row r="661" spans="1:5" x14ac:dyDescent="0.3">
      <c r="A661" s="32">
        <v>660</v>
      </c>
      <c r="B661" s="32"/>
      <c r="C661" s="32" t="b">
        <f>_xlfn.XLOOKUP(Table61011121314[[#This Row],[Category No]],Table8[Category No],Table8[Chapter List],FALSE)</f>
        <v>0</v>
      </c>
      <c r="D661" s="34"/>
      <c r="E661" s="34"/>
    </row>
    <row r="662" spans="1:5" x14ac:dyDescent="0.3">
      <c r="A662" s="32">
        <v>661</v>
      </c>
      <c r="B662" s="32"/>
      <c r="C662" s="32" t="b">
        <f>_xlfn.XLOOKUP(Table61011121314[[#This Row],[Category No]],Table8[Category No],Table8[Chapter List],FALSE)</f>
        <v>0</v>
      </c>
      <c r="D662" s="34"/>
      <c r="E662" s="34"/>
    </row>
    <row r="663" spans="1:5" x14ac:dyDescent="0.3">
      <c r="A663" s="32">
        <v>662</v>
      </c>
      <c r="B663" s="32"/>
      <c r="C663" s="32" t="b">
        <f>_xlfn.XLOOKUP(Table61011121314[[#This Row],[Category No]],Table8[Category No],Table8[Chapter List],FALSE)</f>
        <v>0</v>
      </c>
      <c r="D663" s="34"/>
      <c r="E663" s="34"/>
    </row>
    <row r="664" spans="1:5" x14ac:dyDescent="0.3">
      <c r="A664" s="32">
        <v>663</v>
      </c>
      <c r="B664" s="32"/>
      <c r="C664" s="32" t="b">
        <f>_xlfn.XLOOKUP(Table61011121314[[#This Row],[Category No]],Table8[Category No],Table8[Chapter List],FALSE)</f>
        <v>0</v>
      </c>
      <c r="D664" s="34"/>
      <c r="E664" s="34"/>
    </row>
    <row r="665" spans="1:5" x14ac:dyDescent="0.3">
      <c r="A665" s="32">
        <v>664</v>
      </c>
      <c r="B665" s="32"/>
      <c r="C665" s="32" t="b">
        <f>_xlfn.XLOOKUP(Table61011121314[[#This Row],[Category No]],Table8[Category No],Table8[Chapter List],FALSE)</f>
        <v>0</v>
      </c>
      <c r="D665" s="34"/>
      <c r="E665" s="34"/>
    </row>
    <row r="666" spans="1:5" x14ac:dyDescent="0.3">
      <c r="A666" s="32">
        <v>665</v>
      </c>
      <c r="B666" s="32"/>
      <c r="C666" s="32" t="b">
        <f>_xlfn.XLOOKUP(Table61011121314[[#This Row],[Category No]],Table8[Category No],Table8[Chapter List],FALSE)</f>
        <v>0</v>
      </c>
      <c r="D666" s="34"/>
      <c r="E666" s="34"/>
    </row>
    <row r="667" spans="1:5" x14ac:dyDescent="0.3">
      <c r="A667" s="32">
        <v>666</v>
      </c>
      <c r="B667" s="32"/>
      <c r="C667" s="32" t="b">
        <f>_xlfn.XLOOKUP(Table61011121314[[#This Row],[Category No]],Table8[Category No],Table8[Chapter List],FALSE)</f>
        <v>0</v>
      </c>
      <c r="D667" s="34"/>
      <c r="E667" s="34"/>
    </row>
    <row r="668" spans="1:5" x14ac:dyDescent="0.3">
      <c r="A668" s="32">
        <v>667</v>
      </c>
      <c r="B668" s="32"/>
      <c r="C668" s="32" t="b">
        <f>_xlfn.XLOOKUP(Table61011121314[[#This Row],[Category No]],Table8[Category No],Table8[Chapter List],FALSE)</f>
        <v>0</v>
      </c>
      <c r="D668" s="34"/>
      <c r="E668" s="34"/>
    </row>
    <row r="669" spans="1:5" x14ac:dyDescent="0.3">
      <c r="A669" s="32">
        <v>668</v>
      </c>
      <c r="B669" s="32"/>
      <c r="C669" s="32" t="b">
        <f>_xlfn.XLOOKUP(Table61011121314[[#This Row],[Category No]],Table8[Category No],Table8[Chapter List],FALSE)</f>
        <v>0</v>
      </c>
      <c r="D669" s="34"/>
      <c r="E669" s="34"/>
    </row>
    <row r="670" spans="1:5" x14ac:dyDescent="0.3">
      <c r="A670" s="32">
        <v>669</v>
      </c>
      <c r="B670" s="32"/>
      <c r="C670" s="32" t="b">
        <f>_xlfn.XLOOKUP(Table61011121314[[#This Row],[Category No]],Table8[Category No],Table8[Chapter List],FALSE)</f>
        <v>0</v>
      </c>
      <c r="D670" s="34"/>
      <c r="E670" s="34"/>
    </row>
    <row r="671" spans="1:5" x14ac:dyDescent="0.3">
      <c r="A671" s="32">
        <v>670</v>
      </c>
      <c r="B671" s="32"/>
      <c r="C671" s="32" t="b">
        <f>_xlfn.XLOOKUP(Table61011121314[[#This Row],[Category No]],Table8[Category No],Table8[Chapter List],FALSE)</f>
        <v>0</v>
      </c>
      <c r="D671" s="34"/>
      <c r="E671" s="34"/>
    </row>
    <row r="672" spans="1:5" x14ac:dyDescent="0.3">
      <c r="A672" s="32">
        <v>671</v>
      </c>
      <c r="B672" s="32"/>
      <c r="C672" s="32" t="b">
        <f>_xlfn.XLOOKUP(Table61011121314[[#This Row],[Category No]],Table8[Category No],Table8[Chapter List],FALSE)</f>
        <v>0</v>
      </c>
      <c r="D672" s="34"/>
      <c r="E672" s="34"/>
    </row>
    <row r="673" spans="1:5" x14ac:dyDescent="0.3">
      <c r="A673" s="32">
        <v>672</v>
      </c>
      <c r="B673" s="32"/>
      <c r="C673" s="32" t="b">
        <f>_xlfn.XLOOKUP(Table61011121314[[#This Row],[Category No]],Table8[Category No],Table8[Chapter List],FALSE)</f>
        <v>0</v>
      </c>
      <c r="D673" s="34"/>
      <c r="E673" s="34"/>
    </row>
    <row r="674" spans="1:5" x14ac:dyDescent="0.3">
      <c r="A674" s="32">
        <v>673</v>
      </c>
      <c r="B674" s="32"/>
      <c r="C674" s="32" t="b">
        <f>_xlfn.XLOOKUP(Table61011121314[[#This Row],[Category No]],Table8[Category No],Table8[Chapter List],FALSE)</f>
        <v>0</v>
      </c>
      <c r="D674" s="34"/>
      <c r="E674" s="34"/>
    </row>
    <row r="675" spans="1:5" x14ac:dyDescent="0.3">
      <c r="A675" s="32">
        <v>674</v>
      </c>
      <c r="B675" s="32"/>
      <c r="C675" s="32" t="b">
        <f>_xlfn.XLOOKUP(Table61011121314[[#This Row],[Category No]],Table8[Category No],Table8[Chapter List],FALSE)</f>
        <v>0</v>
      </c>
      <c r="D675" s="34"/>
      <c r="E675" s="34"/>
    </row>
    <row r="676" spans="1:5" x14ac:dyDescent="0.3">
      <c r="A676" s="32">
        <v>675</v>
      </c>
      <c r="B676" s="32"/>
      <c r="C676" s="32" t="b">
        <f>_xlfn.XLOOKUP(Table61011121314[[#This Row],[Category No]],Table8[Category No],Table8[Chapter List],FALSE)</f>
        <v>0</v>
      </c>
      <c r="D676" s="34"/>
      <c r="E676" s="34"/>
    </row>
    <row r="677" spans="1:5" x14ac:dyDescent="0.3">
      <c r="A677" s="32">
        <v>676</v>
      </c>
      <c r="B677" s="32"/>
      <c r="C677" s="32" t="b">
        <f>_xlfn.XLOOKUP(Table61011121314[[#This Row],[Category No]],Table8[Category No],Table8[Chapter List],FALSE)</f>
        <v>0</v>
      </c>
      <c r="D677" s="34"/>
      <c r="E677" s="34"/>
    </row>
    <row r="678" spans="1:5" x14ac:dyDescent="0.3">
      <c r="A678" s="32">
        <v>677</v>
      </c>
      <c r="B678" s="32"/>
      <c r="C678" s="32" t="b">
        <f>_xlfn.XLOOKUP(Table61011121314[[#This Row],[Category No]],Table8[Category No],Table8[Chapter List],FALSE)</f>
        <v>0</v>
      </c>
      <c r="D678" s="34"/>
      <c r="E678" s="34"/>
    </row>
    <row r="679" spans="1:5" x14ac:dyDescent="0.3">
      <c r="A679" s="32">
        <v>678</v>
      </c>
      <c r="B679" s="32"/>
      <c r="C679" s="32" t="b">
        <f>_xlfn.XLOOKUP(Table61011121314[[#This Row],[Category No]],Table8[Category No],Table8[Chapter List],FALSE)</f>
        <v>0</v>
      </c>
      <c r="D679" s="34"/>
      <c r="E679" s="34"/>
    </row>
    <row r="680" spans="1:5" x14ac:dyDescent="0.3">
      <c r="A680" s="32">
        <v>679</v>
      </c>
      <c r="B680" s="32"/>
      <c r="C680" s="32" t="b">
        <f>_xlfn.XLOOKUP(Table61011121314[[#This Row],[Category No]],Table8[Category No],Table8[Chapter List],FALSE)</f>
        <v>0</v>
      </c>
      <c r="D680" s="34"/>
      <c r="E680" s="34"/>
    </row>
    <row r="681" spans="1:5" x14ac:dyDescent="0.3">
      <c r="A681" s="32">
        <v>680</v>
      </c>
      <c r="B681" s="32"/>
      <c r="C681" s="32" t="b">
        <f>_xlfn.XLOOKUP(Table61011121314[[#This Row],[Category No]],Table8[Category No],Table8[Chapter List],FALSE)</f>
        <v>0</v>
      </c>
      <c r="D681" s="34"/>
      <c r="E681" s="34"/>
    </row>
    <row r="682" spans="1:5" x14ac:dyDescent="0.3">
      <c r="A682" s="32">
        <v>681</v>
      </c>
      <c r="B682" s="32"/>
      <c r="C682" s="32" t="b">
        <f>_xlfn.XLOOKUP(Table61011121314[[#This Row],[Category No]],Table8[Category No],Table8[Chapter List],FALSE)</f>
        <v>0</v>
      </c>
      <c r="D682" s="34"/>
      <c r="E682" s="34"/>
    </row>
    <row r="683" spans="1:5" x14ac:dyDescent="0.3">
      <c r="A683" s="32">
        <v>682</v>
      </c>
      <c r="B683" s="32"/>
      <c r="C683" s="32" t="b">
        <f>_xlfn.XLOOKUP(Table61011121314[[#This Row],[Category No]],Table8[Category No],Table8[Chapter List],FALSE)</f>
        <v>0</v>
      </c>
      <c r="D683" s="34"/>
      <c r="E683" s="34"/>
    </row>
    <row r="684" spans="1:5" x14ac:dyDescent="0.3">
      <c r="A684" s="32">
        <v>683</v>
      </c>
      <c r="B684" s="32"/>
      <c r="C684" s="32" t="b">
        <f>_xlfn.XLOOKUP(Table61011121314[[#This Row],[Category No]],Table8[Category No],Table8[Chapter List],FALSE)</f>
        <v>0</v>
      </c>
      <c r="D684" s="34"/>
      <c r="E684" s="34"/>
    </row>
    <row r="685" spans="1:5" x14ac:dyDescent="0.3">
      <c r="A685" s="32">
        <v>684</v>
      </c>
      <c r="B685" s="32"/>
      <c r="C685" s="32" t="b">
        <f>_xlfn.XLOOKUP(Table61011121314[[#This Row],[Category No]],Table8[Category No],Table8[Chapter List],FALSE)</f>
        <v>0</v>
      </c>
      <c r="D685" s="34"/>
      <c r="E685" s="34"/>
    </row>
    <row r="686" spans="1:5" x14ac:dyDescent="0.3">
      <c r="A686" s="32">
        <v>685</v>
      </c>
      <c r="B686" s="32"/>
      <c r="C686" s="32" t="b">
        <f>_xlfn.XLOOKUP(Table61011121314[[#This Row],[Category No]],Table8[Category No],Table8[Chapter List],FALSE)</f>
        <v>0</v>
      </c>
      <c r="D686" s="34"/>
      <c r="E686" s="34"/>
    </row>
    <row r="687" spans="1:5" x14ac:dyDescent="0.3">
      <c r="A687" s="32">
        <v>686</v>
      </c>
      <c r="B687" s="32"/>
      <c r="C687" s="32" t="b">
        <f>_xlfn.XLOOKUP(Table61011121314[[#This Row],[Category No]],Table8[Category No],Table8[Chapter List],FALSE)</f>
        <v>0</v>
      </c>
      <c r="D687" s="34"/>
      <c r="E687" s="34"/>
    </row>
    <row r="688" spans="1:5" x14ac:dyDescent="0.3">
      <c r="A688" s="32">
        <v>687</v>
      </c>
      <c r="B688" s="32"/>
      <c r="C688" s="32" t="b">
        <f>_xlfn.XLOOKUP(Table61011121314[[#This Row],[Category No]],Table8[Category No],Table8[Chapter List],FALSE)</f>
        <v>0</v>
      </c>
      <c r="D688" s="34"/>
      <c r="E688" s="34"/>
    </row>
    <row r="689" spans="1:5" x14ac:dyDescent="0.3">
      <c r="A689" s="32">
        <v>688</v>
      </c>
      <c r="B689" s="32"/>
      <c r="C689" s="32" t="b">
        <f>_xlfn.XLOOKUP(Table61011121314[[#This Row],[Category No]],Table8[Category No],Table8[Chapter List],FALSE)</f>
        <v>0</v>
      </c>
      <c r="D689" s="34"/>
      <c r="E689" s="34"/>
    </row>
    <row r="690" spans="1:5" x14ac:dyDescent="0.3">
      <c r="A690" s="32">
        <v>689</v>
      </c>
      <c r="B690" s="32"/>
      <c r="C690" s="32" t="b">
        <f>_xlfn.XLOOKUP(Table61011121314[[#This Row],[Category No]],Table8[Category No],Table8[Chapter List],FALSE)</f>
        <v>0</v>
      </c>
      <c r="D690" s="34"/>
      <c r="E690" s="34"/>
    </row>
    <row r="691" spans="1:5" x14ac:dyDescent="0.3">
      <c r="A691" s="32">
        <v>690</v>
      </c>
      <c r="B691" s="32"/>
      <c r="C691" s="32" t="b">
        <f>_xlfn.XLOOKUP(Table61011121314[[#This Row],[Category No]],Table8[Category No],Table8[Chapter List],FALSE)</f>
        <v>0</v>
      </c>
      <c r="D691" s="34"/>
      <c r="E691" s="34"/>
    </row>
    <row r="692" spans="1:5" x14ac:dyDescent="0.3">
      <c r="A692" s="32">
        <v>691</v>
      </c>
      <c r="B692" s="32"/>
      <c r="C692" s="32" t="b">
        <f>_xlfn.XLOOKUP(Table61011121314[[#This Row],[Category No]],Table8[Category No],Table8[Chapter List],FALSE)</f>
        <v>0</v>
      </c>
      <c r="D692" s="34"/>
      <c r="E692" s="34"/>
    </row>
    <row r="693" spans="1:5" x14ac:dyDescent="0.3">
      <c r="A693" s="32">
        <v>692</v>
      </c>
      <c r="B693" s="32"/>
      <c r="C693" s="32" t="b">
        <f>_xlfn.XLOOKUP(Table61011121314[[#This Row],[Category No]],Table8[Category No],Table8[Chapter List],FALSE)</f>
        <v>0</v>
      </c>
      <c r="D693" s="34"/>
      <c r="E693" s="34"/>
    </row>
    <row r="694" spans="1:5" x14ac:dyDescent="0.3">
      <c r="A694" s="32">
        <v>693</v>
      </c>
      <c r="B694" s="32"/>
      <c r="C694" s="32" t="b">
        <f>_xlfn.XLOOKUP(Table61011121314[[#This Row],[Category No]],Table8[Category No],Table8[Chapter List],FALSE)</f>
        <v>0</v>
      </c>
      <c r="D694" s="34"/>
      <c r="E694" s="34"/>
    </row>
    <row r="695" spans="1:5" x14ac:dyDescent="0.3">
      <c r="A695" s="32">
        <v>694</v>
      </c>
      <c r="B695" s="32"/>
      <c r="C695" s="32" t="b">
        <f>_xlfn.XLOOKUP(Table61011121314[[#This Row],[Category No]],Table8[Category No],Table8[Chapter List],FALSE)</f>
        <v>0</v>
      </c>
      <c r="D695" s="34"/>
      <c r="E695" s="34"/>
    </row>
    <row r="696" spans="1:5" x14ac:dyDescent="0.3">
      <c r="A696" s="32">
        <v>695</v>
      </c>
      <c r="B696" s="32"/>
      <c r="C696" s="32" t="b">
        <f>_xlfn.XLOOKUP(Table61011121314[[#This Row],[Category No]],Table8[Category No],Table8[Chapter List],FALSE)</f>
        <v>0</v>
      </c>
      <c r="D696" s="34"/>
      <c r="E696" s="34"/>
    </row>
    <row r="697" spans="1:5" x14ac:dyDescent="0.3">
      <c r="A697" s="32">
        <v>696</v>
      </c>
      <c r="B697" s="32"/>
      <c r="C697" s="32" t="b">
        <f>_xlfn.XLOOKUP(Table61011121314[[#This Row],[Category No]],Table8[Category No],Table8[Chapter List],FALSE)</f>
        <v>0</v>
      </c>
      <c r="D697" s="34"/>
      <c r="E697" s="34"/>
    </row>
    <row r="698" spans="1:5" x14ac:dyDescent="0.3">
      <c r="A698" s="32">
        <v>697</v>
      </c>
      <c r="B698" s="32"/>
      <c r="C698" s="32" t="b">
        <f>_xlfn.XLOOKUP(Table61011121314[[#This Row],[Category No]],Table8[Category No],Table8[Chapter List],FALSE)</f>
        <v>0</v>
      </c>
      <c r="D698" s="34"/>
      <c r="E698" s="34"/>
    </row>
    <row r="699" spans="1:5" x14ac:dyDescent="0.3">
      <c r="A699" s="32">
        <v>698</v>
      </c>
      <c r="B699" s="32"/>
      <c r="C699" s="32" t="b">
        <f>_xlfn.XLOOKUP(Table61011121314[[#This Row],[Category No]],Table8[Category No],Table8[Chapter List],FALSE)</f>
        <v>0</v>
      </c>
      <c r="D699" s="34"/>
      <c r="E699" s="34"/>
    </row>
    <row r="700" spans="1:5" x14ac:dyDescent="0.3">
      <c r="A700" s="32">
        <v>699</v>
      </c>
      <c r="B700" s="32"/>
      <c r="C700" s="32" t="b">
        <f>_xlfn.XLOOKUP(Table61011121314[[#This Row],[Category No]],Table8[Category No],Table8[Chapter List],FALSE)</f>
        <v>0</v>
      </c>
      <c r="D700" s="34"/>
      <c r="E700" s="34"/>
    </row>
    <row r="701" spans="1:5" x14ac:dyDescent="0.3">
      <c r="A701" s="32">
        <v>700</v>
      </c>
      <c r="B701" s="32"/>
      <c r="C701" s="32" t="b">
        <f>_xlfn.XLOOKUP(Table61011121314[[#This Row],[Category No]],Table8[Category No],Table8[Chapter List],FALSE)</f>
        <v>0</v>
      </c>
      <c r="D701" s="34"/>
      <c r="E701" s="34"/>
    </row>
    <row r="702" spans="1:5" x14ac:dyDescent="0.3">
      <c r="A702" s="32">
        <v>701</v>
      </c>
      <c r="B702" s="32"/>
      <c r="C702" s="32" t="b">
        <f>_xlfn.XLOOKUP(Table61011121314[[#This Row],[Category No]],Table8[Category No],Table8[Chapter List],FALSE)</f>
        <v>0</v>
      </c>
      <c r="D702" s="34"/>
      <c r="E702" s="34"/>
    </row>
    <row r="703" spans="1:5" x14ac:dyDescent="0.3">
      <c r="A703" s="32">
        <v>702</v>
      </c>
      <c r="B703" s="32"/>
      <c r="C703" s="32" t="b">
        <f>_xlfn.XLOOKUP(Table61011121314[[#This Row],[Category No]],Table8[Category No],Table8[Chapter List],FALSE)</f>
        <v>0</v>
      </c>
      <c r="D703" s="34"/>
      <c r="E703" s="34"/>
    </row>
    <row r="704" spans="1:5" x14ac:dyDescent="0.3">
      <c r="A704" s="32">
        <v>703</v>
      </c>
      <c r="B704" s="32"/>
      <c r="C704" s="32" t="b">
        <f>_xlfn.XLOOKUP(Table61011121314[[#This Row],[Category No]],Table8[Category No],Table8[Chapter List],FALSE)</f>
        <v>0</v>
      </c>
      <c r="D704" s="34"/>
      <c r="E704" s="34"/>
    </row>
    <row r="705" spans="1:5" x14ac:dyDescent="0.3">
      <c r="A705" s="32">
        <v>704</v>
      </c>
      <c r="B705" s="32"/>
      <c r="C705" s="32" t="b">
        <f>_xlfn.XLOOKUP(Table61011121314[[#This Row],[Category No]],Table8[Category No],Table8[Chapter List],FALSE)</f>
        <v>0</v>
      </c>
      <c r="D705" s="34"/>
      <c r="E705" s="34"/>
    </row>
    <row r="706" spans="1:5" x14ac:dyDescent="0.3">
      <c r="A706" s="32">
        <v>705</v>
      </c>
      <c r="B706" s="32"/>
      <c r="C706" s="32" t="b">
        <f>_xlfn.XLOOKUP(Table61011121314[[#This Row],[Category No]],Table8[Category No],Table8[Chapter List],FALSE)</f>
        <v>0</v>
      </c>
      <c r="D706" s="34"/>
      <c r="E706" s="34"/>
    </row>
    <row r="707" spans="1:5" x14ac:dyDescent="0.3">
      <c r="A707" s="32">
        <v>706</v>
      </c>
      <c r="B707" s="32"/>
      <c r="C707" s="32" t="b">
        <f>_xlfn.XLOOKUP(Table61011121314[[#This Row],[Category No]],Table8[Category No],Table8[Chapter List],FALSE)</f>
        <v>0</v>
      </c>
      <c r="D707" s="34"/>
      <c r="E707" s="34"/>
    </row>
    <row r="708" spans="1:5" x14ac:dyDescent="0.3">
      <c r="A708" s="32">
        <v>707</v>
      </c>
      <c r="B708" s="32"/>
      <c r="C708" s="32" t="b">
        <f>_xlfn.XLOOKUP(Table61011121314[[#This Row],[Category No]],Table8[Category No],Table8[Chapter List],FALSE)</f>
        <v>0</v>
      </c>
      <c r="D708" s="34"/>
      <c r="E708" s="34"/>
    </row>
    <row r="709" spans="1:5" x14ac:dyDescent="0.3">
      <c r="A709" s="32">
        <v>708</v>
      </c>
      <c r="B709" s="32"/>
      <c r="C709" s="32" t="b">
        <f>_xlfn.XLOOKUP(Table61011121314[[#This Row],[Category No]],Table8[Category No],Table8[Chapter List],FALSE)</f>
        <v>0</v>
      </c>
      <c r="D709" s="34"/>
      <c r="E709" s="34"/>
    </row>
    <row r="710" spans="1:5" x14ac:dyDescent="0.3">
      <c r="A710" s="32">
        <v>709</v>
      </c>
      <c r="B710" s="32"/>
      <c r="C710" s="32" t="b">
        <f>_xlfn.XLOOKUP(Table61011121314[[#This Row],[Category No]],Table8[Category No],Table8[Chapter List],FALSE)</f>
        <v>0</v>
      </c>
      <c r="D710" s="34"/>
      <c r="E710" s="34"/>
    </row>
    <row r="711" spans="1:5" x14ac:dyDescent="0.3">
      <c r="A711" s="32">
        <v>710</v>
      </c>
      <c r="B711" s="32"/>
      <c r="C711" s="32" t="b">
        <f>_xlfn.XLOOKUP(Table61011121314[[#This Row],[Category No]],Table8[Category No],Table8[Chapter List],FALSE)</f>
        <v>0</v>
      </c>
      <c r="D711" s="34"/>
      <c r="E711" s="34"/>
    </row>
    <row r="712" spans="1:5" x14ac:dyDescent="0.3">
      <c r="A712" s="32">
        <v>711</v>
      </c>
      <c r="B712" s="32"/>
      <c r="C712" s="32" t="b">
        <f>_xlfn.XLOOKUP(Table61011121314[[#This Row],[Category No]],Table8[Category No],Table8[Chapter List],FALSE)</f>
        <v>0</v>
      </c>
      <c r="D712" s="34"/>
      <c r="E712" s="34"/>
    </row>
    <row r="713" spans="1:5" x14ac:dyDescent="0.3">
      <c r="A713" s="32">
        <v>712</v>
      </c>
      <c r="B713" s="32"/>
      <c r="C713" s="32" t="b">
        <f>_xlfn.XLOOKUP(Table61011121314[[#This Row],[Category No]],Table8[Category No],Table8[Chapter List],FALSE)</f>
        <v>0</v>
      </c>
      <c r="D713" s="34"/>
      <c r="E713" s="34"/>
    </row>
    <row r="714" spans="1:5" x14ac:dyDescent="0.3">
      <c r="A714" s="32">
        <v>713</v>
      </c>
      <c r="B714" s="32"/>
      <c r="C714" s="32" t="b">
        <f>_xlfn.XLOOKUP(Table61011121314[[#This Row],[Category No]],Table8[Category No],Table8[Chapter List],FALSE)</f>
        <v>0</v>
      </c>
      <c r="D714" s="34"/>
      <c r="E714" s="34"/>
    </row>
    <row r="715" spans="1:5" x14ac:dyDescent="0.3">
      <c r="A715" s="32">
        <v>714</v>
      </c>
      <c r="B715" s="32"/>
      <c r="C715" s="32" t="b">
        <f>_xlfn.XLOOKUP(Table61011121314[[#This Row],[Category No]],Table8[Category No],Table8[Chapter List],FALSE)</f>
        <v>0</v>
      </c>
      <c r="D715" s="34"/>
      <c r="E715" s="34"/>
    </row>
    <row r="716" spans="1:5" x14ac:dyDescent="0.3">
      <c r="A716" s="32">
        <v>715</v>
      </c>
      <c r="B716" s="32"/>
      <c r="C716" s="32" t="b">
        <f>_xlfn.XLOOKUP(Table61011121314[[#This Row],[Category No]],Table8[Category No],Table8[Chapter List],FALSE)</f>
        <v>0</v>
      </c>
      <c r="D716" s="34"/>
      <c r="E716" s="34"/>
    </row>
    <row r="717" spans="1:5" x14ac:dyDescent="0.3">
      <c r="A717" s="32">
        <v>716</v>
      </c>
      <c r="B717" s="32"/>
      <c r="C717" s="32" t="b">
        <f>_xlfn.XLOOKUP(Table61011121314[[#This Row],[Category No]],Table8[Category No],Table8[Chapter List],FALSE)</f>
        <v>0</v>
      </c>
      <c r="D717" s="34"/>
      <c r="E717" s="34"/>
    </row>
    <row r="718" spans="1:5" x14ac:dyDescent="0.3">
      <c r="A718" s="32">
        <v>717</v>
      </c>
      <c r="B718" s="32"/>
      <c r="C718" s="32" t="b">
        <f>_xlfn.XLOOKUP(Table61011121314[[#This Row],[Category No]],Table8[Category No],Table8[Chapter List],FALSE)</f>
        <v>0</v>
      </c>
      <c r="D718" s="34"/>
      <c r="E718" s="34"/>
    </row>
    <row r="719" spans="1:5" x14ac:dyDescent="0.3">
      <c r="A719" s="32">
        <v>718</v>
      </c>
      <c r="B719" s="32"/>
      <c r="C719" s="32" t="b">
        <f>_xlfn.XLOOKUP(Table61011121314[[#This Row],[Category No]],Table8[Category No],Table8[Chapter List],FALSE)</f>
        <v>0</v>
      </c>
      <c r="D719" s="34"/>
      <c r="E719" s="34"/>
    </row>
    <row r="720" spans="1:5" x14ac:dyDescent="0.3">
      <c r="A720" s="32">
        <v>719</v>
      </c>
      <c r="B720" s="32"/>
      <c r="C720" s="32" t="b">
        <f>_xlfn.XLOOKUP(Table61011121314[[#This Row],[Category No]],Table8[Category No],Table8[Chapter List],FALSE)</f>
        <v>0</v>
      </c>
      <c r="D720" s="34"/>
      <c r="E720" s="34"/>
    </row>
    <row r="721" spans="1:5" x14ac:dyDescent="0.3">
      <c r="A721" s="32">
        <v>720</v>
      </c>
      <c r="B721" s="32"/>
      <c r="C721" s="32" t="b">
        <f>_xlfn.XLOOKUP(Table61011121314[[#This Row],[Category No]],Table8[Category No],Table8[Chapter List],FALSE)</f>
        <v>0</v>
      </c>
      <c r="D721" s="34"/>
      <c r="E721" s="34"/>
    </row>
    <row r="722" spans="1:5" x14ac:dyDescent="0.3">
      <c r="A722" s="32">
        <v>721</v>
      </c>
      <c r="B722" s="32"/>
      <c r="C722" s="32" t="b">
        <f>_xlfn.XLOOKUP(Table61011121314[[#This Row],[Category No]],Table8[Category No],Table8[Chapter List],FALSE)</f>
        <v>0</v>
      </c>
      <c r="D722" s="34"/>
      <c r="E722" s="34"/>
    </row>
    <row r="723" spans="1:5" x14ac:dyDescent="0.3">
      <c r="A723" s="32">
        <v>722</v>
      </c>
      <c r="B723" s="32"/>
      <c r="C723" s="32" t="b">
        <f>_xlfn.XLOOKUP(Table61011121314[[#This Row],[Category No]],Table8[Category No],Table8[Chapter List],FALSE)</f>
        <v>0</v>
      </c>
      <c r="D723" s="34"/>
      <c r="E723" s="34"/>
    </row>
    <row r="724" spans="1:5" x14ac:dyDescent="0.3">
      <c r="A724" s="32">
        <v>723</v>
      </c>
      <c r="B724" s="32"/>
      <c r="C724" s="32" t="b">
        <f>_xlfn.XLOOKUP(Table61011121314[[#This Row],[Category No]],Table8[Category No],Table8[Chapter List],FALSE)</f>
        <v>0</v>
      </c>
      <c r="D724" s="34"/>
      <c r="E724" s="34"/>
    </row>
    <row r="725" spans="1:5" x14ac:dyDescent="0.3">
      <c r="A725" s="32">
        <v>724</v>
      </c>
      <c r="B725" s="32"/>
      <c r="C725" s="32" t="b">
        <f>_xlfn.XLOOKUP(Table61011121314[[#This Row],[Category No]],Table8[Category No],Table8[Chapter List],FALSE)</f>
        <v>0</v>
      </c>
      <c r="D725" s="34"/>
      <c r="E725" s="34"/>
    </row>
    <row r="726" spans="1:5" x14ac:dyDescent="0.3">
      <c r="A726" s="32">
        <v>725</v>
      </c>
      <c r="B726" s="32"/>
      <c r="C726" s="32" t="b">
        <f>_xlfn.XLOOKUP(Table61011121314[[#This Row],[Category No]],Table8[Category No],Table8[Chapter List],FALSE)</f>
        <v>0</v>
      </c>
      <c r="D726" s="34"/>
      <c r="E726" s="34"/>
    </row>
    <row r="727" spans="1:5" x14ac:dyDescent="0.3">
      <c r="A727" s="32">
        <v>726</v>
      </c>
      <c r="B727" s="32"/>
      <c r="C727" s="32" t="b">
        <f>_xlfn.XLOOKUP(Table61011121314[[#This Row],[Category No]],Table8[Category No],Table8[Chapter List],FALSE)</f>
        <v>0</v>
      </c>
      <c r="D727" s="34"/>
      <c r="E727" s="34"/>
    </row>
    <row r="728" spans="1:5" x14ac:dyDescent="0.3">
      <c r="A728" s="32">
        <v>727</v>
      </c>
      <c r="B728" s="32"/>
      <c r="C728" s="32" t="b">
        <f>_xlfn.XLOOKUP(Table61011121314[[#This Row],[Category No]],Table8[Category No],Table8[Chapter List],FALSE)</f>
        <v>0</v>
      </c>
      <c r="D728" s="34"/>
      <c r="E728" s="34"/>
    </row>
    <row r="729" spans="1:5" x14ac:dyDescent="0.3">
      <c r="A729" s="32">
        <v>728</v>
      </c>
      <c r="B729" s="32"/>
      <c r="C729" s="32" t="b">
        <f>_xlfn.XLOOKUP(Table61011121314[[#This Row],[Category No]],Table8[Category No],Table8[Chapter List],FALSE)</f>
        <v>0</v>
      </c>
      <c r="D729" s="34"/>
      <c r="E729" s="34"/>
    </row>
    <row r="730" spans="1:5" x14ac:dyDescent="0.3">
      <c r="A730" s="32">
        <v>729</v>
      </c>
      <c r="B730" s="32"/>
      <c r="C730" s="32" t="b">
        <f>_xlfn.XLOOKUP(Table61011121314[[#This Row],[Category No]],Table8[Category No],Table8[Chapter List],FALSE)</f>
        <v>0</v>
      </c>
      <c r="D730" s="34"/>
      <c r="E730" s="34"/>
    </row>
    <row r="731" spans="1:5" x14ac:dyDescent="0.3">
      <c r="A731" s="32">
        <v>730</v>
      </c>
      <c r="B731" s="32"/>
      <c r="C731" s="32" t="b">
        <f>_xlfn.XLOOKUP(Table61011121314[[#This Row],[Category No]],Table8[Category No],Table8[Chapter List],FALSE)</f>
        <v>0</v>
      </c>
      <c r="D731" s="34"/>
      <c r="E731" s="34"/>
    </row>
    <row r="732" spans="1:5" x14ac:dyDescent="0.3">
      <c r="A732" s="32">
        <v>731</v>
      </c>
      <c r="B732" s="32"/>
      <c r="C732" s="32" t="b">
        <f>_xlfn.XLOOKUP(Table61011121314[[#This Row],[Category No]],Table8[Category No],Table8[Chapter List],FALSE)</f>
        <v>0</v>
      </c>
      <c r="D732" s="34"/>
      <c r="E732" s="34"/>
    </row>
    <row r="733" spans="1:5" x14ac:dyDescent="0.3">
      <c r="A733" s="32">
        <v>732</v>
      </c>
      <c r="B733" s="32"/>
      <c r="C733" s="32" t="b">
        <f>_xlfn.XLOOKUP(Table61011121314[[#This Row],[Category No]],Table8[Category No],Table8[Chapter List],FALSE)</f>
        <v>0</v>
      </c>
      <c r="D733" s="34"/>
      <c r="E733" s="34"/>
    </row>
    <row r="734" spans="1:5" x14ac:dyDescent="0.3">
      <c r="A734" s="32">
        <v>733</v>
      </c>
      <c r="B734" s="32"/>
      <c r="C734" s="32" t="b">
        <f>_xlfn.XLOOKUP(Table61011121314[[#This Row],[Category No]],Table8[Category No],Table8[Chapter List],FALSE)</f>
        <v>0</v>
      </c>
      <c r="D734" s="34"/>
      <c r="E734" s="34"/>
    </row>
    <row r="735" spans="1:5" x14ac:dyDescent="0.3">
      <c r="A735" s="32">
        <v>734</v>
      </c>
      <c r="B735" s="32"/>
      <c r="C735" s="32" t="b">
        <f>_xlfn.XLOOKUP(Table61011121314[[#This Row],[Category No]],Table8[Category No],Table8[Chapter List],FALSE)</f>
        <v>0</v>
      </c>
      <c r="D735" s="34"/>
      <c r="E735" s="34"/>
    </row>
    <row r="736" spans="1:5" x14ac:dyDescent="0.3">
      <c r="A736" s="32">
        <v>735</v>
      </c>
      <c r="B736" s="32"/>
      <c r="C736" s="32" t="b">
        <f>_xlfn.XLOOKUP(Table61011121314[[#This Row],[Category No]],Table8[Category No],Table8[Chapter List],FALSE)</f>
        <v>0</v>
      </c>
      <c r="D736" s="34"/>
      <c r="E736" s="34"/>
    </row>
    <row r="737" spans="1:5" x14ac:dyDescent="0.3">
      <c r="A737" s="32">
        <v>736</v>
      </c>
      <c r="B737" s="32"/>
      <c r="C737" s="32" t="b">
        <f>_xlfn.XLOOKUP(Table61011121314[[#This Row],[Category No]],Table8[Category No],Table8[Chapter List],FALSE)</f>
        <v>0</v>
      </c>
      <c r="D737" s="34"/>
      <c r="E737" s="34"/>
    </row>
    <row r="738" spans="1:5" x14ac:dyDescent="0.3">
      <c r="A738" s="32">
        <v>737</v>
      </c>
      <c r="B738" s="32"/>
      <c r="C738" s="32" t="b">
        <f>_xlfn.XLOOKUP(Table61011121314[[#This Row],[Category No]],Table8[Category No],Table8[Chapter List],FALSE)</f>
        <v>0</v>
      </c>
      <c r="D738" s="34"/>
      <c r="E738" s="34"/>
    </row>
    <row r="739" spans="1:5" x14ac:dyDescent="0.3">
      <c r="A739" s="32">
        <v>738</v>
      </c>
      <c r="B739" s="32"/>
      <c r="C739" s="32" t="b">
        <f>_xlfn.XLOOKUP(Table61011121314[[#This Row],[Category No]],Table8[Category No],Table8[Chapter List],FALSE)</f>
        <v>0</v>
      </c>
      <c r="D739" s="34"/>
      <c r="E739" s="34"/>
    </row>
    <row r="740" spans="1:5" x14ac:dyDescent="0.3">
      <c r="A740" s="32">
        <v>739</v>
      </c>
      <c r="B740" s="32"/>
      <c r="C740" s="32" t="b">
        <f>_xlfn.XLOOKUP(Table61011121314[[#This Row],[Category No]],Table8[Category No],Table8[Chapter List],FALSE)</f>
        <v>0</v>
      </c>
      <c r="D740" s="34"/>
      <c r="E740" s="34"/>
    </row>
    <row r="741" spans="1:5" x14ac:dyDescent="0.3">
      <c r="A741" s="32">
        <v>740</v>
      </c>
      <c r="B741" s="32"/>
      <c r="C741" s="32" t="b">
        <f>_xlfn.XLOOKUP(Table61011121314[[#This Row],[Category No]],Table8[Category No],Table8[Chapter List],FALSE)</f>
        <v>0</v>
      </c>
      <c r="D741" s="34"/>
      <c r="E741" s="34"/>
    </row>
    <row r="742" spans="1:5" x14ac:dyDescent="0.3">
      <c r="A742" s="32">
        <v>741</v>
      </c>
      <c r="B742" s="32"/>
      <c r="C742" s="32" t="b">
        <f>_xlfn.XLOOKUP(Table61011121314[[#This Row],[Category No]],Table8[Category No],Table8[Chapter List],FALSE)</f>
        <v>0</v>
      </c>
      <c r="D742" s="34"/>
      <c r="E742" s="34"/>
    </row>
    <row r="743" spans="1:5" x14ac:dyDescent="0.3">
      <c r="A743" s="32">
        <v>742</v>
      </c>
      <c r="B743" s="32"/>
      <c r="C743" s="32" t="b">
        <f>_xlfn.XLOOKUP(Table61011121314[[#This Row],[Category No]],Table8[Category No],Table8[Chapter List],FALSE)</f>
        <v>0</v>
      </c>
      <c r="D743" s="34"/>
      <c r="E743" s="34"/>
    </row>
    <row r="744" spans="1:5" x14ac:dyDescent="0.3">
      <c r="A744" s="32">
        <v>743</v>
      </c>
      <c r="B744" s="32"/>
      <c r="C744" s="32" t="b">
        <f>_xlfn.XLOOKUP(Table61011121314[[#This Row],[Category No]],Table8[Category No],Table8[Chapter List],FALSE)</f>
        <v>0</v>
      </c>
      <c r="D744" s="34"/>
      <c r="E744" s="34"/>
    </row>
    <row r="745" spans="1:5" x14ac:dyDescent="0.3">
      <c r="A745" s="32">
        <v>744</v>
      </c>
      <c r="B745" s="32"/>
      <c r="C745" s="32" t="b">
        <f>_xlfn.XLOOKUP(Table61011121314[[#This Row],[Category No]],Table8[Category No],Table8[Chapter List],FALSE)</f>
        <v>0</v>
      </c>
      <c r="D745" s="34"/>
      <c r="E745" s="34"/>
    </row>
    <row r="746" spans="1:5" x14ac:dyDescent="0.3">
      <c r="A746" s="32">
        <v>745</v>
      </c>
      <c r="B746" s="32"/>
      <c r="C746" s="32" t="b">
        <f>_xlfn.XLOOKUP(Table61011121314[[#This Row],[Category No]],Table8[Category No],Table8[Chapter List],FALSE)</f>
        <v>0</v>
      </c>
      <c r="D746" s="34"/>
      <c r="E746" s="34"/>
    </row>
    <row r="747" spans="1:5" x14ac:dyDescent="0.3">
      <c r="A747" s="32">
        <v>746</v>
      </c>
      <c r="B747" s="32"/>
      <c r="C747" s="32" t="b">
        <f>_xlfn.XLOOKUP(Table61011121314[[#This Row],[Category No]],Table8[Category No],Table8[Chapter List],FALSE)</f>
        <v>0</v>
      </c>
      <c r="D747" s="34"/>
      <c r="E747" s="34"/>
    </row>
    <row r="748" spans="1:5" x14ac:dyDescent="0.3">
      <c r="A748" s="32">
        <v>747</v>
      </c>
      <c r="B748" s="32"/>
      <c r="C748" s="32" t="b">
        <f>_xlfn.XLOOKUP(Table61011121314[[#This Row],[Category No]],Table8[Category No],Table8[Chapter List],FALSE)</f>
        <v>0</v>
      </c>
      <c r="D748" s="34"/>
      <c r="E748" s="34"/>
    </row>
    <row r="749" spans="1:5" x14ac:dyDescent="0.3">
      <c r="A749" s="32">
        <v>748</v>
      </c>
      <c r="B749" s="32"/>
      <c r="C749" s="32" t="b">
        <f>_xlfn.XLOOKUP(Table61011121314[[#This Row],[Category No]],Table8[Category No],Table8[Chapter List],FALSE)</f>
        <v>0</v>
      </c>
      <c r="D749" s="34"/>
      <c r="E749" s="34"/>
    </row>
    <row r="750" spans="1:5" x14ac:dyDescent="0.3">
      <c r="A750" s="32">
        <v>749</v>
      </c>
      <c r="B750" s="32"/>
      <c r="C750" s="32" t="b">
        <f>_xlfn.XLOOKUP(Table61011121314[[#This Row],[Category No]],Table8[Category No],Table8[Chapter List],FALSE)</f>
        <v>0</v>
      </c>
      <c r="D750" s="34"/>
      <c r="E750" s="34"/>
    </row>
    <row r="751" spans="1:5" x14ac:dyDescent="0.3">
      <c r="A751" s="32">
        <v>750</v>
      </c>
      <c r="B751" s="32"/>
      <c r="C751" s="32" t="b">
        <f>_xlfn.XLOOKUP(Table61011121314[[#This Row],[Category No]],Table8[Category No],Table8[Chapter List],FALSE)</f>
        <v>0</v>
      </c>
      <c r="D751" s="34"/>
      <c r="E751" s="34"/>
    </row>
    <row r="752" spans="1:5" x14ac:dyDescent="0.3">
      <c r="A752" s="32">
        <v>751</v>
      </c>
      <c r="B752" s="32"/>
      <c r="C752" s="32" t="b">
        <f>_xlfn.XLOOKUP(Table61011121314[[#This Row],[Category No]],Table8[Category No],Table8[Chapter List],FALSE)</f>
        <v>0</v>
      </c>
      <c r="D752" s="34"/>
      <c r="E752" s="34"/>
    </row>
    <row r="753" spans="1:5" x14ac:dyDescent="0.3">
      <c r="A753" s="32">
        <v>752</v>
      </c>
      <c r="B753" s="32"/>
      <c r="C753" s="32" t="b">
        <f>_xlfn.XLOOKUP(Table61011121314[[#This Row],[Category No]],Table8[Category No],Table8[Chapter List],FALSE)</f>
        <v>0</v>
      </c>
      <c r="D753" s="34"/>
      <c r="E753" s="34"/>
    </row>
    <row r="754" spans="1:5" x14ac:dyDescent="0.3">
      <c r="A754" s="32">
        <v>753</v>
      </c>
      <c r="B754" s="32"/>
      <c r="C754" s="32" t="b">
        <f>_xlfn.XLOOKUP(Table61011121314[[#This Row],[Category No]],Table8[Category No],Table8[Chapter List],FALSE)</f>
        <v>0</v>
      </c>
      <c r="D754" s="34"/>
      <c r="E754" s="34"/>
    </row>
    <row r="755" spans="1:5" x14ac:dyDescent="0.3">
      <c r="A755" s="32">
        <v>754</v>
      </c>
      <c r="B755" s="32"/>
      <c r="C755" s="32" t="b">
        <f>_xlfn.XLOOKUP(Table61011121314[[#This Row],[Category No]],Table8[Category No],Table8[Chapter List],FALSE)</f>
        <v>0</v>
      </c>
      <c r="D755" s="34"/>
      <c r="E755" s="34"/>
    </row>
    <row r="756" spans="1:5" x14ac:dyDescent="0.3">
      <c r="A756" s="32">
        <v>755</v>
      </c>
      <c r="B756" s="32"/>
      <c r="C756" s="32" t="b">
        <f>_xlfn.XLOOKUP(Table61011121314[[#This Row],[Category No]],Table8[Category No],Table8[Chapter List],FALSE)</f>
        <v>0</v>
      </c>
      <c r="D756" s="34"/>
      <c r="E756" s="34"/>
    </row>
    <row r="757" spans="1:5" x14ac:dyDescent="0.3">
      <c r="A757" s="32">
        <v>756</v>
      </c>
      <c r="B757" s="32"/>
      <c r="C757" s="32" t="b">
        <f>_xlfn.XLOOKUP(Table61011121314[[#This Row],[Category No]],Table8[Category No],Table8[Chapter List],FALSE)</f>
        <v>0</v>
      </c>
      <c r="D757" s="34"/>
      <c r="E757" s="34"/>
    </row>
    <row r="758" spans="1:5" x14ac:dyDescent="0.3">
      <c r="A758" s="32">
        <v>757</v>
      </c>
      <c r="B758" s="32"/>
      <c r="C758" s="32" t="b">
        <f>_xlfn.XLOOKUP(Table61011121314[[#This Row],[Category No]],Table8[Category No],Table8[Chapter List],FALSE)</f>
        <v>0</v>
      </c>
      <c r="D758" s="34"/>
      <c r="E758" s="34"/>
    </row>
    <row r="759" spans="1:5" x14ac:dyDescent="0.3">
      <c r="A759" s="32">
        <v>758</v>
      </c>
      <c r="B759" s="32"/>
      <c r="C759" s="32" t="b">
        <f>_xlfn.XLOOKUP(Table61011121314[[#This Row],[Category No]],Table8[Category No],Table8[Chapter List],FALSE)</f>
        <v>0</v>
      </c>
      <c r="D759" s="34"/>
      <c r="E759" s="34"/>
    </row>
    <row r="760" spans="1:5" x14ac:dyDescent="0.3">
      <c r="A760" s="32">
        <v>759</v>
      </c>
      <c r="B760" s="32"/>
      <c r="C760" s="32" t="b">
        <f>_xlfn.XLOOKUP(Table61011121314[[#This Row],[Category No]],Table8[Category No],Table8[Chapter List],FALSE)</f>
        <v>0</v>
      </c>
      <c r="D760" s="34"/>
      <c r="E760" s="34"/>
    </row>
    <row r="761" spans="1:5" x14ac:dyDescent="0.3">
      <c r="A761" s="32">
        <v>760</v>
      </c>
      <c r="B761" s="32"/>
      <c r="C761" s="32" t="b">
        <f>_xlfn.XLOOKUP(Table61011121314[[#This Row],[Category No]],Table8[Category No],Table8[Chapter List],FALSE)</f>
        <v>0</v>
      </c>
      <c r="D761" s="34"/>
      <c r="E761" s="34"/>
    </row>
    <row r="762" spans="1:5" x14ac:dyDescent="0.3">
      <c r="A762" s="32">
        <v>761</v>
      </c>
      <c r="B762" s="32"/>
      <c r="C762" s="32" t="b">
        <f>_xlfn.XLOOKUP(Table61011121314[[#This Row],[Category No]],Table8[Category No],Table8[Chapter List],FALSE)</f>
        <v>0</v>
      </c>
      <c r="D762" s="34"/>
      <c r="E762" s="34"/>
    </row>
    <row r="763" spans="1:5" x14ac:dyDescent="0.3">
      <c r="A763" s="32">
        <v>762</v>
      </c>
      <c r="B763" s="32"/>
      <c r="C763" s="32" t="b">
        <f>_xlfn.XLOOKUP(Table61011121314[[#This Row],[Category No]],Table8[Category No],Table8[Chapter List],FALSE)</f>
        <v>0</v>
      </c>
      <c r="D763" s="34"/>
      <c r="E763" s="34"/>
    </row>
    <row r="764" spans="1:5" x14ac:dyDescent="0.3">
      <c r="A764" s="32">
        <v>763</v>
      </c>
      <c r="B764" s="32"/>
      <c r="C764" s="32" t="b">
        <f>_xlfn.XLOOKUP(Table61011121314[[#This Row],[Category No]],Table8[Category No],Table8[Chapter List],FALSE)</f>
        <v>0</v>
      </c>
      <c r="D764" s="34"/>
      <c r="E764" s="34"/>
    </row>
    <row r="765" spans="1:5" x14ac:dyDescent="0.3">
      <c r="A765" s="32">
        <v>764</v>
      </c>
      <c r="B765" s="32"/>
      <c r="C765" s="32" t="b">
        <f>_xlfn.XLOOKUP(Table61011121314[[#This Row],[Category No]],Table8[Category No],Table8[Chapter List],FALSE)</f>
        <v>0</v>
      </c>
      <c r="D765" s="34"/>
      <c r="E765" s="34"/>
    </row>
    <row r="766" spans="1:5" x14ac:dyDescent="0.3">
      <c r="A766" s="32">
        <v>765</v>
      </c>
      <c r="B766" s="32"/>
      <c r="C766" s="32" t="b">
        <f>_xlfn.XLOOKUP(Table61011121314[[#This Row],[Category No]],Table8[Category No],Table8[Chapter List],FALSE)</f>
        <v>0</v>
      </c>
      <c r="D766" s="34"/>
      <c r="E766" s="34"/>
    </row>
    <row r="767" spans="1:5" x14ac:dyDescent="0.3">
      <c r="A767" s="32">
        <v>766</v>
      </c>
      <c r="B767" s="32"/>
      <c r="C767" s="32" t="b">
        <f>_xlfn.XLOOKUP(Table61011121314[[#This Row],[Category No]],Table8[Category No],Table8[Chapter List],FALSE)</f>
        <v>0</v>
      </c>
      <c r="D767" s="34"/>
      <c r="E767" s="34"/>
    </row>
    <row r="768" spans="1:5" x14ac:dyDescent="0.3">
      <c r="A768" s="32">
        <v>767</v>
      </c>
      <c r="B768" s="32"/>
      <c r="C768" s="32" t="b">
        <f>_xlfn.XLOOKUP(Table61011121314[[#This Row],[Category No]],Table8[Category No],Table8[Chapter List],FALSE)</f>
        <v>0</v>
      </c>
      <c r="D768" s="34"/>
      <c r="E768" s="34"/>
    </row>
    <row r="769" spans="1:5" x14ac:dyDescent="0.3">
      <c r="A769" s="32">
        <v>768</v>
      </c>
      <c r="B769" s="32"/>
      <c r="C769" s="32" t="b">
        <f>_xlfn.XLOOKUP(Table61011121314[[#This Row],[Category No]],Table8[Category No],Table8[Chapter List],FALSE)</f>
        <v>0</v>
      </c>
      <c r="D769" s="34"/>
      <c r="E769" s="34"/>
    </row>
    <row r="770" spans="1:5" x14ac:dyDescent="0.3">
      <c r="A770" s="32">
        <v>769</v>
      </c>
      <c r="B770" s="32"/>
      <c r="C770" s="32" t="b">
        <f>_xlfn.XLOOKUP(Table61011121314[[#This Row],[Category No]],Table8[Category No],Table8[Chapter List],FALSE)</f>
        <v>0</v>
      </c>
      <c r="D770" s="34"/>
      <c r="E770" s="34"/>
    </row>
    <row r="771" spans="1:5" x14ac:dyDescent="0.3">
      <c r="A771" s="32">
        <v>770</v>
      </c>
      <c r="B771" s="32"/>
      <c r="C771" s="32" t="b">
        <f>_xlfn.XLOOKUP(Table61011121314[[#This Row],[Category No]],Table8[Category No],Table8[Chapter List],FALSE)</f>
        <v>0</v>
      </c>
      <c r="D771" s="34"/>
      <c r="E771" s="34"/>
    </row>
    <row r="772" spans="1:5" x14ac:dyDescent="0.3">
      <c r="A772" s="32">
        <v>771</v>
      </c>
      <c r="B772" s="32"/>
      <c r="C772" s="32" t="b">
        <f>_xlfn.XLOOKUP(Table61011121314[[#This Row],[Category No]],Table8[Category No],Table8[Chapter List],FALSE)</f>
        <v>0</v>
      </c>
      <c r="D772" s="34"/>
      <c r="E772" s="34"/>
    </row>
    <row r="773" spans="1:5" x14ac:dyDescent="0.3">
      <c r="A773" s="32">
        <v>772</v>
      </c>
      <c r="B773" s="32"/>
      <c r="C773" s="32" t="b">
        <f>_xlfn.XLOOKUP(Table61011121314[[#This Row],[Category No]],Table8[Category No],Table8[Chapter List],FALSE)</f>
        <v>0</v>
      </c>
      <c r="D773" s="34"/>
      <c r="E773" s="34"/>
    </row>
    <row r="774" spans="1:5" x14ac:dyDescent="0.3">
      <c r="A774" s="32">
        <v>773</v>
      </c>
      <c r="B774" s="32"/>
      <c r="C774" s="32" t="b">
        <f>_xlfn.XLOOKUP(Table61011121314[[#This Row],[Category No]],Table8[Category No],Table8[Chapter List],FALSE)</f>
        <v>0</v>
      </c>
      <c r="D774" s="34"/>
      <c r="E774" s="34"/>
    </row>
    <row r="775" spans="1:5" x14ac:dyDescent="0.3">
      <c r="A775" s="32">
        <v>774</v>
      </c>
      <c r="B775" s="32"/>
      <c r="C775" s="32" t="b">
        <f>_xlfn.XLOOKUP(Table61011121314[[#This Row],[Category No]],Table8[Category No],Table8[Chapter List],FALSE)</f>
        <v>0</v>
      </c>
      <c r="D775" s="34"/>
      <c r="E775" s="34"/>
    </row>
    <row r="776" spans="1:5" x14ac:dyDescent="0.3">
      <c r="A776" s="32">
        <v>775</v>
      </c>
      <c r="B776" s="32"/>
      <c r="C776" s="32" t="b">
        <f>_xlfn.XLOOKUP(Table61011121314[[#This Row],[Category No]],Table8[Category No],Table8[Chapter List],FALSE)</f>
        <v>0</v>
      </c>
      <c r="D776" s="34"/>
      <c r="E776" s="34"/>
    </row>
    <row r="777" spans="1:5" x14ac:dyDescent="0.3">
      <c r="A777" s="32">
        <v>776</v>
      </c>
      <c r="B777" s="32"/>
      <c r="C777" s="32" t="b">
        <f>_xlfn.XLOOKUP(Table61011121314[[#This Row],[Category No]],Table8[Category No],Table8[Chapter List],FALSE)</f>
        <v>0</v>
      </c>
      <c r="D777" s="34"/>
      <c r="E777" s="34"/>
    </row>
    <row r="778" spans="1:5" x14ac:dyDescent="0.3">
      <c r="A778" s="32">
        <v>777</v>
      </c>
      <c r="B778" s="32"/>
      <c r="C778" s="32" t="b">
        <f>_xlfn.XLOOKUP(Table61011121314[[#This Row],[Category No]],Table8[Category No],Table8[Chapter List],FALSE)</f>
        <v>0</v>
      </c>
      <c r="D778" s="34"/>
      <c r="E778" s="34"/>
    </row>
    <row r="779" spans="1:5" x14ac:dyDescent="0.3">
      <c r="A779" s="32">
        <v>778</v>
      </c>
      <c r="B779" s="32"/>
      <c r="C779" s="32" t="b">
        <f>_xlfn.XLOOKUP(Table61011121314[[#This Row],[Category No]],Table8[Category No],Table8[Chapter List],FALSE)</f>
        <v>0</v>
      </c>
      <c r="D779" s="34"/>
      <c r="E779" s="34"/>
    </row>
    <row r="780" spans="1:5" x14ac:dyDescent="0.3">
      <c r="A780" s="32">
        <v>779</v>
      </c>
      <c r="B780" s="32"/>
      <c r="C780" s="32" t="b">
        <f>_xlfn.XLOOKUP(Table61011121314[[#This Row],[Category No]],Table8[Category No],Table8[Chapter List],FALSE)</f>
        <v>0</v>
      </c>
      <c r="D780" s="34"/>
      <c r="E780" s="34"/>
    </row>
    <row r="781" spans="1:5" x14ac:dyDescent="0.3">
      <c r="A781" s="32">
        <v>780</v>
      </c>
      <c r="B781" s="32"/>
      <c r="C781" s="32" t="b">
        <f>_xlfn.XLOOKUP(Table61011121314[[#This Row],[Category No]],Table8[Category No],Table8[Chapter List],FALSE)</f>
        <v>0</v>
      </c>
      <c r="D781" s="34"/>
      <c r="E781" s="34"/>
    </row>
    <row r="782" spans="1:5" x14ac:dyDescent="0.3">
      <c r="A782" s="32">
        <v>781</v>
      </c>
      <c r="B782" s="32"/>
      <c r="C782" s="32" t="b">
        <f>_xlfn.XLOOKUP(Table61011121314[[#This Row],[Category No]],Table8[Category No],Table8[Chapter List],FALSE)</f>
        <v>0</v>
      </c>
      <c r="D782" s="34"/>
      <c r="E782" s="34"/>
    </row>
    <row r="783" spans="1:5" x14ac:dyDescent="0.3">
      <c r="A783" s="32">
        <v>782</v>
      </c>
      <c r="B783" s="32"/>
      <c r="C783" s="32" t="b">
        <f>_xlfn.XLOOKUP(Table61011121314[[#This Row],[Category No]],Table8[Category No],Table8[Chapter List],FALSE)</f>
        <v>0</v>
      </c>
      <c r="D783" s="34"/>
      <c r="E783" s="34"/>
    </row>
    <row r="784" spans="1:5" x14ac:dyDescent="0.3">
      <c r="A784" s="32">
        <v>783</v>
      </c>
      <c r="B784" s="32"/>
      <c r="C784" s="32" t="b">
        <f>_xlfn.XLOOKUP(Table61011121314[[#This Row],[Category No]],Table8[Category No],Table8[Chapter List],FALSE)</f>
        <v>0</v>
      </c>
      <c r="D784" s="34"/>
      <c r="E784" s="34"/>
    </row>
    <row r="785" spans="1:5" x14ac:dyDescent="0.3">
      <c r="A785" s="32">
        <v>784</v>
      </c>
      <c r="B785" s="32"/>
      <c r="C785" s="32" t="b">
        <f>_xlfn.XLOOKUP(Table61011121314[[#This Row],[Category No]],Table8[Category No],Table8[Chapter List],FALSE)</f>
        <v>0</v>
      </c>
      <c r="D785" s="34"/>
      <c r="E785" s="34"/>
    </row>
    <row r="786" spans="1:5" x14ac:dyDescent="0.3">
      <c r="A786" s="32">
        <v>785</v>
      </c>
      <c r="B786" s="32"/>
      <c r="C786" s="32" t="b">
        <f>_xlfn.XLOOKUP(Table61011121314[[#This Row],[Category No]],Table8[Category No],Table8[Chapter List],FALSE)</f>
        <v>0</v>
      </c>
      <c r="D786" s="34"/>
      <c r="E786" s="34"/>
    </row>
    <row r="787" spans="1:5" x14ac:dyDescent="0.3">
      <c r="A787" s="32">
        <v>786</v>
      </c>
      <c r="B787" s="32"/>
      <c r="C787" s="32" t="b">
        <f>_xlfn.XLOOKUP(Table61011121314[[#This Row],[Category No]],Table8[Category No],Table8[Chapter List],FALSE)</f>
        <v>0</v>
      </c>
      <c r="D787" s="34"/>
      <c r="E787" s="34"/>
    </row>
    <row r="788" spans="1:5" x14ac:dyDescent="0.3">
      <c r="A788" s="32">
        <v>787</v>
      </c>
      <c r="B788" s="32"/>
      <c r="C788" s="32" t="b">
        <f>_xlfn.XLOOKUP(Table61011121314[[#This Row],[Category No]],Table8[Category No],Table8[Chapter List],FALSE)</f>
        <v>0</v>
      </c>
      <c r="D788" s="34"/>
      <c r="E788" s="34"/>
    </row>
    <row r="789" spans="1:5" x14ac:dyDescent="0.3">
      <c r="A789" s="32">
        <v>788</v>
      </c>
      <c r="B789" s="32"/>
      <c r="C789" s="32" t="b">
        <f>_xlfn.XLOOKUP(Table61011121314[[#This Row],[Category No]],Table8[Category No],Table8[Chapter List],FALSE)</f>
        <v>0</v>
      </c>
      <c r="D789" s="34"/>
      <c r="E789" s="34"/>
    </row>
    <row r="790" spans="1:5" x14ac:dyDescent="0.3">
      <c r="A790" s="32">
        <v>789</v>
      </c>
      <c r="B790" s="32"/>
      <c r="C790" s="32" t="b">
        <f>_xlfn.XLOOKUP(Table61011121314[[#This Row],[Category No]],Table8[Category No],Table8[Chapter List],FALSE)</f>
        <v>0</v>
      </c>
      <c r="D790" s="34"/>
      <c r="E790" s="34"/>
    </row>
    <row r="791" spans="1:5" x14ac:dyDescent="0.3">
      <c r="A791" s="32">
        <v>790</v>
      </c>
      <c r="B791" s="32"/>
      <c r="C791" s="32" t="b">
        <f>_xlfn.XLOOKUP(Table61011121314[[#This Row],[Category No]],Table8[Category No],Table8[Chapter List],FALSE)</f>
        <v>0</v>
      </c>
      <c r="D791" s="34"/>
      <c r="E791" s="34"/>
    </row>
    <row r="792" spans="1:5" x14ac:dyDescent="0.3">
      <c r="A792" s="32">
        <v>791</v>
      </c>
      <c r="B792" s="32"/>
      <c r="C792" s="32" t="b">
        <f>_xlfn.XLOOKUP(Table61011121314[[#This Row],[Category No]],Table8[Category No],Table8[Chapter List],FALSE)</f>
        <v>0</v>
      </c>
      <c r="D792" s="34"/>
      <c r="E792" s="34"/>
    </row>
    <row r="793" spans="1:5" x14ac:dyDescent="0.3">
      <c r="A793" s="32">
        <v>792</v>
      </c>
      <c r="B793" s="32"/>
      <c r="C793" s="32" t="b">
        <f>_xlfn.XLOOKUP(Table61011121314[[#This Row],[Category No]],Table8[Category No],Table8[Chapter List],FALSE)</f>
        <v>0</v>
      </c>
      <c r="D793" s="34"/>
      <c r="E793" s="34"/>
    </row>
    <row r="794" spans="1:5" x14ac:dyDescent="0.3">
      <c r="A794" s="32">
        <v>793</v>
      </c>
      <c r="B794" s="32"/>
      <c r="C794" s="32" t="b">
        <f>_xlfn.XLOOKUP(Table61011121314[[#This Row],[Category No]],Table8[Category No],Table8[Chapter List],FALSE)</f>
        <v>0</v>
      </c>
      <c r="D794" s="34"/>
      <c r="E794" s="34"/>
    </row>
    <row r="795" spans="1:5" x14ac:dyDescent="0.3">
      <c r="A795" s="32">
        <v>794</v>
      </c>
      <c r="B795" s="32"/>
      <c r="C795" s="32" t="b">
        <f>_xlfn.XLOOKUP(Table61011121314[[#This Row],[Category No]],Table8[Category No],Table8[Chapter List],FALSE)</f>
        <v>0</v>
      </c>
      <c r="D795" s="34"/>
      <c r="E795" s="34"/>
    </row>
    <row r="796" spans="1:5" x14ac:dyDescent="0.3">
      <c r="A796" s="32">
        <v>795</v>
      </c>
      <c r="B796" s="32"/>
      <c r="C796" s="32" t="b">
        <f>_xlfn.XLOOKUP(Table61011121314[[#This Row],[Category No]],Table8[Category No],Table8[Chapter List],FALSE)</f>
        <v>0</v>
      </c>
      <c r="D796" s="34"/>
      <c r="E796" s="34"/>
    </row>
    <row r="797" spans="1:5" x14ac:dyDescent="0.3">
      <c r="A797" s="32">
        <v>796</v>
      </c>
      <c r="B797" s="32"/>
      <c r="C797" s="32" t="b">
        <f>_xlfn.XLOOKUP(Table61011121314[[#This Row],[Category No]],Table8[Category No],Table8[Chapter List],FALSE)</f>
        <v>0</v>
      </c>
      <c r="D797" s="34"/>
      <c r="E797" s="34"/>
    </row>
    <row r="798" spans="1:5" x14ac:dyDescent="0.3">
      <c r="A798" s="32">
        <v>797</v>
      </c>
      <c r="B798" s="32"/>
      <c r="C798" s="32" t="b">
        <f>_xlfn.XLOOKUP(Table61011121314[[#This Row],[Category No]],Table8[Category No],Table8[Chapter List],FALSE)</f>
        <v>0</v>
      </c>
      <c r="D798" s="34"/>
      <c r="E798" s="34"/>
    </row>
    <row r="799" spans="1:5" x14ac:dyDescent="0.3">
      <c r="A799" s="32">
        <v>798</v>
      </c>
      <c r="B799" s="32"/>
      <c r="C799" s="32" t="b">
        <f>_xlfn.XLOOKUP(Table61011121314[[#This Row],[Category No]],Table8[Category No],Table8[Chapter List],FALSE)</f>
        <v>0</v>
      </c>
      <c r="D799" s="34"/>
      <c r="E799" s="34"/>
    </row>
    <row r="800" spans="1:5" x14ac:dyDescent="0.3">
      <c r="A800" s="32">
        <v>799</v>
      </c>
      <c r="B800" s="32"/>
      <c r="C800" s="32" t="b">
        <f>_xlfn.XLOOKUP(Table61011121314[[#This Row],[Category No]],Table8[Category No],Table8[Chapter List],FALSE)</f>
        <v>0</v>
      </c>
      <c r="D800" s="34"/>
      <c r="E800" s="34"/>
    </row>
    <row r="801" spans="1:5" x14ac:dyDescent="0.3">
      <c r="A801" s="32">
        <v>800</v>
      </c>
      <c r="B801" s="32"/>
      <c r="C801" s="32" t="b">
        <f>_xlfn.XLOOKUP(Table61011121314[[#This Row],[Category No]],Table8[Category No],Table8[Chapter List],FALSE)</f>
        <v>0</v>
      </c>
      <c r="D801" s="34"/>
      <c r="E801" s="34"/>
    </row>
    <row r="802" spans="1:5" x14ac:dyDescent="0.3">
      <c r="A802" s="32">
        <v>801</v>
      </c>
      <c r="B802" s="32"/>
      <c r="C802" s="32" t="b">
        <f>_xlfn.XLOOKUP(Table61011121314[[#This Row],[Category No]],Table8[Category No],Table8[Chapter List],FALSE)</f>
        <v>0</v>
      </c>
      <c r="D802" s="34"/>
      <c r="E802" s="34"/>
    </row>
    <row r="803" spans="1:5" x14ac:dyDescent="0.3">
      <c r="A803" s="32">
        <v>802</v>
      </c>
      <c r="B803" s="32"/>
      <c r="C803" s="32" t="b">
        <f>_xlfn.XLOOKUP(Table61011121314[[#This Row],[Category No]],Table8[Category No],Table8[Chapter List],FALSE)</f>
        <v>0</v>
      </c>
      <c r="D803" s="34"/>
      <c r="E803" s="34"/>
    </row>
    <row r="804" spans="1:5" x14ac:dyDescent="0.3">
      <c r="A804" s="32">
        <v>803</v>
      </c>
      <c r="B804" s="32"/>
      <c r="C804" s="32" t="b">
        <f>_xlfn.XLOOKUP(Table61011121314[[#This Row],[Category No]],Table8[Category No],Table8[Chapter List],FALSE)</f>
        <v>0</v>
      </c>
      <c r="D804" s="34"/>
      <c r="E804" s="34"/>
    </row>
    <row r="805" spans="1:5" x14ac:dyDescent="0.3">
      <c r="A805" s="32">
        <v>804</v>
      </c>
      <c r="B805" s="32"/>
      <c r="C805" s="32" t="b">
        <f>_xlfn.XLOOKUP(Table61011121314[[#This Row],[Category No]],Table8[Category No],Table8[Chapter List],FALSE)</f>
        <v>0</v>
      </c>
      <c r="D805" s="34"/>
      <c r="E805" s="34"/>
    </row>
    <row r="806" spans="1:5" x14ac:dyDescent="0.3">
      <c r="A806" s="32">
        <v>805</v>
      </c>
      <c r="B806" s="32"/>
      <c r="C806" s="32" t="b">
        <f>_xlfn.XLOOKUP(Table61011121314[[#This Row],[Category No]],Table8[Category No],Table8[Chapter List],FALSE)</f>
        <v>0</v>
      </c>
      <c r="D806" s="34"/>
      <c r="E806" s="34"/>
    </row>
    <row r="807" spans="1:5" x14ac:dyDescent="0.3">
      <c r="A807" s="32">
        <v>806</v>
      </c>
      <c r="B807" s="32"/>
      <c r="C807" s="32" t="b">
        <f>_xlfn.XLOOKUP(Table61011121314[[#This Row],[Category No]],Table8[Category No],Table8[Chapter List],FALSE)</f>
        <v>0</v>
      </c>
      <c r="D807" s="34"/>
      <c r="E807" s="34"/>
    </row>
    <row r="808" spans="1:5" x14ac:dyDescent="0.3">
      <c r="A808" s="32">
        <v>807</v>
      </c>
      <c r="B808" s="32"/>
      <c r="C808" s="32" t="b">
        <f>_xlfn.XLOOKUP(Table61011121314[[#This Row],[Category No]],Table8[Category No],Table8[Chapter List],FALSE)</f>
        <v>0</v>
      </c>
      <c r="D808" s="34"/>
      <c r="E808" s="34"/>
    </row>
    <row r="809" spans="1:5" x14ac:dyDescent="0.3">
      <c r="A809" s="32">
        <v>808</v>
      </c>
      <c r="B809" s="32"/>
      <c r="C809" s="32" t="b">
        <f>_xlfn.XLOOKUP(Table61011121314[[#This Row],[Category No]],Table8[Category No],Table8[Chapter List],FALSE)</f>
        <v>0</v>
      </c>
      <c r="D809" s="34"/>
      <c r="E809" s="34"/>
    </row>
    <row r="810" spans="1:5" x14ac:dyDescent="0.3">
      <c r="A810" s="32">
        <v>809</v>
      </c>
      <c r="B810" s="32"/>
      <c r="C810" s="32" t="b">
        <f>_xlfn.XLOOKUP(Table61011121314[[#This Row],[Category No]],Table8[Category No],Table8[Chapter List],FALSE)</f>
        <v>0</v>
      </c>
      <c r="D810" s="34"/>
      <c r="E810" s="34"/>
    </row>
    <row r="811" spans="1:5" x14ac:dyDescent="0.3">
      <c r="A811" s="32">
        <v>810</v>
      </c>
      <c r="B811" s="32"/>
      <c r="C811" s="32" t="b">
        <f>_xlfn.XLOOKUP(Table61011121314[[#This Row],[Category No]],Table8[Category No],Table8[Chapter List],FALSE)</f>
        <v>0</v>
      </c>
      <c r="D811" s="34"/>
      <c r="E811" s="34"/>
    </row>
    <row r="812" spans="1:5" x14ac:dyDescent="0.3">
      <c r="A812" s="32">
        <v>811</v>
      </c>
      <c r="B812" s="32"/>
      <c r="C812" s="32" t="b">
        <f>_xlfn.XLOOKUP(Table61011121314[[#This Row],[Category No]],Table8[Category No],Table8[Chapter List],FALSE)</f>
        <v>0</v>
      </c>
      <c r="D812" s="34"/>
      <c r="E812" s="34"/>
    </row>
    <row r="813" spans="1:5" x14ac:dyDescent="0.3">
      <c r="A813" s="32">
        <v>812</v>
      </c>
      <c r="B813" s="32"/>
      <c r="C813" s="32" t="b">
        <f>_xlfn.XLOOKUP(Table61011121314[[#This Row],[Category No]],Table8[Category No],Table8[Chapter List],FALSE)</f>
        <v>0</v>
      </c>
      <c r="D813" s="34"/>
      <c r="E813" s="34"/>
    </row>
    <row r="814" spans="1:5" x14ac:dyDescent="0.3">
      <c r="A814" s="32">
        <v>813</v>
      </c>
      <c r="B814" s="32"/>
      <c r="C814" s="32" t="b">
        <f>_xlfn.XLOOKUP(Table61011121314[[#This Row],[Category No]],Table8[Category No],Table8[Chapter List],FALSE)</f>
        <v>0</v>
      </c>
      <c r="D814" s="34"/>
      <c r="E814" s="34"/>
    </row>
    <row r="815" spans="1:5" x14ac:dyDescent="0.3">
      <c r="A815" s="32">
        <v>814</v>
      </c>
      <c r="B815" s="32"/>
      <c r="C815" s="32" t="b">
        <f>_xlfn.XLOOKUP(Table61011121314[[#This Row],[Category No]],Table8[Category No],Table8[Chapter List],FALSE)</f>
        <v>0</v>
      </c>
      <c r="D815" s="34"/>
      <c r="E815" s="34"/>
    </row>
    <row r="816" spans="1:5" x14ac:dyDescent="0.3">
      <c r="A816" s="32">
        <v>815</v>
      </c>
      <c r="B816" s="32"/>
      <c r="C816" s="32" t="b">
        <f>_xlfn.XLOOKUP(Table61011121314[[#This Row],[Category No]],Table8[Category No],Table8[Chapter List],FALSE)</f>
        <v>0</v>
      </c>
      <c r="D816" s="34"/>
      <c r="E816" s="34"/>
    </row>
    <row r="817" spans="1:5" x14ac:dyDescent="0.3">
      <c r="A817" s="32">
        <v>816</v>
      </c>
      <c r="B817" s="32"/>
      <c r="C817" s="32" t="b">
        <f>_xlfn.XLOOKUP(Table61011121314[[#This Row],[Category No]],Table8[Category No],Table8[Chapter List],FALSE)</f>
        <v>0</v>
      </c>
      <c r="D817" s="34"/>
      <c r="E817" s="34"/>
    </row>
    <row r="818" spans="1:5" x14ac:dyDescent="0.3">
      <c r="A818" s="32">
        <v>817</v>
      </c>
      <c r="B818" s="32"/>
      <c r="C818" s="32" t="b">
        <f>_xlfn.XLOOKUP(Table61011121314[[#This Row],[Category No]],Table8[Category No],Table8[Chapter List],FALSE)</f>
        <v>0</v>
      </c>
      <c r="D818" s="34"/>
      <c r="E818" s="34"/>
    </row>
    <row r="819" spans="1:5" x14ac:dyDescent="0.3">
      <c r="A819" s="32">
        <v>818</v>
      </c>
      <c r="B819" s="32"/>
      <c r="C819" s="32" t="b">
        <f>_xlfn.XLOOKUP(Table61011121314[[#This Row],[Category No]],Table8[Category No],Table8[Chapter List],FALSE)</f>
        <v>0</v>
      </c>
      <c r="D819" s="34"/>
      <c r="E819" s="34"/>
    </row>
    <row r="820" spans="1:5" x14ac:dyDescent="0.3">
      <c r="A820" s="32">
        <v>819</v>
      </c>
      <c r="B820" s="32"/>
      <c r="C820" s="32" t="b">
        <f>_xlfn.XLOOKUP(Table61011121314[[#This Row],[Category No]],Table8[Category No],Table8[Chapter List],FALSE)</f>
        <v>0</v>
      </c>
      <c r="D820" s="34"/>
      <c r="E820" s="34"/>
    </row>
    <row r="821" spans="1:5" x14ac:dyDescent="0.3">
      <c r="A821" s="32">
        <v>820</v>
      </c>
      <c r="B821" s="32"/>
      <c r="C821" s="32" t="b">
        <f>_xlfn.XLOOKUP(Table61011121314[[#This Row],[Category No]],Table8[Category No],Table8[Chapter List],FALSE)</f>
        <v>0</v>
      </c>
      <c r="D821" s="34"/>
      <c r="E821" s="34"/>
    </row>
    <row r="822" spans="1:5" x14ac:dyDescent="0.3">
      <c r="A822" s="32">
        <v>821</v>
      </c>
      <c r="B822" s="32"/>
      <c r="C822" s="32" t="b">
        <f>_xlfn.XLOOKUP(Table61011121314[[#This Row],[Category No]],Table8[Category No],Table8[Chapter List],FALSE)</f>
        <v>0</v>
      </c>
      <c r="D822" s="34"/>
      <c r="E822" s="34"/>
    </row>
    <row r="823" spans="1:5" x14ac:dyDescent="0.3">
      <c r="A823" s="32">
        <v>822</v>
      </c>
      <c r="B823" s="32"/>
      <c r="C823" s="32" t="b">
        <f>_xlfn.XLOOKUP(Table61011121314[[#This Row],[Category No]],Table8[Category No],Table8[Chapter List],FALSE)</f>
        <v>0</v>
      </c>
      <c r="D823" s="34"/>
      <c r="E823" s="34"/>
    </row>
    <row r="824" spans="1:5" x14ac:dyDescent="0.3">
      <c r="A824" s="32">
        <v>823</v>
      </c>
      <c r="B824" s="32"/>
      <c r="C824" s="32" t="b">
        <f>_xlfn.XLOOKUP(Table61011121314[[#This Row],[Category No]],Table8[Category No],Table8[Chapter List],FALSE)</f>
        <v>0</v>
      </c>
      <c r="D824" s="34"/>
      <c r="E824" s="34"/>
    </row>
    <row r="825" spans="1:5" x14ac:dyDescent="0.3">
      <c r="A825" s="32">
        <v>824</v>
      </c>
      <c r="B825" s="32"/>
      <c r="C825" s="32" t="b">
        <f>_xlfn.XLOOKUP(Table61011121314[[#This Row],[Category No]],Table8[Category No],Table8[Chapter List],FALSE)</f>
        <v>0</v>
      </c>
      <c r="D825" s="34"/>
      <c r="E825" s="34"/>
    </row>
    <row r="826" spans="1:5" x14ac:dyDescent="0.3">
      <c r="A826" s="32">
        <v>825</v>
      </c>
      <c r="B826" s="32"/>
      <c r="C826" s="32" t="b">
        <f>_xlfn.XLOOKUP(Table61011121314[[#This Row],[Category No]],Table8[Category No],Table8[Chapter List],FALSE)</f>
        <v>0</v>
      </c>
      <c r="D826" s="34"/>
      <c r="E826" s="34"/>
    </row>
    <row r="827" spans="1:5" x14ac:dyDescent="0.3">
      <c r="A827" s="32">
        <v>826</v>
      </c>
      <c r="B827" s="32"/>
      <c r="C827" s="32" t="b">
        <f>_xlfn.XLOOKUP(Table61011121314[[#This Row],[Category No]],Table8[Category No],Table8[Chapter List],FALSE)</f>
        <v>0</v>
      </c>
      <c r="D827" s="34"/>
      <c r="E827" s="34"/>
    </row>
    <row r="828" spans="1:5" x14ac:dyDescent="0.3">
      <c r="A828" s="32">
        <v>827</v>
      </c>
      <c r="B828" s="32"/>
      <c r="C828" s="32" t="b">
        <f>_xlfn.XLOOKUP(Table61011121314[[#This Row],[Category No]],Table8[Category No],Table8[Chapter List],FALSE)</f>
        <v>0</v>
      </c>
      <c r="D828" s="34"/>
      <c r="E828" s="34"/>
    </row>
    <row r="829" spans="1:5" x14ac:dyDescent="0.3">
      <c r="A829" s="32">
        <v>828</v>
      </c>
      <c r="B829" s="32"/>
      <c r="C829" s="32" t="b">
        <f>_xlfn.XLOOKUP(Table61011121314[[#This Row],[Category No]],Table8[Category No],Table8[Chapter List],FALSE)</f>
        <v>0</v>
      </c>
      <c r="D829" s="34"/>
      <c r="E829" s="34"/>
    </row>
    <row r="830" spans="1:5" x14ac:dyDescent="0.3">
      <c r="A830" s="32">
        <v>829</v>
      </c>
      <c r="B830" s="32"/>
      <c r="C830" s="32" t="b">
        <f>_xlfn.XLOOKUP(Table61011121314[[#This Row],[Category No]],Table8[Category No],Table8[Chapter List],FALSE)</f>
        <v>0</v>
      </c>
      <c r="D830" s="34"/>
      <c r="E830" s="34"/>
    </row>
    <row r="831" spans="1:5" x14ac:dyDescent="0.3">
      <c r="A831" s="32">
        <v>830</v>
      </c>
      <c r="B831" s="32"/>
      <c r="C831" s="32" t="b">
        <f>_xlfn.XLOOKUP(Table61011121314[[#This Row],[Category No]],Table8[Category No],Table8[Chapter List],FALSE)</f>
        <v>0</v>
      </c>
      <c r="D831" s="34"/>
      <c r="E831" s="34"/>
    </row>
    <row r="832" spans="1:5" x14ac:dyDescent="0.3">
      <c r="A832" s="32">
        <v>831</v>
      </c>
      <c r="B832" s="32"/>
      <c r="C832" s="32" t="b">
        <f>_xlfn.XLOOKUP(Table61011121314[[#This Row],[Category No]],Table8[Category No],Table8[Chapter List],FALSE)</f>
        <v>0</v>
      </c>
      <c r="D832" s="34"/>
      <c r="E832" s="34"/>
    </row>
    <row r="833" spans="1:5" x14ac:dyDescent="0.3">
      <c r="A833" s="32">
        <v>832</v>
      </c>
      <c r="B833" s="32"/>
      <c r="C833" s="32" t="b">
        <f>_xlfn.XLOOKUP(Table61011121314[[#This Row],[Category No]],Table8[Category No],Table8[Chapter List],FALSE)</f>
        <v>0</v>
      </c>
      <c r="D833" s="34"/>
      <c r="E833" s="34"/>
    </row>
    <row r="834" spans="1:5" x14ac:dyDescent="0.3">
      <c r="A834" s="32">
        <v>833</v>
      </c>
      <c r="B834" s="32"/>
      <c r="C834" s="32" t="b">
        <f>_xlfn.XLOOKUP(Table61011121314[[#This Row],[Category No]],Table8[Category No],Table8[Chapter List],FALSE)</f>
        <v>0</v>
      </c>
      <c r="D834" s="34"/>
      <c r="E834" s="34"/>
    </row>
    <row r="835" spans="1:5" x14ac:dyDescent="0.3">
      <c r="A835" s="32">
        <v>834</v>
      </c>
      <c r="B835" s="32"/>
      <c r="C835" s="32" t="b">
        <f>_xlfn.XLOOKUP(Table61011121314[[#This Row],[Category No]],Table8[Category No],Table8[Chapter List],FALSE)</f>
        <v>0</v>
      </c>
      <c r="D835" s="34"/>
      <c r="E835" s="34"/>
    </row>
    <row r="836" spans="1:5" x14ac:dyDescent="0.3">
      <c r="A836" s="32">
        <v>835</v>
      </c>
      <c r="B836" s="32"/>
      <c r="C836" s="32" t="b">
        <f>_xlfn.XLOOKUP(Table61011121314[[#This Row],[Category No]],Table8[Category No],Table8[Chapter List],FALSE)</f>
        <v>0</v>
      </c>
      <c r="D836" s="34"/>
      <c r="E836" s="34"/>
    </row>
    <row r="837" spans="1:5" x14ac:dyDescent="0.3">
      <c r="A837" s="32">
        <v>836</v>
      </c>
      <c r="B837" s="32"/>
      <c r="C837" s="32" t="b">
        <f>_xlfn.XLOOKUP(Table61011121314[[#This Row],[Category No]],Table8[Category No],Table8[Chapter List],FALSE)</f>
        <v>0</v>
      </c>
      <c r="D837" s="34"/>
      <c r="E837" s="34"/>
    </row>
    <row r="838" spans="1:5" x14ac:dyDescent="0.3">
      <c r="A838" s="32">
        <v>837</v>
      </c>
      <c r="B838" s="32"/>
      <c r="C838" s="32" t="b">
        <f>_xlfn.XLOOKUP(Table61011121314[[#This Row],[Category No]],Table8[Category No],Table8[Chapter List],FALSE)</f>
        <v>0</v>
      </c>
      <c r="D838" s="34"/>
      <c r="E838" s="34"/>
    </row>
    <row r="839" spans="1:5" x14ac:dyDescent="0.3">
      <c r="A839" s="32">
        <v>838</v>
      </c>
      <c r="B839" s="32"/>
      <c r="C839" s="32" t="b">
        <f>_xlfn.XLOOKUP(Table61011121314[[#This Row],[Category No]],Table8[Category No],Table8[Chapter List],FALSE)</f>
        <v>0</v>
      </c>
      <c r="D839" s="34"/>
      <c r="E839" s="34"/>
    </row>
    <row r="840" spans="1:5" x14ac:dyDescent="0.3">
      <c r="A840" s="32">
        <v>839</v>
      </c>
      <c r="B840" s="32"/>
      <c r="C840" s="32" t="b">
        <f>_xlfn.XLOOKUP(Table61011121314[[#This Row],[Category No]],Table8[Category No],Table8[Chapter List],FALSE)</f>
        <v>0</v>
      </c>
      <c r="D840" s="34"/>
      <c r="E840" s="34"/>
    </row>
    <row r="841" spans="1:5" x14ac:dyDescent="0.3">
      <c r="A841" s="32">
        <v>840</v>
      </c>
      <c r="B841" s="32"/>
      <c r="C841" s="32" t="b">
        <f>_xlfn.XLOOKUP(Table61011121314[[#This Row],[Category No]],Table8[Category No],Table8[Chapter List],FALSE)</f>
        <v>0</v>
      </c>
      <c r="D841" s="34"/>
      <c r="E841" s="34"/>
    </row>
    <row r="842" spans="1:5" x14ac:dyDescent="0.3">
      <c r="A842" s="32">
        <v>841</v>
      </c>
      <c r="B842" s="32"/>
      <c r="C842" s="32" t="b">
        <f>_xlfn.XLOOKUP(Table61011121314[[#This Row],[Category No]],Table8[Category No],Table8[Chapter List],FALSE)</f>
        <v>0</v>
      </c>
      <c r="D842" s="34"/>
      <c r="E842" s="34"/>
    </row>
    <row r="843" spans="1:5" x14ac:dyDescent="0.3">
      <c r="A843" s="32">
        <v>842</v>
      </c>
      <c r="B843" s="32"/>
      <c r="C843" s="32" t="b">
        <f>_xlfn.XLOOKUP(Table61011121314[[#This Row],[Category No]],Table8[Category No],Table8[Chapter List],FALSE)</f>
        <v>0</v>
      </c>
      <c r="D843" s="34"/>
      <c r="E843" s="34"/>
    </row>
    <row r="844" spans="1:5" x14ac:dyDescent="0.3">
      <c r="A844" s="32">
        <v>843</v>
      </c>
      <c r="B844" s="32"/>
      <c r="C844" s="32" t="b">
        <f>_xlfn.XLOOKUP(Table61011121314[[#This Row],[Category No]],Table8[Category No],Table8[Chapter List],FALSE)</f>
        <v>0</v>
      </c>
      <c r="D844" s="34"/>
      <c r="E844" s="34"/>
    </row>
    <row r="845" spans="1:5" x14ac:dyDescent="0.3">
      <c r="A845" s="32">
        <v>844</v>
      </c>
      <c r="B845" s="32"/>
      <c r="C845" s="32" t="b">
        <f>_xlfn.XLOOKUP(Table61011121314[[#This Row],[Category No]],Table8[Category No],Table8[Chapter List],FALSE)</f>
        <v>0</v>
      </c>
      <c r="D845" s="34"/>
      <c r="E845" s="34"/>
    </row>
    <row r="846" spans="1:5" x14ac:dyDescent="0.3">
      <c r="A846" s="32">
        <v>845</v>
      </c>
      <c r="B846" s="32"/>
      <c r="C846" s="32" t="b">
        <f>_xlfn.XLOOKUP(Table61011121314[[#This Row],[Category No]],Table8[Category No],Table8[Chapter List],FALSE)</f>
        <v>0</v>
      </c>
      <c r="D846" s="34"/>
      <c r="E846" s="34"/>
    </row>
    <row r="847" spans="1:5" x14ac:dyDescent="0.3">
      <c r="A847" s="32">
        <v>846</v>
      </c>
      <c r="B847" s="32"/>
      <c r="C847" s="32" t="b">
        <f>_xlfn.XLOOKUP(Table61011121314[[#This Row],[Category No]],Table8[Category No],Table8[Chapter List],FALSE)</f>
        <v>0</v>
      </c>
      <c r="D847" s="34"/>
      <c r="E847" s="34"/>
    </row>
    <row r="848" spans="1:5" x14ac:dyDescent="0.3">
      <c r="A848" s="32">
        <v>847</v>
      </c>
      <c r="B848" s="32"/>
      <c r="C848" s="32" t="b">
        <f>_xlfn.XLOOKUP(Table61011121314[[#This Row],[Category No]],Table8[Category No],Table8[Chapter List],FALSE)</f>
        <v>0</v>
      </c>
      <c r="D848" s="34"/>
      <c r="E848" s="34"/>
    </row>
    <row r="849" spans="1:5" x14ac:dyDescent="0.3">
      <c r="A849" s="32">
        <v>848</v>
      </c>
      <c r="B849" s="32"/>
      <c r="C849" s="32" t="b">
        <f>_xlfn.XLOOKUP(Table61011121314[[#This Row],[Category No]],Table8[Category No],Table8[Chapter List],FALSE)</f>
        <v>0</v>
      </c>
      <c r="D849" s="34"/>
      <c r="E849" s="34"/>
    </row>
    <row r="850" spans="1:5" x14ac:dyDescent="0.3">
      <c r="A850" s="32">
        <v>849</v>
      </c>
      <c r="B850" s="32"/>
      <c r="C850" s="32" t="b">
        <f>_xlfn.XLOOKUP(Table61011121314[[#This Row],[Category No]],Table8[Category No],Table8[Chapter List],FALSE)</f>
        <v>0</v>
      </c>
      <c r="D850" s="34"/>
      <c r="E850" s="34"/>
    </row>
    <row r="851" spans="1:5" x14ac:dyDescent="0.3">
      <c r="A851" s="32">
        <v>850</v>
      </c>
      <c r="B851" s="32"/>
      <c r="C851" s="32" t="b">
        <f>_xlfn.XLOOKUP(Table61011121314[[#This Row],[Category No]],Table8[Category No],Table8[Chapter List],FALSE)</f>
        <v>0</v>
      </c>
      <c r="D851" s="34"/>
      <c r="E851" s="34"/>
    </row>
    <row r="852" spans="1:5" x14ac:dyDescent="0.3">
      <c r="A852" s="32">
        <v>851</v>
      </c>
      <c r="B852" s="32"/>
      <c r="C852" s="32" t="b">
        <f>_xlfn.XLOOKUP(Table61011121314[[#This Row],[Category No]],Table8[Category No],Table8[Chapter List],FALSE)</f>
        <v>0</v>
      </c>
      <c r="D852" s="34"/>
      <c r="E852" s="34"/>
    </row>
    <row r="853" spans="1:5" x14ac:dyDescent="0.3">
      <c r="A853" s="32">
        <v>852</v>
      </c>
      <c r="B853" s="32"/>
      <c r="C853" s="32" t="b">
        <f>_xlfn.XLOOKUP(Table61011121314[[#This Row],[Category No]],Table8[Category No],Table8[Chapter List],FALSE)</f>
        <v>0</v>
      </c>
      <c r="D853" s="34"/>
      <c r="E853" s="34"/>
    </row>
    <row r="854" spans="1:5" x14ac:dyDescent="0.3">
      <c r="A854" s="32">
        <v>853</v>
      </c>
      <c r="B854" s="32"/>
      <c r="C854" s="32" t="b">
        <f>_xlfn.XLOOKUP(Table61011121314[[#This Row],[Category No]],Table8[Category No],Table8[Chapter List],FALSE)</f>
        <v>0</v>
      </c>
      <c r="D854" s="34"/>
      <c r="E854" s="34"/>
    </row>
    <row r="855" spans="1:5" x14ac:dyDescent="0.3">
      <c r="A855" s="32">
        <v>854</v>
      </c>
      <c r="B855" s="32"/>
      <c r="C855" s="32" t="b">
        <f>_xlfn.XLOOKUP(Table61011121314[[#This Row],[Category No]],Table8[Category No],Table8[Chapter List],FALSE)</f>
        <v>0</v>
      </c>
      <c r="D855" s="34"/>
      <c r="E855" s="34"/>
    </row>
    <row r="856" spans="1:5" x14ac:dyDescent="0.3">
      <c r="A856" s="32">
        <v>855</v>
      </c>
      <c r="B856" s="32"/>
      <c r="C856" s="32" t="b">
        <f>_xlfn.XLOOKUP(Table61011121314[[#This Row],[Category No]],Table8[Category No],Table8[Chapter List],FALSE)</f>
        <v>0</v>
      </c>
      <c r="D856" s="34"/>
      <c r="E856" s="34"/>
    </row>
    <row r="857" spans="1:5" x14ac:dyDescent="0.3">
      <c r="A857" s="32">
        <v>856</v>
      </c>
      <c r="B857" s="32"/>
      <c r="C857" s="32" t="b">
        <f>_xlfn.XLOOKUP(Table61011121314[[#This Row],[Category No]],Table8[Category No],Table8[Chapter List],FALSE)</f>
        <v>0</v>
      </c>
      <c r="D857" s="34"/>
      <c r="E857" s="34"/>
    </row>
    <row r="858" spans="1:5" x14ac:dyDescent="0.3">
      <c r="A858" s="32">
        <v>857</v>
      </c>
      <c r="B858" s="32"/>
      <c r="C858" s="32" t="b">
        <f>_xlfn.XLOOKUP(Table61011121314[[#This Row],[Category No]],Table8[Category No],Table8[Chapter List],FALSE)</f>
        <v>0</v>
      </c>
      <c r="D858" s="34"/>
      <c r="E858" s="34"/>
    </row>
    <row r="859" spans="1:5" x14ac:dyDescent="0.3">
      <c r="A859" s="32">
        <v>858</v>
      </c>
      <c r="B859" s="32"/>
      <c r="C859" s="32" t="b">
        <f>_xlfn.XLOOKUP(Table61011121314[[#This Row],[Category No]],Table8[Category No],Table8[Chapter List],FALSE)</f>
        <v>0</v>
      </c>
      <c r="D859" s="34"/>
      <c r="E859" s="34"/>
    </row>
    <row r="860" spans="1:5" x14ac:dyDescent="0.3">
      <c r="A860" s="32">
        <v>859</v>
      </c>
      <c r="B860" s="32"/>
      <c r="C860" s="32" t="b">
        <f>_xlfn.XLOOKUP(Table61011121314[[#This Row],[Category No]],Table8[Category No],Table8[Chapter List],FALSE)</f>
        <v>0</v>
      </c>
      <c r="D860" s="34"/>
      <c r="E860" s="34"/>
    </row>
    <row r="861" spans="1:5" x14ac:dyDescent="0.3">
      <c r="A861" s="32">
        <v>860</v>
      </c>
      <c r="B861" s="32"/>
      <c r="C861" s="32" t="b">
        <f>_xlfn.XLOOKUP(Table61011121314[[#This Row],[Category No]],Table8[Category No],Table8[Chapter List],FALSE)</f>
        <v>0</v>
      </c>
      <c r="D861" s="34"/>
      <c r="E861" s="34"/>
    </row>
    <row r="862" spans="1:5" x14ac:dyDescent="0.3">
      <c r="A862" s="32">
        <v>861</v>
      </c>
      <c r="B862" s="32"/>
      <c r="C862" s="32" t="b">
        <f>_xlfn.XLOOKUP(Table61011121314[[#This Row],[Category No]],Table8[Category No],Table8[Chapter List],FALSE)</f>
        <v>0</v>
      </c>
      <c r="D862" s="34"/>
      <c r="E862" s="34"/>
    </row>
    <row r="863" spans="1:5" x14ac:dyDescent="0.3">
      <c r="A863" s="32">
        <v>862</v>
      </c>
      <c r="B863" s="32"/>
      <c r="C863" s="32" t="b">
        <f>_xlfn.XLOOKUP(Table61011121314[[#This Row],[Category No]],Table8[Category No],Table8[Chapter List],FALSE)</f>
        <v>0</v>
      </c>
      <c r="D863" s="34"/>
      <c r="E863" s="34"/>
    </row>
    <row r="864" spans="1:5" x14ac:dyDescent="0.3">
      <c r="A864" s="32">
        <v>863</v>
      </c>
      <c r="B864" s="32"/>
      <c r="C864" s="32" t="b">
        <f>_xlfn.XLOOKUP(Table61011121314[[#This Row],[Category No]],Table8[Category No],Table8[Chapter List],FALSE)</f>
        <v>0</v>
      </c>
      <c r="D864" s="34"/>
      <c r="E864" s="34"/>
    </row>
    <row r="865" spans="1:5" x14ac:dyDescent="0.3">
      <c r="A865" s="32">
        <v>864</v>
      </c>
      <c r="B865" s="32"/>
      <c r="C865" s="32" t="b">
        <f>_xlfn.XLOOKUP(Table61011121314[[#This Row],[Category No]],Table8[Category No],Table8[Chapter List],FALSE)</f>
        <v>0</v>
      </c>
      <c r="D865" s="34"/>
      <c r="E865" s="34"/>
    </row>
    <row r="866" spans="1:5" x14ac:dyDescent="0.3">
      <c r="A866" s="32">
        <v>865</v>
      </c>
      <c r="B866" s="32"/>
      <c r="C866" s="32" t="b">
        <f>_xlfn.XLOOKUP(Table61011121314[[#This Row],[Category No]],Table8[Category No],Table8[Chapter List],FALSE)</f>
        <v>0</v>
      </c>
      <c r="D866" s="34"/>
      <c r="E866" s="34"/>
    </row>
    <row r="867" spans="1:5" x14ac:dyDescent="0.3">
      <c r="A867" s="32">
        <v>866</v>
      </c>
      <c r="B867" s="32"/>
      <c r="C867" s="32" t="b">
        <f>_xlfn.XLOOKUP(Table61011121314[[#This Row],[Category No]],Table8[Category No],Table8[Chapter List],FALSE)</f>
        <v>0</v>
      </c>
      <c r="D867" s="34"/>
      <c r="E867" s="34"/>
    </row>
    <row r="868" spans="1:5" x14ac:dyDescent="0.3">
      <c r="A868" s="32">
        <v>867</v>
      </c>
      <c r="B868" s="32"/>
      <c r="C868" s="32" t="b">
        <f>_xlfn.XLOOKUP(Table61011121314[[#This Row],[Category No]],Table8[Category No],Table8[Chapter List],FALSE)</f>
        <v>0</v>
      </c>
      <c r="D868" s="34"/>
      <c r="E868" s="34"/>
    </row>
    <row r="869" spans="1:5" x14ac:dyDescent="0.3">
      <c r="A869" s="32">
        <v>868</v>
      </c>
      <c r="B869" s="32"/>
      <c r="C869" s="32" t="b">
        <f>_xlfn.XLOOKUP(Table61011121314[[#This Row],[Category No]],Table8[Category No],Table8[Chapter List],FALSE)</f>
        <v>0</v>
      </c>
      <c r="D869" s="34"/>
      <c r="E869" s="34"/>
    </row>
    <row r="870" spans="1:5" x14ac:dyDescent="0.3">
      <c r="A870" s="32">
        <v>869</v>
      </c>
      <c r="B870" s="32"/>
      <c r="C870" s="32" t="b">
        <f>_xlfn.XLOOKUP(Table61011121314[[#This Row],[Category No]],Table8[Category No],Table8[Chapter List],FALSE)</f>
        <v>0</v>
      </c>
      <c r="D870" s="34"/>
      <c r="E870" s="34"/>
    </row>
    <row r="871" spans="1:5" x14ac:dyDescent="0.3">
      <c r="A871" s="32">
        <v>870</v>
      </c>
      <c r="B871" s="32"/>
      <c r="C871" s="32" t="b">
        <f>_xlfn.XLOOKUP(Table61011121314[[#This Row],[Category No]],Table8[Category No],Table8[Chapter List],FALSE)</f>
        <v>0</v>
      </c>
      <c r="D871" s="34"/>
      <c r="E871" s="34"/>
    </row>
    <row r="872" spans="1:5" x14ac:dyDescent="0.3">
      <c r="A872" s="32">
        <v>871</v>
      </c>
      <c r="B872" s="32"/>
      <c r="C872" s="32" t="b">
        <f>_xlfn.XLOOKUP(Table61011121314[[#This Row],[Category No]],Table8[Category No],Table8[Chapter List],FALSE)</f>
        <v>0</v>
      </c>
      <c r="D872" s="34"/>
      <c r="E872" s="34"/>
    </row>
    <row r="873" spans="1:5" x14ac:dyDescent="0.3">
      <c r="A873" s="32">
        <v>872</v>
      </c>
      <c r="B873" s="32"/>
      <c r="C873" s="32" t="b">
        <f>_xlfn.XLOOKUP(Table61011121314[[#This Row],[Category No]],Table8[Category No],Table8[Chapter List],FALSE)</f>
        <v>0</v>
      </c>
      <c r="D873" s="34"/>
      <c r="E873" s="34"/>
    </row>
    <row r="874" spans="1:5" x14ac:dyDescent="0.3">
      <c r="A874" s="32">
        <v>873</v>
      </c>
      <c r="B874" s="32"/>
      <c r="C874" s="32" t="b">
        <f>_xlfn.XLOOKUP(Table61011121314[[#This Row],[Category No]],Table8[Category No],Table8[Chapter List],FALSE)</f>
        <v>0</v>
      </c>
      <c r="D874" s="34"/>
      <c r="E874" s="34"/>
    </row>
    <row r="875" spans="1:5" x14ac:dyDescent="0.3">
      <c r="A875" s="32">
        <v>874</v>
      </c>
      <c r="B875" s="32"/>
      <c r="C875" s="32" t="b">
        <f>_xlfn.XLOOKUP(Table61011121314[[#This Row],[Category No]],Table8[Category No],Table8[Chapter List],FALSE)</f>
        <v>0</v>
      </c>
      <c r="D875" s="34"/>
      <c r="E875" s="34"/>
    </row>
    <row r="876" spans="1:5" x14ac:dyDescent="0.3">
      <c r="A876" s="32">
        <v>875</v>
      </c>
      <c r="B876" s="32"/>
      <c r="C876" s="32" t="b">
        <f>_xlfn.XLOOKUP(Table61011121314[[#This Row],[Category No]],Table8[Category No],Table8[Chapter List],FALSE)</f>
        <v>0</v>
      </c>
      <c r="D876" s="34"/>
      <c r="E876" s="34"/>
    </row>
    <row r="877" spans="1:5" x14ac:dyDescent="0.3">
      <c r="A877" s="32">
        <v>876</v>
      </c>
      <c r="B877" s="32"/>
      <c r="C877" s="32" t="b">
        <f>_xlfn.XLOOKUP(Table61011121314[[#This Row],[Category No]],Table8[Category No],Table8[Chapter List],FALSE)</f>
        <v>0</v>
      </c>
      <c r="D877" s="34"/>
      <c r="E877" s="34"/>
    </row>
    <row r="878" spans="1:5" x14ac:dyDescent="0.3">
      <c r="A878" s="32">
        <v>877</v>
      </c>
      <c r="B878" s="32"/>
      <c r="C878" s="32" t="b">
        <f>_xlfn.XLOOKUP(Table61011121314[[#This Row],[Category No]],Table8[Category No],Table8[Chapter List],FALSE)</f>
        <v>0</v>
      </c>
      <c r="D878" s="34"/>
      <c r="E878" s="34"/>
    </row>
    <row r="879" spans="1:5" x14ac:dyDescent="0.3">
      <c r="A879" s="32">
        <v>878</v>
      </c>
      <c r="B879" s="32"/>
      <c r="C879" s="32" t="b">
        <f>_xlfn.XLOOKUP(Table61011121314[[#This Row],[Category No]],Table8[Category No],Table8[Chapter List],FALSE)</f>
        <v>0</v>
      </c>
      <c r="D879" s="34"/>
      <c r="E879" s="34"/>
    </row>
    <row r="880" spans="1:5" x14ac:dyDescent="0.3">
      <c r="A880" s="32">
        <v>879</v>
      </c>
      <c r="B880" s="32"/>
      <c r="C880" s="32" t="b">
        <f>_xlfn.XLOOKUP(Table61011121314[[#This Row],[Category No]],Table8[Category No],Table8[Chapter List],FALSE)</f>
        <v>0</v>
      </c>
      <c r="D880" s="34"/>
      <c r="E880" s="34"/>
    </row>
    <row r="881" spans="1:5" x14ac:dyDescent="0.3">
      <c r="A881" s="32">
        <v>880</v>
      </c>
      <c r="B881" s="32"/>
      <c r="C881" s="32" t="b">
        <f>_xlfn.XLOOKUP(Table61011121314[[#This Row],[Category No]],Table8[Category No],Table8[Chapter List],FALSE)</f>
        <v>0</v>
      </c>
      <c r="D881" s="34"/>
      <c r="E881" s="34"/>
    </row>
    <row r="882" spans="1:5" x14ac:dyDescent="0.3">
      <c r="A882" s="32">
        <v>881</v>
      </c>
      <c r="B882" s="32"/>
      <c r="C882" s="32" t="b">
        <f>_xlfn.XLOOKUP(Table61011121314[[#This Row],[Category No]],Table8[Category No],Table8[Chapter List],FALSE)</f>
        <v>0</v>
      </c>
      <c r="D882" s="34"/>
      <c r="E882" s="34"/>
    </row>
    <row r="883" spans="1:5" x14ac:dyDescent="0.3">
      <c r="A883" s="32">
        <v>882</v>
      </c>
      <c r="B883" s="32"/>
      <c r="C883" s="32" t="b">
        <f>_xlfn.XLOOKUP(Table61011121314[[#This Row],[Category No]],Table8[Category No],Table8[Chapter List],FALSE)</f>
        <v>0</v>
      </c>
      <c r="D883" s="34"/>
      <c r="E883" s="34"/>
    </row>
    <row r="884" spans="1:5" x14ac:dyDescent="0.3">
      <c r="A884" s="32">
        <v>883</v>
      </c>
      <c r="B884" s="32"/>
      <c r="C884" s="32" t="b">
        <f>_xlfn.XLOOKUP(Table61011121314[[#This Row],[Category No]],Table8[Category No],Table8[Chapter List],FALSE)</f>
        <v>0</v>
      </c>
      <c r="D884" s="34"/>
      <c r="E884" s="34"/>
    </row>
    <row r="885" spans="1:5" x14ac:dyDescent="0.3">
      <c r="A885" s="32">
        <v>884</v>
      </c>
      <c r="B885" s="32"/>
      <c r="C885" s="32" t="b">
        <f>_xlfn.XLOOKUP(Table61011121314[[#This Row],[Category No]],Table8[Category No],Table8[Chapter List],FALSE)</f>
        <v>0</v>
      </c>
      <c r="D885" s="34"/>
      <c r="E885" s="34"/>
    </row>
    <row r="886" spans="1:5" x14ac:dyDescent="0.3">
      <c r="A886" s="32">
        <v>885</v>
      </c>
      <c r="B886" s="32"/>
      <c r="C886" s="32" t="b">
        <f>_xlfn.XLOOKUP(Table61011121314[[#This Row],[Category No]],Table8[Category No],Table8[Chapter List],FALSE)</f>
        <v>0</v>
      </c>
      <c r="D886" s="34"/>
      <c r="E886" s="34"/>
    </row>
    <row r="887" spans="1:5" x14ac:dyDescent="0.3">
      <c r="A887" s="32">
        <v>886</v>
      </c>
      <c r="B887" s="32"/>
      <c r="C887" s="32" t="b">
        <f>_xlfn.XLOOKUP(Table61011121314[[#This Row],[Category No]],Table8[Category No],Table8[Chapter List],FALSE)</f>
        <v>0</v>
      </c>
      <c r="D887" s="34"/>
      <c r="E887" s="34"/>
    </row>
    <row r="888" spans="1:5" x14ac:dyDescent="0.3">
      <c r="A888" s="32">
        <v>887</v>
      </c>
      <c r="B888" s="32"/>
      <c r="C888" s="32" t="b">
        <f>_xlfn.XLOOKUP(Table61011121314[[#This Row],[Category No]],Table8[Category No],Table8[Chapter List],FALSE)</f>
        <v>0</v>
      </c>
      <c r="D888" s="34"/>
      <c r="E888" s="34"/>
    </row>
    <row r="889" spans="1:5" x14ac:dyDescent="0.3">
      <c r="A889" s="32">
        <v>888</v>
      </c>
      <c r="B889" s="32"/>
      <c r="C889" s="32" t="b">
        <f>_xlfn.XLOOKUP(Table61011121314[[#This Row],[Category No]],Table8[Category No],Table8[Chapter List],FALSE)</f>
        <v>0</v>
      </c>
      <c r="D889" s="34"/>
      <c r="E889" s="34"/>
    </row>
    <row r="890" spans="1:5" x14ac:dyDescent="0.3">
      <c r="A890" s="32">
        <v>889</v>
      </c>
      <c r="B890" s="32"/>
      <c r="C890" s="32" t="b">
        <f>_xlfn.XLOOKUP(Table61011121314[[#This Row],[Category No]],Table8[Category No],Table8[Chapter List],FALSE)</f>
        <v>0</v>
      </c>
      <c r="D890" s="34"/>
      <c r="E890" s="34"/>
    </row>
    <row r="891" spans="1:5" x14ac:dyDescent="0.3">
      <c r="A891" s="32">
        <v>890</v>
      </c>
      <c r="B891" s="32"/>
      <c r="C891" s="32" t="b">
        <f>_xlfn.XLOOKUP(Table61011121314[[#This Row],[Category No]],Table8[Category No],Table8[Chapter List],FALSE)</f>
        <v>0</v>
      </c>
      <c r="D891" s="34"/>
      <c r="E891" s="34"/>
    </row>
    <row r="892" spans="1:5" x14ac:dyDescent="0.3">
      <c r="A892" s="32">
        <v>891</v>
      </c>
      <c r="B892" s="32"/>
      <c r="C892" s="32" t="b">
        <f>_xlfn.XLOOKUP(Table61011121314[[#This Row],[Category No]],Table8[Category No],Table8[Chapter List],FALSE)</f>
        <v>0</v>
      </c>
      <c r="D892" s="34"/>
      <c r="E892" s="34"/>
    </row>
    <row r="893" spans="1:5" x14ac:dyDescent="0.3">
      <c r="A893" s="32">
        <v>892</v>
      </c>
      <c r="B893" s="32"/>
      <c r="C893" s="32" t="b">
        <f>_xlfn.XLOOKUP(Table61011121314[[#This Row],[Category No]],Table8[Category No],Table8[Chapter List],FALSE)</f>
        <v>0</v>
      </c>
      <c r="D893" s="34"/>
      <c r="E893" s="34"/>
    </row>
    <row r="894" spans="1:5" x14ac:dyDescent="0.3">
      <c r="A894" s="32">
        <v>893</v>
      </c>
      <c r="B894" s="32"/>
      <c r="C894" s="32" t="b">
        <f>_xlfn.XLOOKUP(Table61011121314[[#This Row],[Category No]],Table8[Category No],Table8[Chapter List],FALSE)</f>
        <v>0</v>
      </c>
      <c r="D894" s="34"/>
      <c r="E894" s="34"/>
    </row>
    <row r="895" spans="1:5" x14ac:dyDescent="0.3">
      <c r="A895" s="32">
        <v>894</v>
      </c>
      <c r="B895" s="32"/>
      <c r="C895" s="32" t="b">
        <f>_xlfn.XLOOKUP(Table61011121314[[#This Row],[Category No]],Table8[Category No],Table8[Chapter List],FALSE)</f>
        <v>0</v>
      </c>
      <c r="D895" s="34"/>
      <c r="E895" s="34"/>
    </row>
    <row r="896" spans="1:5" x14ac:dyDescent="0.3">
      <c r="A896" s="32">
        <v>895</v>
      </c>
      <c r="B896" s="32"/>
      <c r="C896" s="32" t="b">
        <f>_xlfn.XLOOKUP(Table61011121314[[#This Row],[Category No]],Table8[Category No],Table8[Chapter List],FALSE)</f>
        <v>0</v>
      </c>
      <c r="D896" s="34"/>
      <c r="E896" s="34"/>
    </row>
    <row r="897" spans="1:5" x14ac:dyDescent="0.3">
      <c r="A897" s="32">
        <v>896</v>
      </c>
      <c r="B897" s="32"/>
      <c r="C897" s="32" t="b">
        <f>_xlfn.XLOOKUP(Table61011121314[[#This Row],[Category No]],Table8[Category No],Table8[Chapter List],FALSE)</f>
        <v>0</v>
      </c>
      <c r="D897" s="34"/>
      <c r="E897" s="34"/>
    </row>
    <row r="898" spans="1:5" x14ac:dyDescent="0.3">
      <c r="A898" s="32">
        <v>897</v>
      </c>
      <c r="B898" s="32"/>
      <c r="C898" s="32" t="b">
        <f>_xlfn.XLOOKUP(Table61011121314[[#This Row],[Category No]],Table8[Category No],Table8[Chapter List],FALSE)</f>
        <v>0</v>
      </c>
      <c r="D898" s="34"/>
      <c r="E898" s="34"/>
    </row>
    <row r="899" spans="1:5" x14ac:dyDescent="0.3">
      <c r="A899" s="32">
        <v>898</v>
      </c>
      <c r="B899" s="32"/>
      <c r="C899" s="32" t="b">
        <f>_xlfn.XLOOKUP(Table61011121314[[#This Row],[Category No]],Table8[Category No],Table8[Chapter List],FALSE)</f>
        <v>0</v>
      </c>
      <c r="D899" s="34"/>
      <c r="E899" s="34"/>
    </row>
    <row r="900" spans="1:5" x14ac:dyDescent="0.3">
      <c r="A900" s="32">
        <v>899</v>
      </c>
      <c r="B900" s="32"/>
      <c r="C900" s="32" t="b">
        <f>_xlfn.XLOOKUP(Table61011121314[[#This Row],[Category No]],Table8[Category No],Table8[Chapter List],FALSE)</f>
        <v>0</v>
      </c>
      <c r="D900" s="34"/>
      <c r="E900" s="34"/>
    </row>
    <row r="901" spans="1:5" x14ac:dyDescent="0.3">
      <c r="A901" s="32">
        <v>900</v>
      </c>
      <c r="B901" s="32"/>
      <c r="C901" s="32" t="b">
        <f>_xlfn.XLOOKUP(Table61011121314[[#This Row],[Category No]],Table8[Category No],Table8[Chapter List],FALSE)</f>
        <v>0</v>
      </c>
      <c r="D901" s="34"/>
      <c r="E901" s="34"/>
    </row>
    <row r="902" spans="1:5" x14ac:dyDescent="0.3">
      <c r="A902" s="32">
        <v>901</v>
      </c>
      <c r="B902" s="32"/>
      <c r="C902" s="32" t="b">
        <f>_xlfn.XLOOKUP(Table61011121314[[#This Row],[Category No]],Table8[Category No],Table8[Chapter List],FALSE)</f>
        <v>0</v>
      </c>
      <c r="D902" s="34"/>
      <c r="E902" s="34"/>
    </row>
    <row r="903" spans="1:5" x14ac:dyDescent="0.3">
      <c r="A903" s="32">
        <v>902</v>
      </c>
      <c r="B903" s="32"/>
      <c r="C903" s="32" t="b">
        <f>_xlfn.XLOOKUP(Table61011121314[[#This Row],[Category No]],Table8[Category No],Table8[Chapter List],FALSE)</f>
        <v>0</v>
      </c>
      <c r="D903" s="34"/>
      <c r="E903" s="34"/>
    </row>
    <row r="904" spans="1:5" x14ac:dyDescent="0.3">
      <c r="A904" s="32">
        <v>903</v>
      </c>
      <c r="B904" s="32"/>
      <c r="C904" s="32" t="b">
        <f>_xlfn.XLOOKUP(Table61011121314[[#This Row],[Category No]],Table8[Category No],Table8[Chapter List],FALSE)</f>
        <v>0</v>
      </c>
      <c r="D904" s="34"/>
      <c r="E904" s="34"/>
    </row>
    <row r="905" spans="1:5" x14ac:dyDescent="0.3">
      <c r="A905" s="32">
        <v>904</v>
      </c>
      <c r="B905" s="32"/>
      <c r="C905" s="32" t="b">
        <f>_xlfn.XLOOKUP(Table61011121314[[#This Row],[Category No]],Table8[Category No],Table8[Chapter List],FALSE)</f>
        <v>0</v>
      </c>
      <c r="D905" s="34"/>
      <c r="E905" s="34"/>
    </row>
    <row r="906" spans="1:5" x14ac:dyDescent="0.3">
      <c r="A906" s="32">
        <v>905</v>
      </c>
      <c r="B906" s="32"/>
      <c r="C906" s="32" t="b">
        <f>_xlfn.XLOOKUP(Table61011121314[[#This Row],[Category No]],Table8[Category No],Table8[Chapter List],FALSE)</f>
        <v>0</v>
      </c>
      <c r="D906" s="34"/>
      <c r="E906" s="34"/>
    </row>
    <row r="907" spans="1:5" x14ac:dyDescent="0.3">
      <c r="A907" s="32">
        <v>906</v>
      </c>
      <c r="B907" s="32"/>
      <c r="C907" s="32" t="b">
        <f>_xlfn.XLOOKUP(Table61011121314[[#This Row],[Category No]],Table8[Category No],Table8[Chapter List],FALSE)</f>
        <v>0</v>
      </c>
      <c r="D907" s="34"/>
      <c r="E907" s="34"/>
    </row>
    <row r="908" spans="1:5" x14ac:dyDescent="0.3">
      <c r="A908" s="32">
        <v>907</v>
      </c>
      <c r="B908" s="32"/>
      <c r="C908" s="32" t="b">
        <f>_xlfn.XLOOKUP(Table61011121314[[#This Row],[Category No]],Table8[Category No],Table8[Chapter List],FALSE)</f>
        <v>0</v>
      </c>
      <c r="D908" s="34"/>
      <c r="E908" s="34"/>
    </row>
    <row r="909" spans="1:5" x14ac:dyDescent="0.3">
      <c r="A909" s="32">
        <v>908</v>
      </c>
      <c r="B909" s="32"/>
      <c r="C909" s="32" t="b">
        <f>_xlfn.XLOOKUP(Table61011121314[[#This Row],[Category No]],Table8[Category No],Table8[Chapter List],FALSE)</f>
        <v>0</v>
      </c>
      <c r="D909" s="34"/>
      <c r="E909" s="34"/>
    </row>
    <row r="910" spans="1:5" x14ac:dyDescent="0.3">
      <c r="A910" s="32">
        <v>909</v>
      </c>
      <c r="B910" s="32"/>
      <c r="C910" s="32" t="b">
        <f>_xlfn.XLOOKUP(Table61011121314[[#This Row],[Category No]],Table8[Category No],Table8[Chapter List],FALSE)</f>
        <v>0</v>
      </c>
      <c r="D910" s="34"/>
      <c r="E910" s="34"/>
    </row>
    <row r="911" spans="1:5" x14ac:dyDescent="0.3">
      <c r="A911" s="32">
        <v>910</v>
      </c>
      <c r="B911" s="32"/>
      <c r="C911" s="32" t="b">
        <f>_xlfn.XLOOKUP(Table61011121314[[#This Row],[Category No]],Table8[Category No],Table8[Chapter List],FALSE)</f>
        <v>0</v>
      </c>
      <c r="D911" s="34"/>
      <c r="E911" s="34"/>
    </row>
    <row r="912" spans="1:5" x14ac:dyDescent="0.3">
      <c r="A912" s="32">
        <v>911</v>
      </c>
      <c r="B912" s="32"/>
      <c r="C912" s="32" t="b">
        <f>_xlfn.XLOOKUP(Table61011121314[[#This Row],[Category No]],Table8[Category No],Table8[Chapter List],FALSE)</f>
        <v>0</v>
      </c>
      <c r="D912" s="34"/>
      <c r="E912" s="34"/>
    </row>
    <row r="913" spans="1:5" x14ac:dyDescent="0.3">
      <c r="A913" s="32">
        <v>912</v>
      </c>
      <c r="B913" s="32"/>
      <c r="C913" s="32" t="b">
        <f>_xlfn.XLOOKUP(Table61011121314[[#This Row],[Category No]],Table8[Category No],Table8[Chapter List],FALSE)</f>
        <v>0</v>
      </c>
      <c r="D913" s="34"/>
      <c r="E913" s="34"/>
    </row>
    <row r="914" spans="1:5" x14ac:dyDescent="0.3">
      <c r="A914" s="32">
        <v>913</v>
      </c>
      <c r="B914" s="32"/>
      <c r="C914" s="32" t="b">
        <f>_xlfn.XLOOKUP(Table61011121314[[#This Row],[Category No]],Table8[Category No],Table8[Chapter List],FALSE)</f>
        <v>0</v>
      </c>
      <c r="D914" s="34"/>
      <c r="E914" s="34"/>
    </row>
    <row r="915" spans="1:5" x14ac:dyDescent="0.3">
      <c r="A915" s="32">
        <v>914</v>
      </c>
      <c r="B915" s="32"/>
      <c r="C915" s="32" t="b">
        <f>_xlfn.XLOOKUP(Table61011121314[[#This Row],[Category No]],Table8[Category No],Table8[Chapter List],FALSE)</f>
        <v>0</v>
      </c>
      <c r="D915" s="34"/>
      <c r="E915" s="34"/>
    </row>
    <row r="916" spans="1:5" x14ac:dyDescent="0.3">
      <c r="A916" s="32">
        <v>915</v>
      </c>
      <c r="B916" s="32"/>
      <c r="C916" s="32" t="b">
        <f>_xlfn.XLOOKUP(Table61011121314[[#This Row],[Category No]],Table8[Category No],Table8[Chapter List],FALSE)</f>
        <v>0</v>
      </c>
      <c r="D916" s="34"/>
      <c r="E916" s="34"/>
    </row>
    <row r="917" spans="1:5" x14ac:dyDescent="0.3">
      <c r="A917" s="32">
        <v>916</v>
      </c>
      <c r="B917" s="32"/>
      <c r="C917" s="32" t="b">
        <f>_xlfn.XLOOKUP(Table61011121314[[#This Row],[Category No]],Table8[Category No],Table8[Chapter List],FALSE)</f>
        <v>0</v>
      </c>
      <c r="D917" s="34"/>
      <c r="E917" s="34"/>
    </row>
    <row r="918" spans="1:5" x14ac:dyDescent="0.3">
      <c r="A918" s="32">
        <v>917</v>
      </c>
      <c r="B918" s="32"/>
      <c r="C918" s="32" t="b">
        <f>_xlfn.XLOOKUP(Table61011121314[[#This Row],[Category No]],Table8[Category No],Table8[Chapter List],FALSE)</f>
        <v>0</v>
      </c>
      <c r="D918" s="34"/>
      <c r="E918" s="34"/>
    </row>
    <row r="919" spans="1:5" x14ac:dyDescent="0.3">
      <c r="A919" s="32">
        <v>918</v>
      </c>
      <c r="B919" s="32"/>
      <c r="C919" s="32" t="b">
        <f>_xlfn.XLOOKUP(Table61011121314[[#This Row],[Category No]],Table8[Category No],Table8[Chapter List],FALSE)</f>
        <v>0</v>
      </c>
      <c r="D919" s="34"/>
      <c r="E919" s="34"/>
    </row>
    <row r="920" spans="1:5" x14ac:dyDescent="0.3">
      <c r="A920" s="32">
        <v>919</v>
      </c>
      <c r="B920" s="32"/>
      <c r="C920" s="32" t="b">
        <f>_xlfn.XLOOKUP(Table61011121314[[#This Row],[Category No]],Table8[Category No],Table8[Chapter List],FALSE)</f>
        <v>0</v>
      </c>
      <c r="D920" s="34"/>
      <c r="E920" s="34"/>
    </row>
    <row r="921" spans="1:5" x14ac:dyDescent="0.3">
      <c r="A921" s="32">
        <v>920</v>
      </c>
      <c r="B921" s="32"/>
      <c r="C921" s="32" t="b">
        <f>_xlfn.XLOOKUP(Table61011121314[[#This Row],[Category No]],Table8[Category No],Table8[Chapter List],FALSE)</f>
        <v>0</v>
      </c>
      <c r="D921" s="34"/>
      <c r="E921" s="34"/>
    </row>
    <row r="922" spans="1:5" x14ac:dyDescent="0.3">
      <c r="A922" s="32">
        <v>921</v>
      </c>
      <c r="B922" s="32"/>
      <c r="C922" s="32" t="b">
        <f>_xlfn.XLOOKUP(Table61011121314[[#This Row],[Category No]],Table8[Category No],Table8[Chapter List],FALSE)</f>
        <v>0</v>
      </c>
      <c r="D922" s="34"/>
      <c r="E922" s="34"/>
    </row>
    <row r="923" spans="1:5" x14ac:dyDescent="0.3">
      <c r="A923" s="32">
        <v>922</v>
      </c>
      <c r="B923" s="32"/>
      <c r="C923" s="32" t="b">
        <f>_xlfn.XLOOKUP(Table61011121314[[#This Row],[Category No]],Table8[Category No],Table8[Chapter List],FALSE)</f>
        <v>0</v>
      </c>
      <c r="D923" s="34"/>
      <c r="E923" s="34"/>
    </row>
    <row r="924" spans="1:5" x14ac:dyDescent="0.3">
      <c r="A924" s="32">
        <v>923</v>
      </c>
      <c r="B924" s="32"/>
      <c r="C924" s="32" t="b">
        <f>_xlfn.XLOOKUP(Table61011121314[[#This Row],[Category No]],Table8[Category No],Table8[Chapter List],FALSE)</f>
        <v>0</v>
      </c>
      <c r="D924" s="34"/>
      <c r="E924" s="34"/>
    </row>
    <row r="925" spans="1:5" x14ac:dyDescent="0.3">
      <c r="A925" s="32">
        <v>924</v>
      </c>
      <c r="B925" s="32"/>
      <c r="C925" s="32" t="b">
        <f>_xlfn.XLOOKUP(Table61011121314[[#This Row],[Category No]],Table8[Category No],Table8[Chapter List],FALSE)</f>
        <v>0</v>
      </c>
      <c r="D925" s="34"/>
      <c r="E925" s="34"/>
    </row>
    <row r="926" spans="1:5" x14ac:dyDescent="0.3">
      <c r="A926" s="32">
        <v>925</v>
      </c>
      <c r="B926" s="32"/>
      <c r="C926" s="32" t="b">
        <f>_xlfn.XLOOKUP(Table61011121314[[#This Row],[Category No]],Table8[Category No],Table8[Chapter List],FALSE)</f>
        <v>0</v>
      </c>
      <c r="D926" s="34"/>
      <c r="E926" s="34"/>
    </row>
    <row r="927" spans="1:5" x14ac:dyDescent="0.3">
      <c r="A927" s="32">
        <v>926</v>
      </c>
      <c r="B927" s="32"/>
      <c r="C927" s="32" t="b">
        <f>_xlfn.XLOOKUP(Table61011121314[[#This Row],[Category No]],Table8[Category No],Table8[Chapter List],FALSE)</f>
        <v>0</v>
      </c>
      <c r="D927" s="34"/>
      <c r="E927" s="34"/>
    </row>
    <row r="928" spans="1:5" x14ac:dyDescent="0.3">
      <c r="A928" s="32">
        <v>927</v>
      </c>
      <c r="B928" s="32"/>
      <c r="C928" s="32" t="b">
        <f>_xlfn.XLOOKUP(Table61011121314[[#This Row],[Category No]],Table8[Category No],Table8[Chapter List],FALSE)</f>
        <v>0</v>
      </c>
      <c r="D928" s="34"/>
      <c r="E928" s="34"/>
    </row>
    <row r="929" spans="1:5" x14ac:dyDescent="0.3">
      <c r="A929" s="32">
        <v>928</v>
      </c>
      <c r="B929" s="32"/>
      <c r="C929" s="32" t="b">
        <f>_xlfn.XLOOKUP(Table61011121314[[#This Row],[Category No]],Table8[Category No],Table8[Chapter List],FALSE)</f>
        <v>0</v>
      </c>
      <c r="D929" s="34"/>
      <c r="E929" s="34"/>
    </row>
    <row r="930" spans="1:5" x14ac:dyDescent="0.3">
      <c r="A930" s="32">
        <v>929</v>
      </c>
      <c r="B930" s="32"/>
      <c r="C930" s="32" t="b">
        <f>_xlfn.XLOOKUP(Table61011121314[[#This Row],[Category No]],Table8[Category No],Table8[Chapter List],FALSE)</f>
        <v>0</v>
      </c>
      <c r="D930" s="34"/>
      <c r="E930" s="34"/>
    </row>
    <row r="931" spans="1:5" x14ac:dyDescent="0.3">
      <c r="A931" s="32">
        <v>930</v>
      </c>
      <c r="B931" s="32"/>
      <c r="C931" s="32" t="b">
        <f>_xlfn.XLOOKUP(Table61011121314[[#This Row],[Category No]],Table8[Category No],Table8[Chapter List],FALSE)</f>
        <v>0</v>
      </c>
      <c r="D931" s="34"/>
      <c r="E931" s="34"/>
    </row>
    <row r="932" spans="1:5" x14ac:dyDescent="0.3">
      <c r="A932" s="32">
        <v>931</v>
      </c>
      <c r="B932" s="32"/>
      <c r="C932" s="32" t="b">
        <f>_xlfn.XLOOKUP(Table61011121314[[#This Row],[Category No]],Table8[Category No],Table8[Chapter List],FALSE)</f>
        <v>0</v>
      </c>
      <c r="D932" s="34"/>
      <c r="E932" s="34"/>
    </row>
    <row r="933" spans="1:5" x14ac:dyDescent="0.3">
      <c r="A933" s="32">
        <v>932</v>
      </c>
      <c r="B933" s="32"/>
      <c r="C933" s="32" t="b">
        <f>_xlfn.XLOOKUP(Table61011121314[[#This Row],[Category No]],Table8[Category No],Table8[Chapter List],FALSE)</f>
        <v>0</v>
      </c>
      <c r="D933" s="34"/>
      <c r="E933" s="34"/>
    </row>
    <row r="934" spans="1:5" x14ac:dyDescent="0.3">
      <c r="A934" s="32">
        <v>933</v>
      </c>
      <c r="B934" s="32"/>
      <c r="C934" s="32" t="b">
        <f>_xlfn.XLOOKUP(Table61011121314[[#This Row],[Category No]],Table8[Category No],Table8[Chapter List],FALSE)</f>
        <v>0</v>
      </c>
      <c r="D934" s="34"/>
      <c r="E934" s="34"/>
    </row>
    <row r="935" spans="1:5" x14ac:dyDescent="0.3">
      <c r="A935" s="32">
        <v>934</v>
      </c>
      <c r="B935" s="32"/>
      <c r="C935" s="32" t="b">
        <f>_xlfn.XLOOKUP(Table61011121314[[#This Row],[Category No]],Table8[Category No],Table8[Chapter List],FALSE)</f>
        <v>0</v>
      </c>
      <c r="D935" s="34"/>
      <c r="E935" s="34"/>
    </row>
    <row r="936" spans="1:5" x14ac:dyDescent="0.3">
      <c r="A936" s="32">
        <v>935</v>
      </c>
      <c r="B936" s="32"/>
      <c r="C936" s="32" t="b">
        <f>_xlfn.XLOOKUP(Table61011121314[[#This Row],[Category No]],Table8[Category No],Table8[Chapter List],FALSE)</f>
        <v>0</v>
      </c>
      <c r="D936" s="34"/>
      <c r="E936" s="34"/>
    </row>
    <row r="937" spans="1:5" x14ac:dyDescent="0.3">
      <c r="A937" s="32">
        <v>936</v>
      </c>
      <c r="B937" s="32"/>
      <c r="C937" s="32" t="b">
        <f>_xlfn.XLOOKUP(Table61011121314[[#This Row],[Category No]],Table8[Category No],Table8[Chapter List],FALSE)</f>
        <v>0</v>
      </c>
      <c r="D937" s="34"/>
      <c r="E937" s="34"/>
    </row>
    <row r="938" spans="1:5" x14ac:dyDescent="0.3">
      <c r="A938" s="32">
        <v>937</v>
      </c>
      <c r="B938" s="32"/>
      <c r="C938" s="32" t="b">
        <f>_xlfn.XLOOKUP(Table61011121314[[#This Row],[Category No]],Table8[Category No],Table8[Chapter List],FALSE)</f>
        <v>0</v>
      </c>
      <c r="D938" s="34"/>
      <c r="E938" s="34"/>
    </row>
    <row r="939" spans="1:5" x14ac:dyDescent="0.3">
      <c r="A939" s="32">
        <v>938</v>
      </c>
      <c r="B939" s="32"/>
      <c r="C939" s="32" t="b">
        <f>_xlfn.XLOOKUP(Table61011121314[[#This Row],[Category No]],Table8[Category No],Table8[Chapter List],FALSE)</f>
        <v>0</v>
      </c>
      <c r="D939" s="34"/>
      <c r="E939" s="34"/>
    </row>
    <row r="940" spans="1:5" x14ac:dyDescent="0.3">
      <c r="A940" s="32">
        <v>939</v>
      </c>
      <c r="B940" s="32"/>
      <c r="C940" s="32" t="b">
        <f>_xlfn.XLOOKUP(Table61011121314[[#This Row],[Category No]],Table8[Category No],Table8[Chapter List],FALSE)</f>
        <v>0</v>
      </c>
      <c r="D940" s="34"/>
      <c r="E940" s="34"/>
    </row>
    <row r="941" spans="1:5" x14ac:dyDescent="0.3">
      <c r="A941" s="32">
        <v>940</v>
      </c>
      <c r="B941" s="32"/>
      <c r="C941" s="32" t="b">
        <f>_xlfn.XLOOKUP(Table61011121314[[#This Row],[Category No]],Table8[Category No],Table8[Chapter List],FALSE)</f>
        <v>0</v>
      </c>
      <c r="D941" s="34"/>
      <c r="E941" s="34"/>
    </row>
    <row r="942" spans="1:5" x14ac:dyDescent="0.3">
      <c r="A942" s="32">
        <v>941</v>
      </c>
      <c r="B942" s="32"/>
      <c r="C942" s="32" t="b">
        <f>_xlfn.XLOOKUP(Table61011121314[[#This Row],[Category No]],Table8[Category No],Table8[Chapter List],FALSE)</f>
        <v>0</v>
      </c>
      <c r="D942" s="34"/>
      <c r="E942" s="34"/>
    </row>
    <row r="943" spans="1:5" x14ac:dyDescent="0.3">
      <c r="A943" s="32">
        <v>942</v>
      </c>
      <c r="B943" s="32"/>
      <c r="C943" s="32" t="b">
        <f>_xlfn.XLOOKUP(Table61011121314[[#This Row],[Category No]],Table8[Category No],Table8[Chapter List],FALSE)</f>
        <v>0</v>
      </c>
      <c r="D943" s="34"/>
      <c r="E943" s="34"/>
    </row>
    <row r="944" spans="1:5" x14ac:dyDescent="0.3">
      <c r="A944" s="32">
        <v>943</v>
      </c>
      <c r="B944" s="32"/>
      <c r="C944" s="32" t="b">
        <f>_xlfn.XLOOKUP(Table61011121314[[#This Row],[Category No]],Table8[Category No],Table8[Chapter List],FALSE)</f>
        <v>0</v>
      </c>
      <c r="D944" s="34"/>
      <c r="E944" s="34"/>
    </row>
    <row r="945" spans="1:5" x14ac:dyDescent="0.3">
      <c r="A945" s="32">
        <v>944</v>
      </c>
      <c r="B945" s="32"/>
      <c r="C945" s="32" t="b">
        <f>_xlfn.XLOOKUP(Table61011121314[[#This Row],[Category No]],Table8[Category No],Table8[Chapter List],FALSE)</f>
        <v>0</v>
      </c>
      <c r="D945" s="34"/>
      <c r="E945" s="34"/>
    </row>
    <row r="946" spans="1:5" x14ac:dyDescent="0.3">
      <c r="A946" s="32">
        <v>945</v>
      </c>
      <c r="B946" s="32"/>
      <c r="C946" s="32" t="b">
        <f>_xlfn.XLOOKUP(Table61011121314[[#This Row],[Category No]],Table8[Category No],Table8[Chapter List],FALSE)</f>
        <v>0</v>
      </c>
      <c r="D946" s="34"/>
      <c r="E946" s="34"/>
    </row>
    <row r="947" spans="1:5" x14ac:dyDescent="0.3">
      <c r="A947" s="32">
        <v>946</v>
      </c>
      <c r="B947" s="32"/>
      <c r="C947" s="32" t="b">
        <f>_xlfn.XLOOKUP(Table61011121314[[#This Row],[Category No]],Table8[Category No],Table8[Chapter List],FALSE)</f>
        <v>0</v>
      </c>
      <c r="D947" s="34"/>
      <c r="E947" s="34"/>
    </row>
    <row r="948" spans="1:5" x14ac:dyDescent="0.3">
      <c r="A948" s="32">
        <v>947</v>
      </c>
      <c r="B948" s="32"/>
      <c r="C948" s="32" t="b">
        <f>_xlfn.XLOOKUP(Table61011121314[[#This Row],[Category No]],Table8[Category No],Table8[Chapter List],FALSE)</f>
        <v>0</v>
      </c>
      <c r="D948" s="34"/>
      <c r="E948" s="34"/>
    </row>
    <row r="949" spans="1:5" x14ac:dyDescent="0.3">
      <c r="A949" s="32">
        <v>948</v>
      </c>
      <c r="B949" s="32"/>
      <c r="C949" s="32" t="b">
        <f>_xlfn.XLOOKUP(Table61011121314[[#This Row],[Category No]],Table8[Category No],Table8[Chapter List],FALSE)</f>
        <v>0</v>
      </c>
      <c r="D949" s="34"/>
      <c r="E949" s="34"/>
    </row>
    <row r="950" spans="1:5" x14ac:dyDescent="0.3">
      <c r="A950" s="32">
        <v>949</v>
      </c>
      <c r="B950" s="32"/>
      <c r="C950" s="32" t="b">
        <f>_xlfn.XLOOKUP(Table61011121314[[#This Row],[Category No]],Table8[Category No],Table8[Chapter List],FALSE)</f>
        <v>0</v>
      </c>
      <c r="D950" s="34"/>
      <c r="E950" s="34"/>
    </row>
    <row r="951" spans="1:5" x14ac:dyDescent="0.3">
      <c r="A951" s="32">
        <v>950</v>
      </c>
      <c r="B951" s="32"/>
      <c r="C951" s="32" t="b">
        <f>_xlfn.XLOOKUP(Table61011121314[[#This Row],[Category No]],Table8[Category No],Table8[Chapter List],FALSE)</f>
        <v>0</v>
      </c>
      <c r="D951" s="34"/>
      <c r="E951" s="34"/>
    </row>
    <row r="952" spans="1:5" x14ac:dyDescent="0.3">
      <c r="A952" s="32">
        <v>951</v>
      </c>
      <c r="B952" s="32"/>
      <c r="C952" s="32" t="b">
        <f>_xlfn.XLOOKUP(Table61011121314[[#This Row],[Category No]],Table8[Category No],Table8[Chapter List],FALSE)</f>
        <v>0</v>
      </c>
      <c r="D952" s="34"/>
      <c r="E952" s="34"/>
    </row>
    <row r="953" spans="1:5" x14ac:dyDescent="0.3">
      <c r="A953" s="32">
        <v>952</v>
      </c>
      <c r="B953" s="32"/>
      <c r="C953" s="32" t="b">
        <f>_xlfn.XLOOKUP(Table61011121314[[#This Row],[Category No]],Table8[Category No],Table8[Chapter List],FALSE)</f>
        <v>0</v>
      </c>
      <c r="D953" s="34"/>
      <c r="E953" s="34"/>
    </row>
    <row r="954" spans="1:5" x14ac:dyDescent="0.3">
      <c r="A954" s="32">
        <v>953</v>
      </c>
      <c r="B954" s="32"/>
      <c r="C954" s="32" t="b">
        <f>_xlfn.XLOOKUP(Table61011121314[[#This Row],[Category No]],Table8[Category No],Table8[Chapter List],FALSE)</f>
        <v>0</v>
      </c>
      <c r="D954" s="34"/>
      <c r="E954" s="34"/>
    </row>
    <row r="955" spans="1:5" x14ac:dyDescent="0.3">
      <c r="A955" s="32">
        <v>954</v>
      </c>
      <c r="B955" s="32"/>
      <c r="C955" s="32" t="b">
        <f>_xlfn.XLOOKUP(Table61011121314[[#This Row],[Category No]],Table8[Category No],Table8[Chapter List],FALSE)</f>
        <v>0</v>
      </c>
      <c r="D955" s="34"/>
      <c r="E955" s="34"/>
    </row>
    <row r="956" spans="1:5" x14ac:dyDescent="0.3">
      <c r="A956" s="32">
        <v>955</v>
      </c>
      <c r="B956" s="32"/>
      <c r="C956" s="32" t="b">
        <f>_xlfn.XLOOKUP(Table61011121314[[#This Row],[Category No]],Table8[Category No],Table8[Chapter List],FALSE)</f>
        <v>0</v>
      </c>
      <c r="D956" s="34"/>
      <c r="E956" s="34"/>
    </row>
    <row r="957" spans="1:5" x14ac:dyDescent="0.3">
      <c r="A957" s="32">
        <v>956</v>
      </c>
      <c r="B957" s="32"/>
      <c r="C957" s="32" t="b">
        <f>_xlfn.XLOOKUP(Table61011121314[[#This Row],[Category No]],Table8[Category No],Table8[Chapter List],FALSE)</f>
        <v>0</v>
      </c>
      <c r="D957" s="34"/>
      <c r="E957" s="34"/>
    </row>
    <row r="958" spans="1:5" x14ac:dyDescent="0.3">
      <c r="A958" s="32">
        <v>957</v>
      </c>
      <c r="B958" s="32"/>
      <c r="C958" s="32" t="b">
        <f>_xlfn.XLOOKUP(Table61011121314[[#This Row],[Category No]],Table8[Category No],Table8[Chapter List],FALSE)</f>
        <v>0</v>
      </c>
      <c r="D958" s="34"/>
      <c r="E958" s="34"/>
    </row>
    <row r="959" spans="1:5" x14ac:dyDescent="0.3">
      <c r="A959" s="32">
        <v>958</v>
      </c>
      <c r="B959" s="32"/>
      <c r="C959" s="32" t="b">
        <f>_xlfn.XLOOKUP(Table61011121314[[#This Row],[Category No]],Table8[Category No],Table8[Chapter List],FALSE)</f>
        <v>0</v>
      </c>
      <c r="D959" s="34"/>
      <c r="E959" s="34"/>
    </row>
    <row r="960" spans="1:5" x14ac:dyDescent="0.3">
      <c r="A960" s="32">
        <v>959</v>
      </c>
      <c r="B960" s="32"/>
      <c r="C960" s="32" t="b">
        <f>_xlfn.XLOOKUP(Table61011121314[[#This Row],[Category No]],Table8[Category No],Table8[Chapter List],FALSE)</f>
        <v>0</v>
      </c>
      <c r="D960" s="34"/>
      <c r="E960" s="34"/>
    </row>
    <row r="961" spans="1:5" x14ac:dyDescent="0.3">
      <c r="A961" s="32">
        <v>960</v>
      </c>
      <c r="B961" s="32"/>
      <c r="C961" s="32" t="b">
        <f>_xlfn.XLOOKUP(Table61011121314[[#This Row],[Category No]],Table8[Category No],Table8[Chapter List],FALSE)</f>
        <v>0</v>
      </c>
      <c r="D961" s="34"/>
      <c r="E961" s="34"/>
    </row>
    <row r="962" spans="1:5" x14ac:dyDescent="0.3">
      <c r="A962" s="32">
        <v>961</v>
      </c>
      <c r="B962" s="32"/>
      <c r="C962" s="32" t="b">
        <f>_xlfn.XLOOKUP(Table61011121314[[#This Row],[Category No]],Table8[Category No],Table8[Chapter List],FALSE)</f>
        <v>0</v>
      </c>
      <c r="D962" s="34"/>
      <c r="E962" s="34"/>
    </row>
    <row r="963" spans="1:5" x14ac:dyDescent="0.3">
      <c r="A963" s="32">
        <v>962</v>
      </c>
      <c r="B963" s="32"/>
      <c r="C963" s="32" t="b">
        <f>_xlfn.XLOOKUP(Table61011121314[[#This Row],[Category No]],Table8[Category No],Table8[Chapter List],FALSE)</f>
        <v>0</v>
      </c>
      <c r="D963" s="34"/>
      <c r="E963" s="34"/>
    </row>
    <row r="964" spans="1:5" x14ac:dyDescent="0.3">
      <c r="A964" s="32">
        <v>963</v>
      </c>
      <c r="B964" s="32"/>
      <c r="C964" s="32" t="b">
        <f>_xlfn.XLOOKUP(Table61011121314[[#This Row],[Category No]],Table8[Category No],Table8[Chapter List],FALSE)</f>
        <v>0</v>
      </c>
      <c r="D964" s="34"/>
      <c r="E964" s="34"/>
    </row>
    <row r="965" spans="1:5" x14ac:dyDescent="0.3">
      <c r="A965" s="32">
        <v>964</v>
      </c>
      <c r="B965" s="32"/>
      <c r="C965" s="32" t="b">
        <f>_xlfn.XLOOKUP(Table61011121314[[#This Row],[Category No]],Table8[Category No],Table8[Chapter List],FALSE)</f>
        <v>0</v>
      </c>
      <c r="D965" s="34"/>
      <c r="E965" s="34"/>
    </row>
    <row r="966" spans="1:5" x14ac:dyDescent="0.3">
      <c r="A966" s="32">
        <v>965</v>
      </c>
      <c r="B966" s="32"/>
      <c r="C966" s="32" t="b">
        <f>_xlfn.XLOOKUP(Table61011121314[[#This Row],[Category No]],Table8[Category No],Table8[Chapter List],FALSE)</f>
        <v>0</v>
      </c>
      <c r="D966" s="34"/>
      <c r="E966" s="34"/>
    </row>
    <row r="967" spans="1:5" x14ac:dyDescent="0.3">
      <c r="A967" s="32">
        <v>966</v>
      </c>
      <c r="B967" s="32"/>
      <c r="C967" s="32" t="b">
        <f>_xlfn.XLOOKUP(Table61011121314[[#This Row],[Category No]],Table8[Category No],Table8[Chapter List],FALSE)</f>
        <v>0</v>
      </c>
      <c r="D967" s="34"/>
      <c r="E967" s="34"/>
    </row>
    <row r="968" spans="1:5" x14ac:dyDescent="0.3">
      <c r="A968" s="32">
        <v>967</v>
      </c>
      <c r="B968" s="32"/>
      <c r="C968" s="32" t="b">
        <f>_xlfn.XLOOKUP(Table61011121314[[#This Row],[Category No]],Table8[Category No],Table8[Chapter List],FALSE)</f>
        <v>0</v>
      </c>
      <c r="D968" s="34"/>
      <c r="E968" s="34"/>
    </row>
    <row r="969" spans="1:5" x14ac:dyDescent="0.3">
      <c r="A969" s="32">
        <v>968</v>
      </c>
      <c r="B969" s="32"/>
      <c r="C969" s="32" t="b">
        <f>_xlfn.XLOOKUP(Table61011121314[[#This Row],[Category No]],Table8[Category No],Table8[Chapter List],FALSE)</f>
        <v>0</v>
      </c>
      <c r="D969" s="34"/>
      <c r="E969" s="34"/>
    </row>
    <row r="970" spans="1:5" x14ac:dyDescent="0.3">
      <c r="A970" s="32">
        <v>969</v>
      </c>
      <c r="B970" s="32"/>
      <c r="C970" s="32" t="b">
        <f>_xlfn.XLOOKUP(Table61011121314[[#This Row],[Category No]],Table8[Category No],Table8[Chapter List],FALSE)</f>
        <v>0</v>
      </c>
      <c r="D970" s="34"/>
      <c r="E970" s="34"/>
    </row>
    <row r="971" spans="1:5" x14ac:dyDescent="0.3">
      <c r="A971" s="32">
        <v>970</v>
      </c>
      <c r="B971" s="32"/>
      <c r="C971" s="32" t="b">
        <f>_xlfn.XLOOKUP(Table61011121314[[#This Row],[Category No]],Table8[Category No],Table8[Chapter List],FALSE)</f>
        <v>0</v>
      </c>
      <c r="D971" s="34"/>
      <c r="E971" s="34"/>
    </row>
    <row r="972" spans="1:5" x14ac:dyDescent="0.3">
      <c r="A972" s="32">
        <v>971</v>
      </c>
      <c r="B972" s="32"/>
      <c r="C972" s="32" t="b">
        <f>_xlfn.XLOOKUP(Table61011121314[[#This Row],[Category No]],Table8[Category No],Table8[Chapter List],FALSE)</f>
        <v>0</v>
      </c>
      <c r="D972" s="34"/>
      <c r="E972" s="34"/>
    </row>
    <row r="973" spans="1:5" x14ac:dyDescent="0.3">
      <c r="A973" s="32">
        <v>972</v>
      </c>
      <c r="B973" s="32"/>
      <c r="C973" s="32" t="b">
        <f>_xlfn.XLOOKUP(Table61011121314[[#This Row],[Category No]],Table8[Category No],Table8[Chapter List],FALSE)</f>
        <v>0</v>
      </c>
      <c r="D973" s="34"/>
      <c r="E973" s="34"/>
    </row>
    <row r="974" spans="1:5" x14ac:dyDescent="0.3">
      <c r="A974" s="32">
        <v>973</v>
      </c>
      <c r="B974" s="32"/>
      <c r="C974" s="32" t="b">
        <f>_xlfn.XLOOKUP(Table61011121314[[#This Row],[Category No]],Table8[Category No],Table8[Chapter List],FALSE)</f>
        <v>0</v>
      </c>
      <c r="D974" s="34"/>
      <c r="E974" s="34"/>
    </row>
    <row r="975" spans="1:5" x14ac:dyDescent="0.3">
      <c r="A975" s="32">
        <v>974</v>
      </c>
      <c r="B975" s="32"/>
      <c r="C975" s="32" t="b">
        <f>_xlfn.XLOOKUP(Table61011121314[[#This Row],[Category No]],Table8[Category No],Table8[Chapter List],FALSE)</f>
        <v>0</v>
      </c>
      <c r="D975" s="34"/>
      <c r="E975" s="34"/>
    </row>
    <row r="976" spans="1:5" x14ac:dyDescent="0.3">
      <c r="A976" s="32">
        <v>975</v>
      </c>
      <c r="B976" s="32"/>
      <c r="C976" s="32" t="b">
        <f>_xlfn.XLOOKUP(Table61011121314[[#This Row],[Category No]],Table8[Category No],Table8[Chapter List],FALSE)</f>
        <v>0</v>
      </c>
      <c r="D976" s="34"/>
      <c r="E976" s="34"/>
    </row>
    <row r="977" spans="1:5" x14ac:dyDescent="0.3">
      <c r="A977" s="32">
        <v>976</v>
      </c>
      <c r="B977" s="32"/>
      <c r="C977" s="32" t="b">
        <f>_xlfn.XLOOKUP(Table61011121314[[#This Row],[Category No]],Table8[Category No],Table8[Chapter List],FALSE)</f>
        <v>0</v>
      </c>
      <c r="D977" s="34"/>
      <c r="E977" s="34"/>
    </row>
    <row r="978" spans="1:5" x14ac:dyDescent="0.3">
      <c r="A978" s="32">
        <v>977</v>
      </c>
      <c r="B978" s="32"/>
      <c r="C978" s="32" t="b">
        <f>_xlfn.XLOOKUP(Table61011121314[[#This Row],[Category No]],Table8[Category No],Table8[Chapter List],FALSE)</f>
        <v>0</v>
      </c>
      <c r="D978" s="34"/>
      <c r="E978" s="34"/>
    </row>
    <row r="979" spans="1:5" x14ac:dyDescent="0.3">
      <c r="A979" s="32">
        <v>978</v>
      </c>
      <c r="B979" s="32"/>
      <c r="C979" s="32" t="b">
        <f>_xlfn.XLOOKUP(Table61011121314[[#This Row],[Category No]],Table8[Category No],Table8[Chapter List],FALSE)</f>
        <v>0</v>
      </c>
      <c r="D979" s="34"/>
      <c r="E979" s="34"/>
    </row>
    <row r="980" spans="1:5" x14ac:dyDescent="0.3">
      <c r="A980" s="32">
        <v>979</v>
      </c>
      <c r="B980" s="32"/>
      <c r="C980" s="32" t="b">
        <f>_xlfn.XLOOKUP(Table61011121314[[#This Row],[Category No]],Table8[Category No],Table8[Chapter List],FALSE)</f>
        <v>0</v>
      </c>
      <c r="D980" s="34"/>
      <c r="E980" s="34"/>
    </row>
    <row r="981" spans="1:5" x14ac:dyDescent="0.3">
      <c r="A981" s="32">
        <v>980</v>
      </c>
      <c r="B981" s="32"/>
      <c r="C981" s="32" t="b">
        <f>_xlfn.XLOOKUP(Table61011121314[[#This Row],[Category No]],Table8[Category No],Table8[Chapter List],FALSE)</f>
        <v>0</v>
      </c>
      <c r="D981" s="34"/>
      <c r="E981" s="34"/>
    </row>
    <row r="982" spans="1:5" x14ac:dyDescent="0.3">
      <c r="A982" s="32">
        <v>981</v>
      </c>
      <c r="B982" s="32"/>
      <c r="C982" s="32" t="b">
        <f>_xlfn.XLOOKUP(Table61011121314[[#This Row],[Category No]],Table8[Category No],Table8[Chapter List],FALSE)</f>
        <v>0</v>
      </c>
      <c r="D982" s="34"/>
      <c r="E982" s="34"/>
    </row>
    <row r="983" spans="1:5" x14ac:dyDescent="0.3">
      <c r="A983" s="32">
        <v>982</v>
      </c>
      <c r="B983" s="32"/>
      <c r="C983" s="32" t="b">
        <f>_xlfn.XLOOKUP(Table61011121314[[#This Row],[Category No]],Table8[Category No],Table8[Chapter List],FALSE)</f>
        <v>0</v>
      </c>
      <c r="D983" s="34"/>
      <c r="E983" s="34"/>
    </row>
    <row r="984" spans="1:5" x14ac:dyDescent="0.3">
      <c r="A984" s="32">
        <v>983</v>
      </c>
      <c r="B984" s="32"/>
      <c r="C984" s="32" t="b">
        <f>_xlfn.XLOOKUP(Table61011121314[[#This Row],[Category No]],Table8[Category No],Table8[Chapter List],FALSE)</f>
        <v>0</v>
      </c>
      <c r="D984" s="34"/>
      <c r="E984" s="34"/>
    </row>
    <row r="985" spans="1:5" x14ac:dyDescent="0.3">
      <c r="A985" s="32">
        <v>984</v>
      </c>
      <c r="B985" s="32"/>
      <c r="C985" s="32" t="b">
        <f>_xlfn.XLOOKUP(Table61011121314[[#This Row],[Category No]],Table8[Category No],Table8[Chapter List],FALSE)</f>
        <v>0</v>
      </c>
      <c r="D985" s="34"/>
      <c r="E985" s="34"/>
    </row>
    <row r="986" spans="1:5" x14ac:dyDescent="0.3">
      <c r="A986" s="32">
        <v>985</v>
      </c>
      <c r="B986" s="32"/>
      <c r="C986" s="32" t="b">
        <f>_xlfn.XLOOKUP(Table61011121314[[#This Row],[Category No]],Table8[Category No],Table8[Chapter List],FALSE)</f>
        <v>0</v>
      </c>
      <c r="D986" s="34"/>
      <c r="E986" s="34"/>
    </row>
    <row r="987" spans="1:5" x14ac:dyDescent="0.3">
      <c r="A987" s="32">
        <v>986</v>
      </c>
      <c r="B987" s="32"/>
      <c r="C987" s="32" t="b">
        <f>_xlfn.XLOOKUP(Table61011121314[[#This Row],[Category No]],Table8[Category No],Table8[Chapter List],FALSE)</f>
        <v>0</v>
      </c>
      <c r="D987" s="34"/>
      <c r="E987" s="34"/>
    </row>
    <row r="988" spans="1:5" x14ac:dyDescent="0.3">
      <c r="A988" s="32">
        <v>987</v>
      </c>
      <c r="B988" s="32"/>
      <c r="C988" s="32" t="b">
        <f>_xlfn.XLOOKUP(Table61011121314[[#This Row],[Category No]],Table8[Category No],Table8[Chapter List],FALSE)</f>
        <v>0</v>
      </c>
      <c r="D988" s="34"/>
      <c r="E988" s="34"/>
    </row>
    <row r="989" spans="1:5" x14ac:dyDescent="0.3">
      <c r="A989" s="32">
        <v>988</v>
      </c>
      <c r="B989" s="32"/>
      <c r="C989" s="32" t="b">
        <f>_xlfn.XLOOKUP(Table61011121314[[#This Row],[Category No]],Table8[Category No],Table8[Chapter List],FALSE)</f>
        <v>0</v>
      </c>
      <c r="D989" s="34"/>
      <c r="E989" s="34"/>
    </row>
    <row r="990" spans="1:5" x14ac:dyDescent="0.3">
      <c r="A990" s="32">
        <v>989</v>
      </c>
      <c r="B990" s="32"/>
      <c r="C990" s="32" t="b">
        <f>_xlfn.XLOOKUP(Table61011121314[[#This Row],[Category No]],Table8[Category No],Table8[Chapter List],FALSE)</f>
        <v>0</v>
      </c>
      <c r="D990" s="34"/>
      <c r="E990" s="34"/>
    </row>
    <row r="991" spans="1:5" x14ac:dyDescent="0.3">
      <c r="A991" s="32">
        <v>990</v>
      </c>
      <c r="B991" s="32"/>
      <c r="C991" s="32" t="b">
        <f>_xlfn.XLOOKUP(Table61011121314[[#This Row],[Category No]],Table8[Category No],Table8[Chapter List],FALSE)</f>
        <v>0</v>
      </c>
      <c r="D991" s="34"/>
      <c r="E991" s="34"/>
    </row>
    <row r="992" spans="1:5" x14ac:dyDescent="0.3">
      <c r="A992" s="32">
        <v>991</v>
      </c>
      <c r="B992" s="32"/>
      <c r="C992" s="32" t="b">
        <f>_xlfn.XLOOKUP(Table61011121314[[#This Row],[Category No]],Table8[Category No],Table8[Chapter List],FALSE)</f>
        <v>0</v>
      </c>
      <c r="D992" s="34"/>
      <c r="E992" s="34"/>
    </row>
    <row r="993" spans="1:5" x14ac:dyDescent="0.3">
      <c r="A993" s="32">
        <v>992</v>
      </c>
      <c r="B993" s="32"/>
      <c r="C993" s="32" t="b">
        <f>_xlfn.XLOOKUP(Table61011121314[[#This Row],[Category No]],Table8[Category No],Table8[Chapter List],FALSE)</f>
        <v>0</v>
      </c>
      <c r="D993" s="34"/>
      <c r="E993" s="34"/>
    </row>
    <row r="994" spans="1:5" x14ac:dyDescent="0.3">
      <c r="A994" s="32">
        <v>993</v>
      </c>
      <c r="B994" s="32"/>
      <c r="C994" s="32" t="b">
        <f>_xlfn.XLOOKUP(Table61011121314[[#This Row],[Category No]],Table8[Category No],Table8[Chapter List],FALSE)</f>
        <v>0</v>
      </c>
      <c r="D994" s="34"/>
      <c r="E994" s="34"/>
    </row>
    <row r="995" spans="1:5" x14ac:dyDescent="0.3">
      <c r="A995" s="32">
        <v>994</v>
      </c>
      <c r="B995" s="32"/>
      <c r="C995" s="32" t="b">
        <f>_xlfn.XLOOKUP(Table61011121314[[#This Row],[Category No]],Table8[Category No],Table8[Chapter List],FALSE)</f>
        <v>0</v>
      </c>
      <c r="D995" s="34"/>
      <c r="E995" s="34"/>
    </row>
    <row r="996" spans="1:5" x14ac:dyDescent="0.3">
      <c r="A996" s="32">
        <v>995</v>
      </c>
      <c r="B996" s="32"/>
      <c r="C996" s="32" t="b">
        <f>_xlfn.XLOOKUP(Table61011121314[[#This Row],[Category No]],Table8[Category No],Table8[Chapter List],FALSE)</f>
        <v>0</v>
      </c>
      <c r="D996" s="34"/>
      <c r="E996" s="34"/>
    </row>
    <row r="997" spans="1:5" x14ac:dyDescent="0.3">
      <c r="A997" s="32">
        <v>996</v>
      </c>
      <c r="B997" s="32"/>
      <c r="C997" s="32" t="b">
        <f>_xlfn.XLOOKUP(Table61011121314[[#This Row],[Category No]],Table8[Category No],Table8[Chapter List],FALSE)</f>
        <v>0</v>
      </c>
      <c r="D997" s="34"/>
      <c r="E997" s="34"/>
    </row>
    <row r="998" spans="1:5" x14ac:dyDescent="0.3">
      <c r="A998" s="32">
        <v>997</v>
      </c>
      <c r="B998" s="32"/>
      <c r="C998" s="32" t="b">
        <f>_xlfn.XLOOKUP(Table61011121314[[#This Row],[Category No]],Table8[Category No],Table8[Chapter List],FALSE)</f>
        <v>0</v>
      </c>
      <c r="D998" s="34"/>
      <c r="E998" s="34"/>
    </row>
    <row r="999" spans="1:5" x14ac:dyDescent="0.3">
      <c r="A999" s="32">
        <v>998</v>
      </c>
      <c r="B999" s="32"/>
      <c r="C999" s="32" t="b">
        <f>_xlfn.XLOOKUP(Table61011121314[[#This Row],[Category No]],Table8[Category No],Table8[Chapter List],FALSE)</f>
        <v>0</v>
      </c>
      <c r="D999" s="34"/>
      <c r="E999" s="34"/>
    </row>
    <row r="1000" spans="1:5" x14ac:dyDescent="0.3">
      <c r="A1000" s="32">
        <v>999</v>
      </c>
      <c r="B1000" s="32"/>
      <c r="C1000" s="32" t="b">
        <f>_xlfn.XLOOKUP(Table61011121314[[#This Row],[Category No]],Table8[Category No],Table8[Chapter List],FALSE)</f>
        <v>0</v>
      </c>
      <c r="D1000" s="34"/>
      <c r="E1000" s="34"/>
    </row>
  </sheetData>
  <mergeCells count="14">
    <mergeCell ref="F166:F168"/>
    <mergeCell ref="F160:F163"/>
    <mergeCell ref="F87:F89"/>
    <mergeCell ref="F90:F91"/>
    <mergeCell ref="F92:F93"/>
    <mergeCell ref="F94:F99"/>
    <mergeCell ref="F100:F105"/>
    <mergeCell ref="F150:F152"/>
    <mergeCell ref="F153:F154"/>
    <mergeCell ref="F155:F158"/>
    <mergeCell ref="F143:F149"/>
    <mergeCell ref="F131:F135"/>
    <mergeCell ref="F136:F140"/>
    <mergeCell ref="F141:F14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9195-3518-4F4E-972C-67D7D5B195A3}">
  <dimension ref="A1:G1006"/>
  <sheetViews>
    <sheetView topLeftCell="B198" workbookViewId="0">
      <selection activeCell="D211" sqref="D211"/>
    </sheetView>
  </sheetViews>
  <sheetFormatPr defaultRowHeight="13.8" x14ac:dyDescent="0.3"/>
  <cols>
    <col min="1" max="1" width="9" style="37" customWidth="1"/>
    <col min="2" max="2" width="14.21875" style="37" bestFit="1" customWidth="1"/>
    <col min="3" max="3" width="52.6640625" style="37" bestFit="1" customWidth="1"/>
    <col min="4" max="4" width="41.21875" style="37" customWidth="1"/>
    <col min="5" max="5" width="13.109375" style="37" bestFit="1" customWidth="1"/>
    <col min="6" max="6" width="58.33203125" style="37" bestFit="1" customWidth="1"/>
    <col min="7" max="7" width="19.5546875" style="46" bestFit="1" customWidth="1"/>
    <col min="8" max="16384" width="8.88671875" style="37"/>
  </cols>
  <sheetData>
    <row r="1" spans="1:6" x14ac:dyDescent="0.3">
      <c r="A1" s="35" t="s">
        <v>1</v>
      </c>
      <c r="B1" s="36" t="s">
        <v>125</v>
      </c>
      <c r="C1" s="36" t="s">
        <v>126</v>
      </c>
      <c r="D1" s="36" t="s">
        <v>136</v>
      </c>
      <c r="E1" s="36" t="s">
        <v>137</v>
      </c>
      <c r="F1" s="36" t="s">
        <v>135</v>
      </c>
    </row>
    <row r="2" spans="1:6" x14ac:dyDescent="0.3">
      <c r="A2" s="32">
        <v>1</v>
      </c>
      <c r="B2" s="32" t="s">
        <v>60</v>
      </c>
      <c r="C2" s="32" t="str">
        <f>_xlfn.XLOOKUP(Table6101112131415[[#This Row],[Category No]],Table8[Category No],Table8[Chapter List],FALSE)</f>
        <v>Prehistoric Phase of India</v>
      </c>
      <c r="D2" s="34" t="s">
        <v>190</v>
      </c>
      <c r="E2" s="34" t="s">
        <v>191</v>
      </c>
      <c r="F2" s="34" t="s">
        <v>192</v>
      </c>
    </row>
    <row r="3" spans="1:6" x14ac:dyDescent="0.3">
      <c r="A3" s="32">
        <v>2</v>
      </c>
      <c r="B3" s="32" t="s">
        <v>60</v>
      </c>
      <c r="C3" s="32" t="str">
        <f>_xlfn.XLOOKUP(Table6101112131415[[#This Row],[Category No]],Table8[Category No],Table8[Chapter List],FALSE)</f>
        <v>Prehistoric Phase of India</v>
      </c>
      <c r="D3" s="34" t="s">
        <v>193</v>
      </c>
      <c r="E3" s="34" t="s">
        <v>191</v>
      </c>
      <c r="F3" s="34" t="s">
        <v>183</v>
      </c>
    </row>
    <row r="4" spans="1:6" x14ac:dyDescent="0.3">
      <c r="A4" s="32">
        <v>3</v>
      </c>
      <c r="B4" s="32" t="s">
        <v>60</v>
      </c>
      <c r="C4" s="32" t="str">
        <f>_xlfn.XLOOKUP(Table6101112131415[[#This Row],[Category No]],Table8[Category No],Table8[Chapter List],FALSE)</f>
        <v>Prehistoric Phase of India</v>
      </c>
      <c r="D4" s="34" t="s">
        <v>194</v>
      </c>
      <c r="E4" s="34" t="s">
        <v>191</v>
      </c>
      <c r="F4" s="34" t="s">
        <v>148</v>
      </c>
    </row>
    <row r="5" spans="1:6" x14ac:dyDescent="0.3">
      <c r="A5" s="32">
        <v>4</v>
      </c>
      <c r="B5" s="32" t="s">
        <v>60</v>
      </c>
      <c r="C5" s="32" t="str">
        <f>_xlfn.XLOOKUP(Table6101112131415[[#This Row],[Category No]],Table8[Category No],Table8[Chapter List],FALSE)</f>
        <v>Prehistoric Phase of India</v>
      </c>
      <c r="D5" s="34" t="s">
        <v>195</v>
      </c>
      <c r="E5" s="34" t="s">
        <v>191</v>
      </c>
      <c r="F5" s="34" t="s">
        <v>150</v>
      </c>
    </row>
    <row r="6" spans="1:6" x14ac:dyDescent="0.3">
      <c r="A6" s="32">
        <v>5</v>
      </c>
      <c r="B6" s="32" t="s">
        <v>60</v>
      </c>
      <c r="C6" s="32" t="str">
        <f>_xlfn.XLOOKUP(Table6101112131415[[#This Row],[Category No]],Table8[Category No],Table8[Chapter List],FALSE)</f>
        <v>Prehistoric Phase of India</v>
      </c>
      <c r="D6" s="34" t="s">
        <v>196</v>
      </c>
      <c r="E6" s="34" t="s">
        <v>191</v>
      </c>
      <c r="F6" s="34" t="s">
        <v>150</v>
      </c>
    </row>
    <row r="7" spans="1:6" x14ac:dyDescent="0.3">
      <c r="A7" s="32">
        <v>6</v>
      </c>
      <c r="B7" s="32" t="s">
        <v>60</v>
      </c>
      <c r="C7" s="32" t="str">
        <f>_xlfn.XLOOKUP(Table6101112131415[[#This Row],[Category No]],Table8[Category No],Table8[Chapter List],FALSE)</f>
        <v>Prehistoric Phase of India</v>
      </c>
      <c r="D7" s="34" t="s">
        <v>197</v>
      </c>
      <c r="E7" s="34" t="s">
        <v>198</v>
      </c>
      <c r="F7" s="34" t="s">
        <v>150</v>
      </c>
    </row>
    <row r="8" spans="1:6" x14ac:dyDescent="0.3">
      <c r="A8" s="32">
        <v>7</v>
      </c>
      <c r="B8" s="32" t="s">
        <v>60</v>
      </c>
      <c r="C8" s="32" t="str">
        <f>_xlfn.XLOOKUP(Table6101112131415[[#This Row],[Category No]],Table8[Category No],Table8[Chapter List],FALSE)</f>
        <v>Prehistoric Phase of India</v>
      </c>
      <c r="D8" s="34" t="s">
        <v>199</v>
      </c>
      <c r="E8" s="34" t="s">
        <v>198</v>
      </c>
      <c r="F8" s="34" t="s">
        <v>152</v>
      </c>
    </row>
    <row r="9" spans="1:6" x14ac:dyDescent="0.3">
      <c r="A9" s="32">
        <v>8</v>
      </c>
      <c r="B9" s="32" t="s">
        <v>60</v>
      </c>
      <c r="C9" s="32" t="str">
        <f>_xlfn.XLOOKUP(Table6101112131415[[#This Row],[Category No]],Table8[Category No],Table8[Chapter List],FALSE)</f>
        <v>Prehistoric Phase of India</v>
      </c>
      <c r="D9" s="34" t="s">
        <v>200</v>
      </c>
      <c r="E9" s="34" t="s">
        <v>198</v>
      </c>
      <c r="F9" s="34" t="s">
        <v>152</v>
      </c>
    </row>
    <row r="10" spans="1:6" x14ac:dyDescent="0.3">
      <c r="A10" s="32">
        <v>9</v>
      </c>
      <c r="B10" s="32" t="s">
        <v>60</v>
      </c>
      <c r="C10" s="32" t="str">
        <f>_xlfn.XLOOKUP(Table6101112131415[[#This Row],[Category No]],Table8[Category No],Table8[Chapter List],FALSE)</f>
        <v>Prehistoric Phase of India</v>
      </c>
      <c r="D10" s="34" t="s">
        <v>201</v>
      </c>
      <c r="E10" s="34" t="s">
        <v>198</v>
      </c>
      <c r="F10" s="34" t="s">
        <v>152</v>
      </c>
    </row>
    <row r="11" spans="1:6" x14ac:dyDescent="0.3">
      <c r="A11" s="32">
        <v>10</v>
      </c>
      <c r="B11" s="32" t="s">
        <v>60</v>
      </c>
      <c r="C11" s="32" t="str">
        <f>_xlfn.XLOOKUP(Table6101112131415[[#This Row],[Category No]],Table8[Category No],Table8[Chapter List],FALSE)</f>
        <v>Prehistoric Phase of India</v>
      </c>
      <c r="D11" s="34" t="s">
        <v>202</v>
      </c>
      <c r="E11" s="34" t="s">
        <v>198</v>
      </c>
      <c r="F11" s="34" t="s">
        <v>152</v>
      </c>
    </row>
    <row r="12" spans="1:6" x14ac:dyDescent="0.3">
      <c r="A12" s="32">
        <v>11</v>
      </c>
      <c r="B12" s="32" t="s">
        <v>60</v>
      </c>
      <c r="C12" s="32" t="str">
        <f>_xlfn.XLOOKUP(Table6101112131415[[#This Row],[Category No]],Table8[Category No],Table8[Chapter List],FALSE)</f>
        <v>Prehistoric Phase of India</v>
      </c>
      <c r="D12" s="34" t="s">
        <v>203</v>
      </c>
      <c r="E12" s="34" t="s">
        <v>198</v>
      </c>
      <c r="F12" s="34" t="s">
        <v>152</v>
      </c>
    </row>
    <row r="13" spans="1:6" x14ac:dyDescent="0.3">
      <c r="A13" s="32">
        <v>12</v>
      </c>
      <c r="B13" s="32" t="s">
        <v>61</v>
      </c>
      <c r="C13" s="32" t="str">
        <f>_xlfn.XLOOKUP(Table6101112131415[[#This Row],[Category No]],Table8[Category No],Table8[Chapter List],FALSE)</f>
        <v>Indus Valley Civilization</v>
      </c>
      <c r="D13" s="34" t="s">
        <v>246</v>
      </c>
      <c r="E13" s="34"/>
      <c r="F13" s="34"/>
    </row>
    <row r="14" spans="1:6" x14ac:dyDescent="0.3">
      <c r="A14" s="32">
        <v>13</v>
      </c>
      <c r="B14" s="32" t="s">
        <v>61</v>
      </c>
      <c r="C14" s="32" t="str">
        <f>_xlfn.XLOOKUP(Table6101112131415[[#This Row],[Category No]],Table8[Category No],Table8[Chapter List],FALSE)</f>
        <v>Indus Valley Civilization</v>
      </c>
      <c r="D14" s="34" t="s">
        <v>247</v>
      </c>
      <c r="E14" s="34"/>
      <c r="F14" s="34"/>
    </row>
    <row r="15" spans="1:6" x14ac:dyDescent="0.3">
      <c r="A15" s="32">
        <v>14</v>
      </c>
      <c r="B15" s="32" t="s">
        <v>61</v>
      </c>
      <c r="C15" s="32" t="str">
        <f>_xlfn.XLOOKUP(Table6101112131415[[#This Row],[Category No]],Table8[Category No],Table8[Chapter List],FALSE)</f>
        <v>Indus Valley Civilization</v>
      </c>
      <c r="D15" s="34" t="s">
        <v>248</v>
      </c>
      <c r="E15" s="34"/>
      <c r="F15" s="34"/>
    </row>
    <row r="16" spans="1:6" x14ac:dyDescent="0.3">
      <c r="A16" s="32">
        <v>15</v>
      </c>
      <c r="B16" s="32" t="s">
        <v>61</v>
      </c>
      <c r="C16" s="32" t="str">
        <f>_xlfn.XLOOKUP(Table6101112131415[[#This Row],[Category No]],Table8[Category No],Table8[Chapter List],FALSE)</f>
        <v>Indus Valley Civilization</v>
      </c>
      <c r="D16" s="34" t="s">
        <v>249</v>
      </c>
      <c r="E16" s="34"/>
      <c r="F16" s="34" t="s">
        <v>250</v>
      </c>
    </row>
    <row r="17" spans="1:6" x14ac:dyDescent="0.3">
      <c r="A17" s="32">
        <v>16</v>
      </c>
      <c r="B17" s="32" t="s">
        <v>61</v>
      </c>
      <c r="C17" s="32" t="str">
        <f>_xlfn.XLOOKUP(Table6101112131415[[#This Row],[Category No]],Table8[Category No],Table8[Chapter List],FALSE)</f>
        <v>Indus Valley Civilization</v>
      </c>
      <c r="D17" s="34" t="s">
        <v>251</v>
      </c>
      <c r="E17" s="34"/>
      <c r="F17" s="34" t="s">
        <v>252</v>
      </c>
    </row>
    <row r="18" spans="1:6" x14ac:dyDescent="0.3">
      <c r="A18" s="32">
        <v>17</v>
      </c>
      <c r="B18" s="32" t="s">
        <v>61</v>
      </c>
      <c r="C18" s="32" t="str">
        <f>_xlfn.XLOOKUP(Table6101112131415[[#This Row],[Category No]],Table8[Category No],Table8[Chapter List],FALSE)</f>
        <v>Indus Valley Civilization</v>
      </c>
      <c r="D18" s="34" t="s">
        <v>253</v>
      </c>
      <c r="E18" s="34"/>
      <c r="F18" s="34" t="s">
        <v>254</v>
      </c>
    </row>
    <row r="19" spans="1:6" x14ac:dyDescent="0.3">
      <c r="A19" s="32">
        <v>18</v>
      </c>
      <c r="B19" s="32" t="s">
        <v>61</v>
      </c>
      <c r="C19" s="32" t="str">
        <f>_xlfn.XLOOKUP(Table6101112131415[[#This Row],[Category No]],Table8[Category No],Table8[Chapter List],FALSE)</f>
        <v>Indus Valley Civilization</v>
      </c>
      <c r="D19" s="34" t="s">
        <v>255</v>
      </c>
      <c r="E19" s="34"/>
      <c r="F19" s="34" t="s">
        <v>281</v>
      </c>
    </row>
    <row r="20" spans="1:6" x14ac:dyDescent="0.3">
      <c r="A20" s="32">
        <v>19</v>
      </c>
      <c r="B20" s="32" t="s">
        <v>61</v>
      </c>
      <c r="C20" s="32" t="str">
        <f>_xlfn.XLOOKUP(Table6101112131415[[#This Row],[Category No]],Table8[Category No],Table8[Chapter List],FALSE)</f>
        <v>Indus Valley Civilization</v>
      </c>
      <c r="D20" s="34" t="s">
        <v>256</v>
      </c>
      <c r="E20" s="34"/>
      <c r="F20" s="34"/>
    </row>
    <row r="21" spans="1:6" x14ac:dyDescent="0.3">
      <c r="A21" s="32">
        <v>20</v>
      </c>
      <c r="B21" s="32" t="s">
        <v>61</v>
      </c>
      <c r="C21" s="32" t="str">
        <f>_xlfn.XLOOKUP(Table6101112131415[[#This Row],[Category No]],Table8[Category No],Table8[Chapter List],FALSE)</f>
        <v>Indus Valley Civilization</v>
      </c>
      <c r="D21" s="34" t="s">
        <v>257</v>
      </c>
      <c r="E21" s="34"/>
      <c r="F21" s="34"/>
    </row>
    <row r="22" spans="1:6" x14ac:dyDescent="0.3">
      <c r="A22" s="32">
        <v>21</v>
      </c>
      <c r="B22" s="32" t="s">
        <v>61</v>
      </c>
      <c r="C22" s="32" t="str">
        <f>_xlfn.XLOOKUP(Table6101112131415[[#This Row],[Category No]],Table8[Category No],Table8[Chapter List],FALSE)</f>
        <v>Indus Valley Civilization</v>
      </c>
      <c r="D22" s="34" t="s">
        <v>258</v>
      </c>
      <c r="E22" s="34"/>
      <c r="F22" s="34"/>
    </row>
    <row r="23" spans="1:6" x14ac:dyDescent="0.3">
      <c r="A23" s="32">
        <v>22</v>
      </c>
      <c r="B23" s="32" t="s">
        <v>61</v>
      </c>
      <c r="C23" s="32" t="str">
        <f>_xlfn.XLOOKUP(Table6101112131415[[#This Row],[Category No]],Table8[Category No],Table8[Chapter List],FALSE)</f>
        <v>Indus Valley Civilization</v>
      </c>
      <c r="D23" s="34" t="s">
        <v>259</v>
      </c>
      <c r="E23" s="34"/>
      <c r="F23" s="34" t="s">
        <v>254</v>
      </c>
    </row>
    <row r="24" spans="1:6" x14ac:dyDescent="0.3">
      <c r="A24" s="32">
        <v>23</v>
      </c>
      <c r="B24" s="32" t="s">
        <v>61</v>
      </c>
      <c r="C24" s="32" t="str">
        <f>_xlfn.XLOOKUP(Table6101112131415[[#This Row],[Category No]],Table8[Category No],Table8[Chapter List],FALSE)</f>
        <v>Indus Valley Civilization</v>
      </c>
      <c r="D24" s="34" t="s">
        <v>260</v>
      </c>
      <c r="E24" s="34"/>
      <c r="F24" s="34"/>
    </row>
    <row r="25" spans="1:6" x14ac:dyDescent="0.3">
      <c r="A25" s="32">
        <v>24</v>
      </c>
      <c r="B25" s="32" t="s">
        <v>61</v>
      </c>
      <c r="C25" s="32" t="str">
        <f>_xlfn.XLOOKUP(Table6101112131415[[#This Row],[Category No]],Table8[Category No],Table8[Chapter List],FALSE)</f>
        <v>Indus Valley Civilization</v>
      </c>
      <c r="D25" s="34" t="s">
        <v>261</v>
      </c>
      <c r="E25" s="34"/>
      <c r="F25" s="34"/>
    </row>
    <row r="26" spans="1:6" x14ac:dyDescent="0.3">
      <c r="A26" s="32">
        <v>25</v>
      </c>
      <c r="B26" s="32" t="s">
        <v>61</v>
      </c>
      <c r="C26" s="32" t="str">
        <f>_xlfn.XLOOKUP(Table6101112131415[[#This Row],[Category No]],Table8[Category No],Table8[Chapter List],FALSE)</f>
        <v>Indus Valley Civilization</v>
      </c>
      <c r="D26" s="34" t="s">
        <v>262</v>
      </c>
      <c r="E26" s="34"/>
      <c r="F26" s="34"/>
    </row>
    <row r="27" spans="1:6" x14ac:dyDescent="0.3">
      <c r="A27" s="32">
        <v>26</v>
      </c>
      <c r="B27" s="32" t="s">
        <v>61</v>
      </c>
      <c r="C27" s="32" t="str">
        <f>_xlfn.XLOOKUP(Table6101112131415[[#This Row],[Category No]],Table8[Category No],Table8[Chapter List],FALSE)</f>
        <v>Indus Valley Civilization</v>
      </c>
      <c r="D27" s="34" t="s">
        <v>263</v>
      </c>
      <c r="E27" s="34"/>
      <c r="F27" s="34"/>
    </row>
    <row r="28" spans="1:6" x14ac:dyDescent="0.3">
      <c r="A28" s="32">
        <v>27</v>
      </c>
      <c r="B28" s="32" t="s">
        <v>61</v>
      </c>
      <c r="C28" s="32" t="str">
        <f>_xlfn.XLOOKUP(Table6101112131415[[#This Row],[Category No]],Table8[Category No],Table8[Chapter List],FALSE)</f>
        <v>Indus Valley Civilization</v>
      </c>
      <c r="D28" s="34" t="s">
        <v>264</v>
      </c>
      <c r="E28" s="34"/>
      <c r="F28" s="34"/>
    </row>
    <row r="29" spans="1:6" x14ac:dyDescent="0.3">
      <c r="A29" s="32">
        <v>28</v>
      </c>
      <c r="B29" s="32" t="s">
        <v>61</v>
      </c>
      <c r="C29" s="32" t="str">
        <f>_xlfn.XLOOKUP(Table6101112131415[[#This Row],[Category No]],Table8[Category No],Table8[Chapter List],FALSE)</f>
        <v>Indus Valley Civilization</v>
      </c>
      <c r="D29" s="34" t="s">
        <v>265</v>
      </c>
      <c r="E29" s="34"/>
      <c r="F29" s="34"/>
    </row>
    <row r="30" spans="1:6" x14ac:dyDescent="0.3">
      <c r="A30" s="32">
        <v>29</v>
      </c>
      <c r="B30" s="32" t="s">
        <v>61</v>
      </c>
      <c r="C30" s="32" t="str">
        <f>_xlfn.XLOOKUP(Table6101112131415[[#This Row],[Category No]],Table8[Category No],Table8[Chapter List],FALSE)</f>
        <v>Indus Valley Civilization</v>
      </c>
      <c r="D30" s="34" t="s">
        <v>266</v>
      </c>
      <c r="E30" s="34"/>
      <c r="F30" s="34"/>
    </row>
    <row r="31" spans="1:6" x14ac:dyDescent="0.3">
      <c r="A31" s="32">
        <v>30</v>
      </c>
      <c r="B31" s="32" t="s">
        <v>61</v>
      </c>
      <c r="C31" s="32" t="str">
        <f>_xlfn.XLOOKUP(Table6101112131415[[#This Row],[Category No]],Table8[Category No],Table8[Chapter List],FALSE)</f>
        <v>Indus Valley Civilization</v>
      </c>
      <c r="D31" s="34" t="s">
        <v>267</v>
      </c>
      <c r="E31" s="34"/>
      <c r="F31" s="34"/>
    </row>
    <row r="32" spans="1:6" x14ac:dyDescent="0.3">
      <c r="A32" s="32">
        <v>31</v>
      </c>
      <c r="B32" s="32" t="s">
        <v>61</v>
      </c>
      <c r="C32" s="32" t="str">
        <f>_xlfn.XLOOKUP(Table6101112131415[[#This Row],[Category No]],Table8[Category No],Table8[Chapter List],FALSE)</f>
        <v>Indus Valley Civilization</v>
      </c>
      <c r="D32" s="34" t="s">
        <v>268</v>
      </c>
      <c r="E32" s="34"/>
      <c r="F32" s="34"/>
    </row>
    <row r="33" spans="1:6" x14ac:dyDescent="0.3">
      <c r="A33" s="32">
        <v>32</v>
      </c>
      <c r="B33" s="32" t="s">
        <v>61</v>
      </c>
      <c r="C33" s="32" t="str">
        <f>_xlfn.XLOOKUP(Table6101112131415[[#This Row],[Category No]],Table8[Category No],Table8[Chapter List],FALSE)</f>
        <v>Indus Valley Civilization</v>
      </c>
      <c r="D33" s="34" t="s">
        <v>269</v>
      </c>
      <c r="E33" s="34"/>
      <c r="F33" s="34"/>
    </row>
    <row r="34" spans="1:6" x14ac:dyDescent="0.3">
      <c r="A34" s="32">
        <v>33</v>
      </c>
      <c r="B34" s="32" t="s">
        <v>61</v>
      </c>
      <c r="C34" s="32" t="str">
        <f>_xlfn.XLOOKUP(Table6101112131415[[#This Row],[Category No]],Table8[Category No],Table8[Chapter List],FALSE)</f>
        <v>Indus Valley Civilization</v>
      </c>
      <c r="D34" s="34" t="s">
        <v>275</v>
      </c>
      <c r="E34" s="34"/>
      <c r="F34" s="34" t="s">
        <v>276</v>
      </c>
    </row>
    <row r="35" spans="1:6" x14ac:dyDescent="0.3">
      <c r="A35" s="32">
        <v>34</v>
      </c>
      <c r="B35" s="32" t="s">
        <v>61</v>
      </c>
      <c r="C35" s="32" t="str">
        <f>_xlfn.XLOOKUP(Table6101112131415[[#This Row],[Category No]],Table8[Category No],Table8[Chapter List],FALSE)</f>
        <v>Indus Valley Civilization</v>
      </c>
      <c r="D35" s="34" t="s">
        <v>277</v>
      </c>
      <c r="E35" s="34"/>
      <c r="F35" s="34" t="s">
        <v>278</v>
      </c>
    </row>
    <row r="36" spans="1:6" x14ac:dyDescent="0.3">
      <c r="A36" s="32">
        <v>35</v>
      </c>
      <c r="B36" s="32" t="s">
        <v>61</v>
      </c>
      <c r="C36" s="32" t="str">
        <f>_xlfn.XLOOKUP(Table6101112131415[[#This Row],[Category No]],Table8[Category No],Table8[Chapter List],FALSE)</f>
        <v>Indus Valley Civilization</v>
      </c>
      <c r="D36" s="34" t="s">
        <v>279</v>
      </c>
      <c r="E36" s="34"/>
      <c r="F36" s="34" t="s">
        <v>280</v>
      </c>
    </row>
    <row r="37" spans="1:6" x14ac:dyDescent="0.3">
      <c r="A37" s="32">
        <v>36</v>
      </c>
      <c r="B37" s="32" t="s">
        <v>61</v>
      </c>
      <c r="C37" s="32" t="str">
        <f>_xlfn.XLOOKUP(Table6101112131415[[#This Row],[Category No]],Table8[Category No],Table8[Chapter List],FALSE)</f>
        <v>Indus Valley Civilization</v>
      </c>
      <c r="D37" s="34" t="s">
        <v>282</v>
      </c>
      <c r="E37" s="34"/>
      <c r="F37" s="34" t="s">
        <v>283</v>
      </c>
    </row>
    <row r="38" spans="1:6" x14ac:dyDescent="0.3">
      <c r="A38" s="32">
        <v>37</v>
      </c>
      <c r="B38" s="32" t="s">
        <v>62</v>
      </c>
      <c r="C38" s="32" t="str">
        <f>_xlfn.XLOOKUP(Table6101112131415[[#This Row],[Category No]],Table8[Category No],Table8[Chapter List],FALSE)</f>
        <v>Rig Vedic Period</v>
      </c>
      <c r="D38" s="34" t="s">
        <v>334</v>
      </c>
      <c r="E38" s="34"/>
      <c r="F38" s="34" t="s">
        <v>335</v>
      </c>
    </row>
    <row r="39" spans="1:6" ht="41.4" x14ac:dyDescent="0.3">
      <c r="A39" s="32">
        <v>38</v>
      </c>
      <c r="B39" s="32" t="s">
        <v>62</v>
      </c>
      <c r="C39" s="32" t="str">
        <f>_xlfn.XLOOKUP(Table6101112131415[[#This Row],[Category No]],Table8[Category No],Table8[Chapter List],FALSE)</f>
        <v>Rig Vedic Period</v>
      </c>
      <c r="D39" s="34" t="s">
        <v>336</v>
      </c>
      <c r="E39" s="34"/>
      <c r="F39" s="33" t="s">
        <v>337</v>
      </c>
    </row>
    <row r="40" spans="1:6" x14ac:dyDescent="0.3">
      <c r="A40" s="32">
        <v>39</v>
      </c>
      <c r="B40" s="32" t="s">
        <v>62</v>
      </c>
      <c r="C40" s="32" t="str">
        <f>_xlfn.XLOOKUP(Table6101112131415[[#This Row],[Category No]],Table8[Category No],Table8[Chapter List],FALSE)</f>
        <v>Rig Vedic Period</v>
      </c>
      <c r="D40" s="34" t="s">
        <v>338</v>
      </c>
      <c r="E40" s="34"/>
      <c r="F40" s="34" t="s">
        <v>339</v>
      </c>
    </row>
    <row r="41" spans="1:6" x14ac:dyDescent="0.3">
      <c r="A41" s="32">
        <v>40</v>
      </c>
      <c r="B41" s="32" t="s">
        <v>62</v>
      </c>
      <c r="C41" s="32" t="str">
        <f>_xlfn.XLOOKUP(Table6101112131415[[#This Row],[Category No]],Table8[Category No],Table8[Chapter List],FALSE)</f>
        <v>Rig Vedic Period</v>
      </c>
      <c r="D41" s="34" t="s">
        <v>340</v>
      </c>
      <c r="E41" s="34"/>
      <c r="F41" s="34" t="s">
        <v>341</v>
      </c>
    </row>
    <row r="42" spans="1:6" x14ac:dyDescent="0.3">
      <c r="A42" s="32">
        <v>41</v>
      </c>
      <c r="B42" s="32" t="s">
        <v>62</v>
      </c>
      <c r="C42" s="32" t="str">
        <f>_xlfn.XLOOKUP(Table6101112131415[[#This Row],[Category No]],Table8[Category No],Table8[Chapter List],FALSE)</f>
        <v>Rig Vedic Period</v>
      </c>
      <c r="D42" s="34" t="s">
        <v>342</v>
      </c>
      <c r="E42" s="34"/>
      <c r="F42" s="34" t="s">
        <v>343</v>
      </c>
    </row>
    <row r="43" spans="1:6" x14ac:dyDescent="0.3">
      <c r="A43" s="32">
        <v>42</v>
      </c>
      <c r="B43" s="32" t="s">
        <v>62</v>
      </c>
      <c r="C43" s="32" t="str">
        <f>_xlfn.XLOOKUP(Table6101112131415[[#This Row],[Category No]],Table8[Category No],Table8[Chapter List],FALSE)</f>
        <v>Rig Vedic Period</v>
      </c>
      <c r="D43" s="34" t="s">
        <v>344</v>
      </c>
      <c r="E43" s="34"/>
      <c r="F43" s="34" t="s">
        <v>345</v>
      </c>
    </row>
    <row r="44" spans="1:6" x14ac:dyDescent="0.3">
      <c r="A44" s="32">
        <v>43</v>
      </c>
      <c r="B44" s="32" t="s">
        <v>62</v>
      </c>
      <c r="C44" s="32" t="str">
        <f>_xlfn.XLOOKUP(Table6101112131415[[#This Row],[Category No]],Table8[Category No],Table8[Chapter List],FALSE)</f>
        <v>Rig Vedic Period</v>
      </c>
      <c r="D44" s="34" t="s">
        <v>346</v>
      </c>
      <c r="E44" s="34"/>
      <c r="F44" s="34" t="s">
        <v>347</v>
      </c>
    </row>
    <row r="45" spans="1:6" x14ac:dyDescent="0.3">
      <c r="A45" s="32">
        <v>44</v>
      </c>
      <c r="B45" s="32" t="s">
        <v>62</v>
      </c>
      <c r="C45" s="32" t="str">
        <f>_xlfn.XLOOKUP(Table6101112131415[[#This Row],[Category No]],Table8[Category No],Table8[Chapter List],FALSE)</f>
        <v>Rig Vedic Period</v>
      </c>
      <c r="D45" s="34" t="s">
        <v>348</v>
      </c>
      <c r="E45" s="34"/>
      <c r="F45" s="34" t="s">
        <v>351</v>
      </c>
    </row>
    <row r="46" spans="1:6" x14ac:dyDescent="0.3">
      <c r="A46" s="32">
        <v>45</v>
      </c>
      <c r="B46" s="32" t="s">
        <v>62</v>
      </c>
      <c r="C46" s="32" t="str">
        <f>_xlfn.XLOOKUP(Table6101112131415[[#This Row],[Category No]],Table8[Category No],Table8[Chapter List],FALSE)</f>
        <v>Rig Vedic Period</v>
      </c>
      <c r="D46" s="34" t="s">
        <v>349</v>
      </c>
      <c r="E46" s="34"/>
      <c r="F46" s="34" t="s">
        <v>352</v>
      </c>
    </row>
    <row r="47" spans="1:6" x14ac:dyDescent="0.3">
      <c r="A47" s="32">
        <v>46</v>
      </c>
      <c r="B47" s="32" t="s">
        <v>62</v>
      </c>
      <c r="C47" s="32" t="str">
        <f>_xlfn.XLOOKUP(Table6101112131415[[#This Row],[Category No]],Table8[Category No],Table8[Chapter List],FALSE)</f>
        <v>Rig Vedic Period</v>
      </c>
      <c r="D47" s="34" t="s">
        <v>350</v>
      </c>
      <c r="E47" s="34"/>
      <c r="F47" s="34" t="s">
        <v>353</v>
      </c>
    </row>
    <row r="48" spans="1:6" x14ac:dyDescent="0.3">
      <c r="A48" s="32">
        <v>47</v>
      </c>
      <c r="B48" s="32" t="s">
        <v>62</v>
      </c>
      <c r="C48" s="32" t="str">
        <f>_xlfn.XLOOKUP(Table6101112131415[[#This Row],[Category No]],Table8[Category No],Table8[Chapter List],FALSE)</f>
        <v>Rig Vedic Period</v>
      </c>
      <c r="D48" s="34" t="s">
        <v>354</v>
      </c>
      <c r="E48" s="34"/>
      <c r="F48" s="34" t="s">
        <v>355</v>
      </c>
    </row>
    <row r="49" spans="1:6" x14ac:dyDescent="0.3">
      <c r="A49" s="32">
        <v>48</v>
      </c>
      <c r="B49" s="32" t="s">
        <v>62</v>
      </c>
      <c r="C49" s="32" t="str">
        <f>_xlfn.XLOOKUP(Table6101112131415[[#This Row],[Category No]],Table8[Category No],Table8[Chapter List],FALSE)</f>
        <v>Rig Vedic Period</v>
      </c>
      <c r="D49" s="34" t="s">
        <v>356</v>
      </c>
      <c r="E49" s="34"/>
      <c r="F49" s="34" t="s">
        <v>357</v>
      </c>
    </row>
    <row r="50" spans="1:6" ht="27.6" x14ac:dyDescent="0.3">
      <c r="A50" s="32">
        <v>49</v>
      </c>
      <c r="B50" s="32" t="s">
        <v>62</v>
      </c>
      <c r="C50" s="32" t="str">
        <f>_xlfn.XLOOKUP(Table6101112131415[[#This Row],[Category No]],Table8[Category No],Table8[Chapter List],FALSE)</f>
        <v>Rig Vedic Period</v>
      </c>
      <c r="D50" s="34" t="s">
        <v>358</v>
      </c>
      <c r="E50" s="34"/>
      <c r="F50" s="33" t="s">
        <v>359</v>
      </c>
    </row>
    <row r="51" spans="1:6" x14ac:dyDescent="0.3">
      <c r="A51" s="32">
        <v>50</v>
      </c>
      <c r="B51" s="32" t="s">
        <v>63</v>
      </c>
      <c r="C51" s="32" t="str">
        <f>_xlfn.XLOOKUP(Table6101112131415[[#This Row],[Category No]],Table8[Category No],Table8[Chapter List],FALSE)</f>
        <v>Later Vedic Period</v>
      </c>
      <c r="D51" s="34" t="s">
        <v>505</v>
      </c>
      <c r="E51" s="34" t="s">
        <v>198</v>
      </c>
      <c r="F51" s="34"/>
    </row>
    <row r="52" spans="1:6" x14ac:dyDescent="0.3">
      <c r="A52" s="32">
        <v>51</v>
      </c>
      <c r="B52" s="32" t="s">
        <v>63</v>
      </c>
      <c r="C52" s="32" t="str">
        <f>_xlfn.XLOOKUP(Table6101112131415[[#This Row],[Category No]],Table8[Category No],Table8[Chapter List],FALSE)</f>
        <v>Later Vedic Period</v>
      </c>
      <c r="D52" s="34" t="s">
        <v>506</v>
      </c>
      <c r="E52" s="34"/>
      <c r="F52" s="34"/>
    </row>
    <row r="53" spans="1:6" x14ac:dyDescent="0.3">
      <c r="A53" s="32">
        <v>52</v>
      </c>
      <c r="B53" s="32" t="s">
        <v>63</v>
      </c>
      <c r="C53" s="32" t="str">
        <f>_xlfn.XLOOKUP(Table6101112131415[[#This Row],[Category No]],Table8[Category No],Table8[Chapter List],FALSE)</f>
        <v>Later Vedic Period</v>
      </c>
      <c r="D53" s="34" t="s">
        <v>507</v>
      </c>
      <c r="E53" s="34"/>
      <c r="F53" s="34" t="s">
        <v>508</v>
      </c>
    </row>
    <row r="54" spans="1:6" x14ac:dyDescent="0.3">
      <c r="A54" s="32">
        <v>53</v>
      </c>
      <c r="B54" s="32" t="s">
        <v>63</v>
      </c>
      <c r="C54" s="32" t="str">
        <f>_xlfn.XLOOKUP(Table6101112131415[[#This Row],[Category No]],Table8[Category No],Table8[Chapter List],FALSE)</f>
        <v>Later Vedic Period</v>
      </c>
      <c r="D54" s="34" t="s">
        <v>509</v>
      </c>
      <c r="E54" s="34"/>
      <c r="F54" s="34" t="s">
        <v>440</v>
      </c>
    </row>
    <row r="55" spans="1:6" x14ac:dyDescent="0.3">
      <c r="A55" s="32">
        <v>54</v>
      </c>
      <c r="B55" s="32" t="s">
        <v>63</v>
      </c>
      <c r="C55" s="32" t="str">
        <f>_xlfn.XLOOKUP(Table6101112131415[[#This Row],[Category No]],Table8[Category No],Table8[Chapter List],FALSE)</f>
        <v>Later Vedic Period</v>
      </c>
      <c r="D55" s="34" t="s">
        <v>510</v>
      </c>
      <c r="E55" s="34"/>
      <c r="F55" s="34"/>
    </row>
    <row r="56" spans="1:6" x14ac:dyDescent="0.3">
      <c r="A56" s="32">
        <v>55</v>
      </c>
      <c r="B56" s="32" t="s">
        <v>63</v>
      </c>
      <c r="C56" s="32" t="str">
        <f>_xlfn.XLOOKUP(Table6101112131415[[#This Row],[Category No]],Table8[Category No],Table8[Chapter List],FALSE)</f>
        <v>Later Vedic Period</v>
      </c>
      <c r="D56" s="34" t="s">
        <v>511</v>
      </c>
      <c r="E56" s="34"/>
      <c r="F56" s="34"/>
    </row>
    <row r="57" spans="1:6" x14ac:dyDescent="0.3">
      <c r="A57" s="32">
        <v>56</v>
      </c>
      <c r="B57" s="32" t="s">
        <v>63</v>
      </c>
      <c r="C57" s="32" t="str">
        <f>_xlfn.XLOOKUP(Table6101112131415[[#This Row],[Category No]],Table8[Category No],Table8[Chapter List],FALSE)</f>
        <v>Later Vedic Period</v>
      </c>
      <c r="D57" s="34" t="s">
        <v>512</v>
      </c>
      <c r="E57" s="34"/>
      <c r="F57" s="34"/>
    </row>
    <row r="58" spans="1:6" x14ac:dyDescent="0.3">
      <c r="A58" s="32">
        <v>57</v>
      </c>
      <c r="B58" s="32" t="s">
        <v>63</v>
      </c>
      <c r="C58" s="32" t="str">
        <f>_xlfn.XLOOKUP(Table6101112131415[[#This Row],[Category No]],Table8[Category No],Table8[Chapter List],FALSE)</f>
        <v>Later Vedic Period</v>
      </c>
      <c r="D58" s="34" t="s">
        <v>342</v>
      </c>
      <c r="E58" s="34"/>
      <c r="F58" s="34" t="s">
        <v>513</v>
      </c>
    </row>
    <row r="59" spans="1:6" ht="27.6" x14ac:dyDescent="0.3">
      <c r="A59" s="32">
        <v>58</v>
      </c>
      <c r="B59" s="32" t="s">
        <v>64</v>
      </c>
      <c r="C59" s="32" t="str">
        <f>_xlfn.XLOOKUP(Table6101112131415[[#This Row],[Category No]],Table8[Category No],Table8[Chapter List],FALSE)</f>
        <v>Evolution of Jainism and Buddhism</v>
      </c>
      <c r="D59" s="34" t="s">
        <v>790</v>
      </c>
      <c r="E59" s="34"/>
      <c r="F59" s="33" t="s">
        <v>791</v>
      </c>
    </row>
    <row r="60" spans="1:6" x14ac:dyDescent="0.3">
      <c r="A60" s="32">
        <v>59</v>
      </c>
      <c r="B60" s="32" t="s">
        <v>65</v>
      </c>
      <c r="C60" s="32" t="str">
        <f>_xlfn.XLOOKUP(Table6101112131415[[#This Row],[Category No]],Table8[Category No],Table8[Chapter List],FALSE)</f>
        <v>MahajanapCEa, Iranian &amp; Macedonian Invasion</v>
      </c>
      <c r="D60" s="34" t="s">
        <v>1073</v>
      </c>
      <c r="E60" s="34"/>
      <c r="F60" s="34"/>
    </row>
    <row r="61" spans="1:6" x14ac:dyDescent="0.3">
      <c r="A61" s="32">
        <v>60</v>
      </c>
      <c r="B61" s="32" t="s">
        <v>65</v>
      </c>
      <c r="C61" s="32" t="str">
        <f>_xlfn.XLOOKUP(Table6101112131415[[#This Row],[Category No]],Table8[Category No],Table8[Chapter List],FALSE)</f>
        <v>MahajanapCEa, Iranian &amp; Macedonian Invasion</v>
      </c>
      <c r="D61" s="34" t="s">
        <v>1074</v>
      </c>
      <c r="E61" s="34"/>
      <c r="F61" s="34"/>
    </row>
    <row r="62" spans="1:6" x14ac:dyDescent="0.3">
      <c r="A62" s="32">
        <v>61</v>
      </c>
      <c r="B62" s="32" t="s">
        <v>65</v>
      </c>
      <c r="C62" s="32" t="str">
        <f>_xlfn.XLOOKUP(Table6101112131415[[#This Row],[Category No]],Table8[Category No],Table8[Chapter List],FALSE)</f>
        <v>MahajanapCEa, Iranian &amp; Macedonian Invasion</v>
      </c>
      <c r="D62" s="34" t="s">
        <v>1075</v>
      </c>
      <c r="E62" s="34"/>
      <c r="F62" s="34"/>
    </row>
    <row r="63" spans="1:6" x14ac:dyDescent="0.3">
      <c r="A63" s="32">
        <v>62</v>
      </c>
      <c r="B63" s="32" t="s">
        <v>65</v>
      </c>
      <c r="C63" s="32" t="str">
        <f>_xlfn.XLOOKUP(Table6101112131415[[#This Row],[Category No]],Table8[Category No],Table8[Chapter List],FALSE)</f>
        <v>MahajanapCEa, Iranian &amp; Macedonian Invasion</v>
      </c>
      <c r="D63" s="34" t="s">
        <v>1076</v>
      </c>
      <c r="E63" s="34"/>
      <c r="F63" s="34"/>
    </row>
    <row r="64" spans="1:6" x14ac:dyDescent="0.3">
      <c r="A64" s="32">
        <v>63</v>
      </c>
      <c r="B64" s="32" t="s">
        <v>65</v>
      </c>
      <c r="C64" s="32" t="str">
        <f>_xlfn.XLOOKUP(Table6101112131415[[#This Row],[Category No]],Table8[Category No],Table8[Chapter List],FALSE)</f>
        <v>MahajanapCEa, Iranian &amp; Macedonian Invasion</v>
      </c>
      <c r="D64" s="34" t="s">
        <v>1077</v>
      </c>
      <c r="E64" s="34"/>
      <c r="F64" s="34"/>
    </row>
    <row r="65" spans="1:7" x14ac:dyDescent="0.3">
      <c r="A65" s="32">
        <v>64</v>
      </c>
      <c r="B65" s="32" t="s">
        <v>66</v>
      </c>
      <c r="C65" s="32" t="str">
        <f>_xlfn.XLOOKUP(Table6101112131415[[#This Row],[Category No]],Table8[Category No],Table8[Chapter List],FALSE)</f>
        <v>The Mauryan Empire</v>
      </c>
      <c r="D65" s="34" t="s">
        <v>1197</v>
      </c>
      <c r="E65" s="34"/>
      <c r="F65" s="34" t="s">
        <v>1198</v>
      </c>
    </row>
    <row r="66" spans="1:7" x14ac:dyDescent="0.3">
      <c r="A66" s="32">
        <v>65</v>
      </c>
      <c r="B66" s="32" t="s">
        <v>66</v>
      </c>
      <c r="C66" s="32" t="str">
        <f>_xlfn.XLOOKUP(Table6101112131415[[#This Row],[Category No]],Table8[Category No],Table8[Chapter List],FALSE)</f>
        <v>The Mauryan Empire</v>
      </c>
      <c r="D66" s="34" t="s">
        <v>1199</v>
      </c>
      <c r="E66" s="34"/>
      <c r="F66" s="34" t="s">
        <v>1198</v>
      </c>
    </row>
    <row r="67" spans="1:7" x14ac:dyDescent="0.3">
      <c r="A67" s="32">
        <v>66</v>
      </c>
      <c r="B67" s="32" t="s">
        <v>66</v>
      </c>
      <c r="C67" s="32" t="str">
        <f>_xlfn.XLOOKUP(Table6101112131415[[#This Row],[Category No]],Table8[Category No],Table8[Chapter List],FALSE)</f>
        <v>The Mauryan Empire</v>
      </c>
      <c r="D67" s="34" t="s">
        <v>1200</v>
      </c>
      <c r="E67" s="34"/>
      <c r="F67" s="34" t="s">
        <v>1202</v>
      </c>
    </row>
    <row r="68" spans="1:7" x14ac:dyDescent="0.3">
      <c r="A68" s="32">
        <v>67</v>
      </c>
      <c r="B68" s="32" t="s">
        <v>66</v>
      </c>
      <c r="C68" s="32" t="str">
        <f>_xlfn.XLOOKUP(Table6101112131415[[#This Row],[Category No]],Table8[Category No],Table8[Chapter List],FALSE)</f>
        <v>The Mauryan Empire</v>
      </c>
      <c r="D68" s="34" t="s">
        <v>1201</v>
      </c>
      <c r="E68" s="34"/>
      <c r="F68" s="34" t="s">
        <v>1198</v>
      </c>
    </row>
    <row r="69" spans="1:7" x14ac:dyDescent="0.3">
      <c r="A69" s="32">
        <v>68</v>
      </c>
      <c r="B69" s="32" t="s">
        <v>66</v>
      </c>
      <c r="C69" s="32" t="str">
        <f>_xlfn.XLOOKUP(Table6101112131415[[#This Row],[Category No]],Table8[Category No],Table8[Chapter List],FALSE)</f>
        <v>The Mauryan Empire</v>
      </c>
      <c r="D69" s="34" t="s">
        <v>1204</v>
      </c>
      <c r="E69" s="34"/>
      <c r="F69" s="34" t="s">
        <v>1203</v>
      </c>
    </row>
    <row r="70" spans="1:7" x14ac:dyDescent="0.3">
      <c r="A70" s="32">
        <v>69</v>
      </c>
      <c r="B70" s="32" t="s">
        <v>66</v>
      </c>
      <c r="C70" s="32" t="str">
        <f>_xlfn.XLOOKUP(Table6101112131415[[#This Row],[Category No]],Table8[Category No],Table8[Chapter List],FALSE)</f>
        <v>The Mauryan Empire</v>
      </c>
      <c r="D70" s="34" t="s">
        <v>1205</v>
      </c>
      <c r="E70" s="34"/>
      <c r="F70" s="34" t="s">
        <v>1206</v>
      </c>
    </row>
    <row r="71" spans="1:7" x14ac:dyDescent="0.3">
      <c r="A71" s="32">
        <v>70</v>
      </c>
      <c r="B71" s="32" t="s">
        <v>66</v>
      </c>
      <c r="C71" s="32" t="str">
        <f>_xlfn.XLOOKUP(Table6101112131415[[#This Row],[Category No]],Table8[Category No],Table8[Chapter List],FALSE)</f>
        <v>The Mauryan Empire</v>
      </c>
      <c r="D71" s="34" t="s">
        <v>1207</v>
      </c>
      <c r="E71" s="34"/>
      <c r="F71" s="34"/>
    </row>
    <row r="72" spans="1:7" x14ac:dyDescent="0.3">
      <c r="A72" s="32">
        <v>71</v>
      </c>
      <c r="B72" s="32" t="s">
        <v>66</v>
      </c>
      <c r="C72" s="32" t="str">
        <f>_xlfn.XLOOKUP(Table6101112131415[[#This Row],[Category No]],Table8[Category No],Table8[Chapter List],FALSE)</f>
        <v>The Mauryan Empire</v>
      </c>
      <c r="D72" s="34" t="s">
        <v>1208</v>
      </c>
      <c r="E72" s="34"/>
      <c r="F72" s="34" t="s">
        <v>1209</v>
      </c>
    </row>
    <row r="73" spans="1:7" x14ac:dyDescent="0.3">
      <c r="A73" s="32">
        <v>72</v>
      </c>
      <c r="B73" s="32" t="s">
        <v>66</v>
      </c>
      <c r="C73" s="32" t="str">
        <f>_xlfn.XLOOKUP(Table6101112131415[[#This Row],[Category No]],Table8[Category No],Table8[Chapter List],FALSE)</f>
        <v>The Mauryan Empire</v>
      </c>
      <c r="D73" s="34" t="s">
        <v>1210</v>
      </c>
      <c r="E73" s="34"/>
      <c r="F73" s="34" t="s">
        <v>1214</v>
      </c>
    </row>
    <row r="74" spans="1:7" x14ac:dyDescent="0.3">
      <c r="A74" s="32">
        <v>73</v>
      </c>
      <c r="B74" s="32" t="s">
        <v>66</v>
      </c>
      <c r="C74" s="32" t="str">
        <f>_xlfn.XLOOKUP(Table6101112131415[[#This Row],[Category No]],Table8[Category No],Table8[Chapter List],FALSE)</f>
        <v>The Mauryan Empire</v>
      </c>
      <c r="D74" s="34" t="s">
        <v>1211</v>
      </c>
      <c r="E74" s="34"/>
      <c r="F74" s="34"/>
    </row>
    <row r="75" spans="1:7" x14ac:dyDescent="0.3">
      <c r="A75" s="32">
        <v>74</v>
      </c>
      <c r="B75" s="32" t="s">
        <v>66</v>
      </c>
      <c r="C75" s="32" t="str">
        <f>_xlfn.XLOOKUP(Table6101112131415[[#This Row],[Category No]],Table8[Category No],Table8[Chapter List],FALSE)</f>
        <v>The Mauryan Empire</v>
      </c>
      <c r="D75" s="34" t="s">
        <v>1212</v>
      </c>
      <c r="E75" s="34"/>
      <c r="F75" s="34"/>
    </row>
    <row r="76" spans="1:7" x14ac:dyDescent="0.3">
      <c r="A76" s="32">
        <v>75</v>
      </c>
      <c r="B76" s="32" t="s">
        <v>66</v>
      </c>
      <c r="C76" s="32" t="str">
        <f>_xlfn.XLOOKUP(Table6101112131415[[#This Row],[Category No]],Table8[Category No],Table8[Chapter List],FALSE)</f>
        <v>The Mauryan Empire</v>
      </c>
      <c r="D76" s="34" t="s">
        <v>1213</v>
      </c>
      <c r="E76" s="34"/>
      <c r="F76" s="34"/>
    </row>
    <row r="77" spans="1:7" x14ac:dyDescent="0.3">
      <c r="A77" s="32">
        <v>76</v>
      </c>
      <c r="B77" s="32" t="s">
        <v>67</v>
      </c>
      <c r="C77" s="32" t="str">
        <f>_xlfn.XLOOKUP(Table6101112131415[[#This Row],[Category No]],Table8[Category No],Table8[Chapter List],FALSE)</f>
        <v>Post-Mauryan India (200 BC - 300 CE)</v>
      </c>
      <c r="D77" s="34" t="s">
        <v>1259</v>
      </c>
      <c r="E77" s="34"/>
      <c r="F77" s="34" t="s">
        <v>1260</v>
      </c>
      <c r="G77" s="57" t="s">
        <v>1215</v>
      </c>
    </row>
    <row r="78" spans="1:7" x14ac:dyDescent="0.3">
      <c r="A78" s="32">
        <v>77</v>
      </c>
      <c r="B78" s="32" t="s">
        <v>67</v>
      </c>
      <c r="C78" s="32" t="str">
        <f>_xlfn.XLOOKUP(Table6101112131415[[#This Row],[Category No]],Table8[Category No],Table8[Chapter List],FALSE)</f>
        <v>Post-Mauryan India (200 BC - 300 CE)</v>
      </c>
      <c r="D78" s="34" t="s">
        <v>1261</v>
      </c>
      <c r="E78" s="34"/>
      <c r="F78" s="34" t="s">
        <v>1262</v>
      </c>
      <c r="G78" s="57"/>
    </row>
    <row r="79" spans="1:7" ht="41.4" x14ac:dyDescent="0.3">
      <c r="A79" s="32">
        <v>78</v>
      </c>
      <c r="B79" s="32" t="s">
        <v>67</v>
      </c>
      <c r="C79" s="32" t="str">
        <f>_xlfn.XLOOKUP(Table6101112131415[[#This Row],[Category No]],Table8[Category No],Table8[Chapter List],FALSE)</f>
        <v>Post-Mauryan India (200 BC - 300 CE)</v>
      </c>
      <c r="D79" s="34" t="s">
        <v>1263</v>
      </c>
      <c r="E79" s="34"/>
      <c r="F79" s="33" t="s">
        <v>1264</v>
      </c>
      <c r="G79" s="57"/>
    </row>
    <row r="80" spans="1:7" x14ac:dyDescent="0.3">
      <c r="A80" s="32">
        <v>79</v>
      </c>
      <c r="B80" s="32" t="s">
        <v>67</v>
      </c>
      <c r="C80" s="32" t="str">
        <f>_xlfn.XLOOKUP(Table6101112131415[[#This Row],[Category No]],Table8[Category No],Table8[Chapter List],FALSE)</f>
        <v>Post-Mauryan India (200 BC - 300 CE)</v>
      </c>
      <c r="D80" s="34" t="s">
        <v>1280</v>
      </c>
      <c r="E80" s="34"/>
      <c r="F80" s="34" t="s">
        <v>1281</v>
      </c>
      <c r="G80" s="57" t="s">
        <v>1217</v>
      </c>
    </row>
    <row r="81" spans="1:7" x14ac:dyDescent="0.3">
      <c r="A81" s="32">
        <v>80</v>
      </c>
      <c r="B81" s="32" t="s">
        <v>67</v>
      </c>
      <c r="C81" s="32" t="str">
        <f>_xlfn.XLOOKUP(Table6101112131415[[#This Row],[Category No]],Table8[Category No],Table8[Chapter List],FALSE)</f>
        <v>Post-Mauryan India (200 BC - 300 CE)</v>
      </c>
      <c r="D81" s="34" t="s">
        <v>1282</v>
      </c>
      <c r="E81" s="34"/>
      <c r="F81" s="34" t="s">
        <v>1283</v>
      </c>
      <c r="G81" s="57"/>
    </row>
    <row r="82" spans="1:7" x14ac:dyDescent="0.3">
      <c r="A82" s="32">
        <v>81</v>
      </c>
      <c r="B82" s="32" t="s">
        <v>67</v>
      </c>
      <c r="C82" s="32" t="str">
        <f>_xlfn.XLOOKUP(Table6101112131415[[#This Row],[Category No]],Table8[Category No],Table8[Chapter List],FALSE)</f>
        <v>Post-Mauryan India (200 BC - 300 CE)</v>
      </c>
      <c r="D82" s="34" t="s">
        <v>1284</v>
      </c>
      <c r="E82" s="34"/>
      <c r="F82" s="34"/>
      <c r="G82" s="57"/>
    </row>
    <row r="83" spans="1:7" x14ac:dyDescent="0.3">
      <c r="A83" s="32">
        <v>82</v>
      </c>
      <c r="B83" s="32" t="s">
        <v>67</v>
      </c>
      <c r="C83" s="32" t="str">
        <f>_xlfn.XLOOKUP(Table6101112131415[[#This Row],[Category No]],Table8[Category No],Table8[Chapter List],FALSE)</f>
        <v>Post-Mauryan India (200 BC - 300 CE)</v>
      </c>
      <c r="D83" s="34" t="s">
        <v>1305</v>
      </c>
      <c r="E83" s="34"/>
      <c r="F83" s="34" t="s">
        <v>1306</v>
      </c>
      <c r="G83" s="57" t="s">
        <v>1218</v>
      </c>
    </row>
    <row r="84" spans="1:7" x14ac:dyDescent="0.3">
      <c r="A84" s="32">
        <v>83</v>
      </c>
      <c r="B84" s="32" t="s">
        <v>67</v>
      </c>
      <c r="C84" s="32" t="str">
        <f>_xlfn.XLOOKUP(Table6101112131415[[#This Row],[Category No]],Table8[Category No],Table8[Chapter List],FALSE)</f>
        <v>Post-Mauryan India (200 BC - 300 CE)</v>
      </c>
      <c r="D84" s="34" t="s">
        <v>1307</v>
      </c>
      <c r="E84" s="34"/>
      <c r="F84" s="34" t="s">
        <v>1308</v>
      </c>
      <c r="G84" s="57"/>
    </row>
    <row r="85" spans="1:7" ht="41.4" x14ac:dyDescent="0.3">
      <c r="A85" s="32">
        <v>84</v>
      </c>
      <c r="B85" s="32" t="s">
        <v>67</v>
      </c>
      <c r="C85" s="32" t="str">
        <f>_xlfn.XLOOKUP(Table6101112131415[[#This Row],[Category No]],Table8[Category No],Table8[Chapter List],FALSE)</f>
        <v>Post-Mauryan India (200 BC - 300 CE)</v>
      </c>
      <c r="D85" s="34" t="s">
        <v>1309</v>
      </c>
      <c r="E85" s="34"/>
      <c r="F85" s="33" t="s">
        <v>1310</v>
      </c>
      <c r="G85" s="57"/>
    </row>
    <row r="86" spans="1:7" x14ac:dyDescent="0.3">
      <c r="A86" s="32">
        <v>85</v>
      </c>
      <c r="B86" s="32" t="s">
        <v>67</v>
      </c>
      <c r="C86" s="32" t="str">
        <f>_xlfn.XLOOKUP(Table6101112131415[[#This Row],[Category No]],Table8[Category No],Table8[Chapter List],FALSE)</f>
        <v>Post-Mauryan India (200 BC - 300 CE)</v>
      </c>
      <c r="D86" s="34" t="s">
        <v>1335</v>
      </c>
      <c r="E86" s="34"/>
      <c r="F86" s="34"/>
      <c r="G86" s="57" t="s">
        <v>1219</v>
      </c>
    </row>
    <row r="87" spans="1:7" x14ac:dyDescent="0.3">
      <c r="A87" s="32">
        <v>86</v>
      </c>
      <c r="B87" s="32" t="s">
        <v>67</v>
      </c>
      <c r="C87" s="32" t="str">
        <f>_xlfn.XLOOKUP(Table6101112131415[[#This Row],[Category No]],Table8[Category No],Table8[Chapter List],FALSE)</f>
        <v>Post-Mauryan India (200 BC - 300 CE)</v>
      </c>
      <c r="D87" s="34" t="s">
        <v>1336</v>
      </c>
      <c r="E87" s="34"/>
      <c r="F87" s="34" t="s">
        <v>1337</v>
      </c>
      <c r="G87" s="57"/>
    </row>
    <row r="88" spans="1:7" x14ac:dyDescent="0.3">
      <c r="A88" s="32">
        <v>87</v>
      </c>
      <c r="B88" s="32" t="s">
        <v>67</v>
      </c>
      <c r="C88" s="32" t="str">
        <f>_xlfn.XLOOKUP(Table6101112131415[[#This Row],[Category No]],Table8[Category No],Table8[Chapter List],FALSE)</f>
        <v>Post-Mauryan India (200 BC - 300 CE)</v>
      </c>
      <c r="D88" s="34" t="s">
        <v>1338</v>
      </c>
      <c r="E88" s="34"/>
      <c r="F88" s="34"/>
      <c r="G88" s="57"/>
    </row>
    <row r="89" spans="1:7" x14ac:dyDescent="0.3">
      <c r="A89" s="32">
        <v>88</v>
      </c>
      <c r="B89" s="32" t="s">
        <v>67</v>
      </c>
      <c r="C89" s="32" t="str">
        <f>_xlfn.XLOOKUP(Table6101112131415[[#This Row],[Category No]],Table8[Category No],Table8[Chapter List],FALSE)</f>
        <v>Post-Mauryan India (200 BC - 300 CE)</v>
      </c>
      <c r="D89" s="34" t="s">
        <v>1339</v>
      </c>
      <c r="E89" s="34"/>
      <c r="F89" s="34"/>
      <c r="G89" s="57"/>
    </row>
    <row r="90" spans="1:7" ht="27.6" x14ac:dyDescent="0.3">
      <c r="A90" s="32">
        <v>89</v>
      </c>
      <c r="B90" s="32" t="s">
        <v>67</v>
      </c>
      <c r="C90" s="32" t="str">
        <f>_xlfn.XLOOKUP(Table6101112131415[[#This Row],[Category No]],Table8[Category No],Table8[Chapter List],FALSE)</f>
        <v>Post-Mauryan India (200 BC - 300 CE)</v>
      </c>
      <c r="D90" s="34" t="s">
        <v>1374</v>
      </c>
      <c r="E90" s="34" t="s">
        <v>1874</v>
      </c>
      <c r="F90" s="33" t="s">
        <v>1440</v>
      </c>
      <c r="G90" s="57" t="s">
        <v>1220</v>
      </c>
    </row>
    <row r="91" spans="1:7" x14ac:dyDescent="0.3">
      <c r="A91" s="32">
        <v>90</v>
      </c>
      <c r="B91" s="32" t="s">
        <v>67</v>
      </c>
      <c r="C91" s="32" t="str">
        <f>_xlfn.XLOOKUP(Table6101112131415[[#This Row],[Category No]],Table8[Category No],Table8[Chapter List],FALSE)</f>
        <v>Post-Mauryan India (200 BC - 300 CE)</v>
      </c>
      <c r="D91" s="34" t="s">
        <v>1401</v>
      </c>
      <c r="E91" s="34" t="s">
        <v>1389</v>
      </c>
      <c r="F91" s="34" t="s">
        <v>1390</v>
      </c>
      <c r="G91" s="57"/>
    </row>
    <row r="92" spans="1:7" x14ac:dyDescent="0.3">
      <c r="A92" s="32">
        <v>91</v>
      </c>
      <c r="B92" s="32" t="s">
        <v>67</v>
      </c>
      <c r="C92" s="32" t="str">
        <f>_xlfn.XLOOKUP(Table6101112131415[[#This Row],[Category No]],Table8[Category No],Table8[Chapter List],FALSE)</f>
        <v>Post-Mauryan India (200 BC - 300 CE)</v>
      </c>
      <c r="D92" s="34" t="s">
        <v>1391</v>
      </c>
      <c r="E92" s="34" t="s">
        <v>1389</v>
      </c>
      <c r="F92" s="34" t="s">
        <v>1392</v>
      </c>
      <c r="G92" s="57"/>
    </row>
    <row r="93" spans="1:7" x14ac:dyDescent="0.3">
      <c r="A93" s="32">
        <v>92</v>
      </c>
      <c r="B93" s="32" t="s">
        <v>67</v>
      </c>
      <c r="C93" s="32" t="str">
        <f>_xlfn.XLOOKUP(Table6101112131415[[#This Row],[Category No]],Table8[Category No],Table8[Chapter List],FALSE)</f>
        <v>Post-Mauryan India (200 BC - 300 CE)</v>
      </c>
      <c r="D93" s="34" t="s">
        <v>1395</v>
      </c>
      <c r="E93" s="34" t="s">
        <v>509</v>
      </c>
      <c r="F93" s="34" t="s">
        <v>1396</v>
      </c>
      <c r="G93" s="57"/>
    </row>
    <row r="94" spans="1:7" x14ac:dyDescent="0.3">
      <c r="A94" s="32">
        <v>93</v>
      </c>
      <c r="B94" s="32" t="s">
        <v>67</v>
      </c>
      <c r="C94" s="32" t="str">
        <f>_xlfn.XLOOKUP(Table6101112131415[[#This Row],[Category No]],Table8[Category No],Table8[Chapter List],FALSE)</f>
        <v>Post-Mauryan India (200 BC - 300 CE)</v>
      </c>
      <c r="D94" s="34" t="s">
        <v>1402</v>
      </c>
      <c r="E94" s="34" t="s">
        <v>1389</v>
      </c>
      <c r="F94" s="34" t="s">
        <v>1403</v>
      </c>
      <c r="G94" s="57"/>
    </row>
    <row r="95" spans="1:7" x14ac:dyDescent="0.3">
      <c r="A95" s="32">
        <v>94</v>
      </c>
      <c r="B95" s="32" t="s">
        <v>67</v>
      </c>
      <c r="C95" s="32" t="str">
        <f>_xlfn.XLOOKUP(Table6101112131415[[#This Row],[Category No]],Table8[Category No],Table8[Chapter List],FALSE)</f>
        <v>Post-Mauryan India (200 BC - 300 CE)</v>
      </c>
      <c r="D95" s="34" t="s">
        <v>1434</v>
      </c>
      <c r="E95" s="34" t="s">
        <v>1435</v>
      </c>
      <c r="F95" s="34" t="s">
        <v>1436</v>
      </c>
      <c r="G95" s="57"/>
    </row>
    <row r="96" spans="1:7" x14ac:dyDescent="0.3">
      <c r="A96" s="32">
        <v>95</v>
      </c>
      <c r="B96" s="32" t="s">
        <v>68</v>
      </c>
      <c r="C96" s="32" t="str">
        <f>_xlfn.XLOOKUP(Table6101112131415[[#This Row],[Category No]],Table8[Category No],Table8[Chapter List],FALSE)</f>
        <v>Sangam Period (South Indian Dynasties)</v>
      </c>
      <c r="D96" s="34" t="s">
        <v>1444</v>
      </c>
      <c r="E96" s="34"/>
      <c r="F96" s="34" t="s">
        <v>1445</v>
      </c>
    </row>
    <row r="97" spans="1:6" x14ac:dyDescent="0.3">
      <c r="A97" s="32">
        <v>96</v>
      </c>
      <c r="B97" s="32" t="s">
        <v>68</v>
      </c>
      <c r="C97" s="32" t="str">
        <f>_xlfn.XLOOKUP(Table6101112131415[[#This Row],[Category No]],Table8[Category No],Table8[Chapter List],FALSE)</f>
        <v>Sangam Period (South Indian Dynasties)</v>
      </c>
      <c r="D97" s="34" t="s">
        <v>1515</v>
      </c>
      <c r="E97" s="34" t="s">
        <v>1435</v>
      </c>
      <c r="F97" s="34" t="s">
        <v>1516</v>
      </c>
    </row>
    <row r="98" spans="1:6" x14ac:dyDescent="0.3">
      <c r="A98" s="32">
        <v>97</v>
      </c>
      <c r="B98" s="32" t="s">
        <v>68</v>
      </c>
      <c r="C98" s="32" t="str">
        <f>_xlfn.XLOOKUP(Table6101112131415[[#This Row],[Category No]],Table8[Category No],Table8[Chapter List],FALSE)</f>
        <v>Sangam Period (South Indian Dynasties)</v>
      </c>
      <c r="D98" s="34" t="s">
        <v>1517</v>
      </c>
      <c r="E98" s="34"/>
      <c r="F98" s="34" t="s">
        <v>1518</v>
      </c>
    </row>
    <row r="99" spans="1:6" x14ac:dyDescent="0.3">
      <c r="A99" s="32">
        <v>98</v>
      </c>
      <c r="B99" s="32" t="s">
        <v>68</v>
      </c>
      <c r="C99" s="32" t="str">
        <f>_xlfn.XLOOKUP(Table6101112131415[[#This Row],[Category No]],Table8[Category No],Table8[Chapter List],FALSE)</f>
        <v>Sangam Period (South Indian Dynasties)</v>
      </c>
      <c r="D99" s="34" t="s">
        <v>1519</v>
      </c>
      <c r="E99" s="34"/>
      <c r="F99" s="34" t="s">
        <v>1520</v>
      </c>
    </row>
    <row r="100" spans="1:6" x14ac:dyDescent="0.3">
      <c r="A100" s="32">
        <v>99</v>
      </c>
      <c r="B100" s="32" t="s">
        <v>68</v>
      </c>
      <c r="C100" s="32" t="str">
        <f>_xlfn.XLOOKUP(Table6101112131415[[#This Row],[Category No]],Table8[Category No],Table8[Chapter List],FALSE)</f>
        <v>Sangam Period (South Indian Dynasties)</v>
      </c>
      <c r="D100" s="34" t="s">
        <v>1522</v>
      </c>
      <c r="E100" s="34"/>
      <c r="F100" s="34" t="s">
        <v>1526</v>
      </c>
    </row>
    <row r="101" spans="1:6" x14ac:dyDescent="0.3">
      <c r="A101" s="32">
        <v>100</v>
      </c>
      <c r="B101" s="32" t="s">
        <v>68</v>
      </c>
      <c r="C101" s="32" t="str">
        <f>_xlfn.XLOOKUP(Table6101112131415[[#This Row],[Category No]],Table8[Category No],Table8[Chapter List],FALSE)</f>
        <v>Sangam Period (South Indian Dynasties)</v>
      </c>
      <c r="D101" s="34" t="s">
        <v>1523</v>
      </c>
      <c r="E101" s="34"/>
      <c r="F101" s="34" t="s">
        <v>1527</v>
      </c>
    </row>
    <row r="102" spans="1:6" x14ac:dyDescent="0.3">
      <c r="A102" s="32">
        <v>101</v>
      </c>
      <c r="B102" s="32" t="s">
        <v>68</v>
      </c>
      <c r="C102" s="32" t="str">
        <f>_xlfn.XLOOKUP(Table6101112131415[[#This Row],[Category No]],Table8[Category No],Table8[Chapter List],FALSE)</f>
        <v>Sangam Period (South Indian Dynasties)</v>
      </c>
      <c r="D102" s="34" t="s">
        <v>1524</v>
      </c>
      <c r="E102" s="34"/>
      <c r="F102" s="34" t="s">
        <v>1528</v>
      </c>
    </row>
    <row r="103" spans="1:6" x14ac:dyDescent="0.3">
      <c r="A103" s="32">
        <v>102</v>
      </c>
      <c r="B103" s="32" t="s">
        <v>68</v>
      </c>
      <c r="C103" s="32" t="str">
        <f>_xlfn.XLOOKUP(Table6101112131415[[#This Row],[Category No]],Table8[Category No],Table8[Chapter List],FALSE)</f>
        <v>Sangam Period (South Indian Dynasties)</v>
      </c>
      <c r="D103" s="34" t="s">
        <v>1525</v>
      </c>
      <c r="E103" s="34"/>
      <c r="F103" s="34" t="s">
        <v>1529</v>
      </c>
    </row>
    <row r="104" spans="1:6" x14ac:dyDescent="0.3">
      <c r="A104" s="32">
        <v>103</v>
      </c>
      <c r="B104" s="32" t="s">
        <v>68</v>
      </c>
      <c r="C104" s="32" t="str">
        <f>_xlfn.XLOOKUP(Table6101112131415[[#This Row],[Category No]],Table8[Category No],Table8[Chapter List],FALSE)</f>
        <v>Sangam Period (South Indian Dynasties)</v>
      </c>
      <c r="D104" s="34" t="s">
        <v>1530</v>
      </c>
      <c r="E104" s="34" t="s">
        <v>1389</v>
      </c>
      <c r="F104" s="34" t="s">
        <v>1531</v>
      </c>
    </row>
    <row r="105" spans="1:6" x14ac:dyDescent="0.3">
      <c r="A105" s="32">
        <v>104</v>
      </c>
      <c r="B105" s="32" t="s">
        <v>68</v>
      </c>
      <c r="C105" s="32" t="str">
        <f>_xlfn.XLOOKUP(Table6101112131415[[#This Row],[Category No]],Table8[Category No],Table8[Chapter List],FALSE)</f>
        <v>Sangam Period (South Indian Dynasties)</v>
      </c>
      <c r="D105" s="34" t="s">
        <v>1532</v>
      </c>
      <c r="E105" s="34"/>
      <c r="F105" s="34" t="s">
        <v>1543</v>
      </c>
    </row>
    <row r="106" spans="1:6" x14ac:dyDescent="0.3">
      <c r="A106" s="32">
        <v>105</v>
      </c>
      <c r="B106" s="32" t="s">
        <v>68</v>
      </c>
      <c r="C106" s="32" t="str">
        <f>_xlfn.XLOOKUP(Table6101112131415[[#This Row],[Category No]],Table8[Category No],Table8[Chapter List],FALSE)</f>
        <v>Sangam Period (South Indian Dynasties)</v>
      </c>
      <c r="D106" s="34" t="s">
        <v>1533</v>
      </c>
      <c r="E106" s="34"/>
      <c r="F106" s="34" t="s">
        <v>1535</v>
      </c>
    </row>
    <row r="107" spans="1:6" x14ac:dyDescent="0.3">
      <c r="A107" s="32">
        <v>106</v>
      </c>
      <c r="B107" s="32" t="s">
        <v>68</v>
      </c>
      <c r="C107" s="32" t="str">
        <f>_xlfn.XLOOKUP(Table6101112131415[[#This Row],[Category No]],Table8[Category No],Table8[Chapter List],FALSE)</f>
        <v>Sangam Period (South Indian Dynasties)</v>
      </c>
      <c r="D107" s="34" t="s">
        <v>1534</v>
      </c>
      <c r="E107" s="34"/>
      <c r="F107" s="34" t="s">
        <v>1536</v>
      </c>
    </row>
    <row r="108" spans="1:6" x14ac:dyDescent="0.3">
      <c r="A108" s="32">
        <v>107</v>
      </c>
      <c r="B108" s="32" t="s">
        <v>68</v>
      </c>
      <c r="C108" s="32" t="str">
        <f>_xlfn.XLOOKUP(Table6101112131415[[#This Row],[Category No]],Table8[Category No],Table8[Chapter List],FALSE)</f>
        <v>Sangam Period (South Indian Dynasties)</v>
      </c>
      <c r="D108" s="34" t="s">
        <v>1537</v>
      </c>
      <c r="E108" s="34" t="s">
        <v>1389</v>
      </c>
      <c r="F108" s="34" t="s">
        <v>1538</v>
      </c>
    </row>
    <row r="109" spans="1:6" x14ac:dyDescent="0.3">
      <c r="A109" s="32">
        <v>108</v>
      </c>
      <c r="B109" s="32" t="s">
        <v>68</v>
      </c>
      <c r="C109" s="32" t="str">
        <f>_xlfn.XLOOKUP(Table6101112131415[[#This Row],[Category No]],Table8[Category No],Table8[Chapter List],FALSE)</f>
        <v>Sangam Period (South Indian Dynasties)</v>
      </c>
      <c r="D109" s="34" t="s">
        <v>1539</v>
      </c>
      <c r="E109" s="34" t="s">
        <v>1389</v>
      </c>
      <c r="F109" s="34" t="s">
        <v>1540</v>
      </c>
    </row>
    <row r="110" spans="1:6" x14ac:dyDescent="0.3">
      <c r="A110" s="32">
        <v>109</v>
      </c>
      <c r="B110" s="32" t="s">
        <v>68</v>
      </c>
      <c r="C110" s="32" t="str">
        <f>_xlfn.XLOOKUP(Table6101112131415[[#This Row],[Category No]],Table8[Category No],Table8[Chapter List],FALSE)</f>
        <v>Sangam Period (South Indian Dynasties)</v>
      </c>
      <c r="D110" s="34" t="s">
        <v>1541</v>
      </c>
      <c r="E110" s="34" t="s">
        <v>1389</v>
      </c>
      <c r="F110" s="34" t="s">
        <v>1542</v>
      </c>
    </row>
    <row r="111" spans="1:6" x14ac:dyDescent="0.3">
      <c r="A111" s="32">
        <v>110</v>
      </c>
      <c r="B111" s="32" t="s">
        <v>68</v>
      </c>
      <c r="C111" s="32" t="str">
        <f>_xlfn.XLOOKUP(Table6101112131415[[#This Row],[Category No]],Table8[Category No],Table8[Chapter List],FALSE)</f>
        <v>Sangam Period (South Indian Dynasties)</v>
      </c>
      <c r="D111" s="34" t="s">
        <v>1544</v>
      </c>
      <c r="E111" s="34"/>
      <c r="F111" s="34" t="s">
        <v>1545</v>
      </c>
    </row>
    <row r="112" spans="1:6" x14ac:dyDescent="0.3">
      <c r="A112" s="32">
        <v>111</v>
      </c>
      <c r="B112" s="32" t="s">
        <v>68</v>
      </c>
      <c r="C112" s="32" t="str">
        <f>_xlfn.XLOOKUP(Table6101112131415[[#This Row],[Category No]],Table8[Category No],Table8[Chapter List],FALSE)</f>
        <v>Sangam Period (South Indian Dynasties)</v>
      </c>
      <c r="D112" s="34" t="s">
        <v>1546</v>
      </c>
      <c r="E112" s="34" t="s">
        <v>1389</v>
      </c>
      <c r="F112" s="34" t="s">
        <v>1547</v>
      </c>
    </row>
    <row r="113" spans="1:7" x14ac:dyDescent="0.3">
      <c r="A113" s="32">
        <v>112</v>
      </c>
      <c r="B113" s="32" t="s">
        <v>68</v>
      </c>
      <c r="C113" s="32" t="str">
        <f>_xlfn.XLOOKUP(Table6101112131415[[#This Row],[Category No]],Table8[Category No],Table8[Chapter List],FALSE)</f>
        <v>Sangam Period (South Indian Dynasties)</v>
      </c>
      <c r="D113" s="34" t="s">
        <v>1467</v>
      </c>
      <c r="E113" s="34" t="s">
        <v>1389</v>
      </c>
      <c r="F113" s="34" t="s">
        <v>1514</v>
      </c>
      <c r="G113" s="61" t="s">
        <v>1556</v>
      </c>
    </row>
    <row r="114" spans="1:7" x14ac:dyDescent="0.3">
      <c r="A114" s="32">
        <v>113</v>
      </c>
      <c r="B114" s="32" t="s">
        <v>68</v>
      </c>
      <c r="C114" s="32" t="str">
        <f>_xlfn.XLOOKUP(Table6101112131415[[#This Row],[Category No]],Table8[Category No],Table8[Chapter List],FALSE)</f>
        <v>Sangam Period (South Indian Dynasties)</v>
      </c>
      <c r="D114" s="34" t="s">
        <v>1548</v>
      </c>
      <c r="E114" s="34" t="s">
        <v>1389</v>
      </c>
      <c r="F114" s="34" t="s">
        <v>1549</v>
      </c>
      <c r="G114" s="62"/>
    </row>
    <row r="115" spans="1:7" x14ac:dyDescent="0.3">
      <c r="A115" s="32">
        <v>114</v>
      </c>
      <c r="B115" s="32" t="s">
        <v>68</v>
      </c>
      <c r="C115" s="32" t="str">
        <f>_xlfn.XLOOKUP(Table6101112131415[[#This Row],[Category No]],Table8[Category No],Table8[Chapter List],FALSE)</f>
        <v>Sangam Period (South Indian Dynasties)</v>
      </c>
      <c r="D115" s="34" t="s">
        <v>1550</v>
      </c>
      <c r="E115" s="34" t="s">
        <v>1389</v>
      </c>
      <c r="F115" s="34" t="s">
        <v>1551</v>
      </c>
      <c r="G115" s="62"/>
    </row>
    <row r="116" spans="1:7" x14ac:dyDescent="0.3">
      <c r="A116" s="32">
        <v>115</v>
      </c>
      <c r="B116" s="32" t="s">
        <v>68</v>
      </c>
      <c r="C116" s="32" t="str">
        <f>_xlfn.XLOOKUP(Table6101112131415[[#This Row],[Category No]],Table8[Category No],Table8[Chapter List],FALSE)</f>
        <v>Sangam Period (South Indian Dynasties)</v>
      </c>
      <c r="D116" s="34" t="s">
        <v>1552</v>
      </c>
      <c r="E116" s="34" t="s">
        <v>1389</v>
      </c>
      <c r="F116" s="34" t="s">
        <v>1553</v>
      </c>
      <c r="G116" s="62"/>
    </row>
    <row r="117" spans="1:7" x14ac:dyDescent="0.3">
      <c r="A117" s="32">
        <v>116</v>
      </c>
      <c r="B117" s="32" t="s">
        <v>68</v>
      </c>
      <c r="C117" s="32" t="str">
        <f>_xlfn.XLOOKUP(Table6101112131415[[#This Row],[Category No]],Table8[Category No],Table8[Chapter List],FALSE)</f>
        <v>Sangam Period (South Indian Dynasties)</v>
      </c>
      <c r="D117" s="34" t="s">
        <v>1554</v>
      </c>
      <c r="E117" s="34" t="s">
        <v>1389</v>
      </c>
      <c r="F117" s="34" t="s">
        <v>1555</v>
      </c>
      <c r="G117" s="62"/>
    </row>
    <row r="118" spans="1:7" x14ac:dyDescent="0.3">
      <c r="A118" s="32">
        <v>117</v>
      </c>
      <c r="B118" s="32" t="s">
        <v>68</v>
      </c>
      <c r="C118" s="32" t="str">
        <f>_xlfn.XLOOKUP(Table6101112131415[[#This Row],[Category No]],Table8[Category No],Table8[Chapter List],FALSE)</f>
        <v>Sangam Period (South Indian Dynasties)</v>
      </c>
      <c r="D118" s="34" t="s">
        <v>1557</v>
      </c>
      <c r="E118" s="34" t="s">
        <v>1558</v>
      </c>
      <c r="F118" s="34" t="s">
        <v>1559</v>
      </c>
    </row>
    <row r="119" spans="1:7" x14ac:dyDescent="0.3">
      <c r="A119" s="32">
        <v>118</v>
      </c>
      <c r="B119" s="32" t="s">
        <v>69</v>
      </c>
      <c r="C119" s="32" t="str">
        <f>_xlfn.XLOOKUP(Table6101112131415[[#This Row],[Category No]],Table8[Category No],Table8[Chapter List],FALSE)</f>
        <v>Imperial Guptas &amp; Vakataks, Post Gupta Empire</v>
      </c>
      <c r="D119" s="34" t="s">
        <v>1743</v>
      </c>
      <c r="E119" s="34" t="s">
        <v>198</v>
      </c>
      <c r="F119" s="34" t="s">
        <v>1742</v>
      </c>
    </row>
    <row r="120" spans="1:7" x14ac:dyDescent="0.3">
      <c r="A120" s="32">
        <v>119</v>
      </c>
      <c r="B120" s="32" t="s">
        <v>69</v>
      </c>
      <c r="C120" s="32" t="str">
        <f>_xlfn.XLOOKUP(Table6101112131415[[#This Row],[Category No]],Table8[Category No],Table8[Chapter List],FALSE)</f>
        <v>Imperial Guptas &amp; Vakataks, Post Gupta Empire</v>
      </c>
      <c r="D120" s="34" t="s">
        <v>1743</v>
      </c>
      <c r="E120" s="34" t="s">
        <v>198</v>
      </c>
      <c r="F120" s="34" t="s">
        <v>1744</v>
      </c>
    </row>
    <row r="121" spans="1:7" x14ac:dyDescent="0.3">
      <c r="A121" s="32">
        <v>120</v>
      </c>
      <c r="B121" s="32" t="s">
        <v>69</v>
      </c>
      <c r="C121" s="32" t="str">
        <f>_xlfn.XLOOKUP(Table6101112131415[[#This Row],[Category No]],Table8[Category No],Table8[Chapter List],FALSE)</f>
        <v>Imperial Guptas &amp; Vakataks, Post Gupta Empire</v>
      </c>
      <c r="D121" s="34" t="s">
        <v>1745</v>
      </c>
      <c r="E121" s="34" t="s">
        <v>1874</v>
      </c>
      <c r="F121" s="34" t="s">
        <v>1746</v>
      </c>
    </row>
    <row r="122" spans="1:7" x14ac:dyDescent="0.3">
      <c r="A122" s="32">
        <v>121</v>
      </c>
      <c r="B122" s="32" t="s">
        <v>69</v>
      </c>
      <c r="C122" s="32" t="str">
        <f>_xlfn.XLOOKUP(Table6101112131415[[#This Row],[Category No]],Table8[Category No],Table8[Chapter List],FALSE)</f>
        <v>Imperial Guptas &amp; Vakataks, Post Gupta Empire</v>
      </c>
      <c r="D122" s="34" t="s">
        <v>1747</v>
      </c>
      <c r="E122" s="34" t="s">
        <v>1389</v>
      </c>
      <c r="F122" s="34" t="s">
        <v>1748</v>
      </c>
    </row>
    <row r="123" spans="1:7" x14ac:dyDescent="0.3">
      <c r="A123" s="32">
        <v>122</v>
      </c>
      <c r="B123" s="32" t="s">
        <v>69</v>
      </c>
      <c r="C123" s="32" t="str">
        <f>_xlfn.XLOOKUP(Table6101112131415[[#This Row],[Category No]],Table8[Category No],Table8[Chapter List],FALSE)</f>
        <v>Imperial Guptas &amp; Vakataks, Post Gupta Empire</v>
      </c>
      <c r="D123" s="34" t="s">
        <v>1749</v>
      </c>
      <c r="E123" s="34" t="s">
        <v>1389</v>
      </c>
      <c r="F123" s="34" t="s">
        <v>1750</v>
      </c>
    </row>
    <row r="124" spans="1:7" x14ac:dyDescent="0.3">
      <c r="A124" s="32">
        <v>123</v>
      </c>
      <c r="B124" s="32" t="s">
        <v>69</v>
      </c>
      <c r="C124" s="32" t="str">
        <f>_xlfn.XLOOKUP(Table6101112131415[[#This Row],[Category No]],Table8[Category No],Table8[Chapter List],FALSE)</f>
        <v>Imperial Guptas &amp; Vakataks, Post Gupta Empire</v>
      </c>
      <c r="D124" s="34" t="s">
        <v>1751</v>
      </c>
      <c r="E124" s="34" t="s">
        <v>1389</v>
      </c>
      <c r="F124" s="34" t="s">
        <v>1752</v>
      </c>
    </row>
    <row r="125" spans="1:7" x14ac:dyDescent="0.3">
      <c r="A125" s="32">
        <v>124</v>
      </c>
      <c r="B125" s="32" t="s">
        <v>69</v>
      </c>
      <c r="C125" s="32" t="str">
        <f>_xlfn.XLOOKUP(Table6101112131415[[#This Row],[Category No]],Table8[Category No],Table8[Chapter List],FALSE)</f>
        <v>Imperial Guptas &amp; Vakataks, Post Gupta Empire</v>
      </c>
      <c r="D125" s="34" t="s">
        <v>1755</v>
      </c>
      <c r="E125" s="34" t="s">
        <v>1389</v>
      </c>
      <c r="F125" s="34" t="s">
        <v>1759</v>
      </c>
    </row>
    <row r="126" spans="1:7" x14ac:dyDescent="0.3">
      <c r="A126" s="32">
        <v>125</v>
      </c>
      <c r="B126" s="32" t="s">
        <v>69</v>
      </c>
      <c r="C126" s="32" t="str">
        <f>_xlfn.XLOOKUP(Table6101112131415[[#This Row],[Category No]],Table8[Category No],Table8[Chapter List],FALSE)</f>
        <v>Imperial Guptas &amp; Vakataks, Post Gupta Empire</v>
      </c>
      <c r="D126" s="34" t="s">
        <v>1756</v>
      </c>
      <c r="E126" s="34" t="s">
        <v>1389</v>
      </c>
      <c r="F126" s="34" t="s">
        <v>1759</v>
      </c>
    </row>
    <row r="127" spans="1:7" x14ac:dyDescent="0.3">
      <c r="A127" s="32">
        <v>126</v>
      </c>
      <c r="B127" s="32" t="s">
        <v>69</v>
      </c>
      <c r="C127" s="32" t="str">
        <f>_xlfn.XLOOKUP(Table6101112131415[[#This Row],[Category No]],Table8[Category No],Table8[Chapter List],FALSE)</f>
        <v>Imperial Guptas &amp; Vakataks, Post Gupta Empire</v>
      </c>
      <c r="D127" s="34" t="s">
        <v>1757</v>
      </c>
      <c r="E127" s="34" t="s">
        <v>1389</v>
      </c>
      <c r="F127" s="34" t="s">
        <v>1759</v>
      </c>
    </row>
    <row r="128" spans="1:7" x14ac:dyDescent="0.3">
      <c r="A128" s="32">
        <v>127</v>
      </c>
      <c r="B128" s="32" t="s">
        <v>69</v>
      </c>
      <c r="C128" s="32" t="str">
        <f>_xlfn.XLOOKUP(Table6101112131415[[#This Row],[Category No]],Table8[Category No],Table8[Chapter List],FALSE)</f>
        <v>Imperial Guptas &amp; Vakataks, Post Gupta Empire</v>
      </c>
      <c r="D128" s="34" t="s">
        <v>1843</v>
      </c>
      <c r="E128" s="34" t="s">
        <v>1389</v>
      </c>
      <c r="F128" s="34" t="s">
        <v>1759</v>
      </c>
    </row>
    <row r="129" spans="1:6" x14ac:dyDescent="0.3">
      <c r="A129" s="32">
        <v>128</v>
      </c>
      <c r="B129" s="32" t="s">
        <v>69</v>
      </c>
      <c r="C129" s="32" t="str">
        <f>_xlfn.XLOOKUP(Table6101112131415[[#This Row],[Category No]],Table8[Category No],Table8[Chapter List],FALSE)</f>
        <v>Imperial Guptas &amp; Vakataks, Post Gupta Empire</v>
      </c>
      <c r="D129" s="34" t="s">
        <v>1758</v>
      </c>
      <c r="E129" s="34" t="s">
        <v>1389</v>
      </c>
      <c r="F129" s="34" t="s">
        <v>1759</v>
      </c>
    </row>
    <row r="130" spans="1:6" x14ac:dyDescent="0.3">
      <c r="A130" s="32">
        <v>129</v>
      </c>
      <c r="B130" s="32" t="s">
        <v>69</v>
      </c>
      <c r="C130" s="32" t="str">
        <f>_xlfn.XLOOKUP(Table6101112131415[[#This Row],[Category No]],Table8[Category No],Table8[Chapter List],FALSE)</f>
        <v>Imperial Guptas &amp; Vakataks, Post Gupta Empire</v>
      </c>
      <c r="D130" s="34" t="s">
        <v>1760</v>
      </c>
      <c r="E130" s="34" t="s">
        <v>1763</v>
      </c>
      <c r="F130" s="34" t="s">
        <v>1764</v>
      </c>
    </row>
    <row r="131" spans="1:6" x14ac:dyDescent="0.3">
      <c r="A131" s="32">
        <v>130</v>
      </c>
      <c r="B131" s="32" t="s">
        <v>69</v>
      </c>
      <c r="C131" s="32" t="str">
        <f>_xlfn.XLOOKUP(Table6101112131415[[#This Row],[Category No]],Table8[Category No],Table8[Chapter List],FALSE)</f>
        <v>Imperial Guptas &amp; Vakataks, Post Gupta Empire</v>
      </c>
      <c r="D131" s="34" t="s">
        <v>1761</v>
      </c>
      <c r="E131" s="34" t="s">
        <v>1763</v>
      </c>
      <c r="F131" s="34" t="s">
        <v>1764</v>
      </c>
    </row>
    <row r="132" spans="1:6" x14ac:dyDescent="0.3">
      <c r="A132" s="32">
        <v>131</v>
      </c>
      <c r="B132" s="32" t="s">
        <v>69</v>
      </c>
      <c r="C132" s="32" t="str">
        <f>_xlfn.XLOOKUP(Table6101112131415[[#This Row],[Category No]],Table8[Category No],Table8[Chapter List],FALSE)</f>
        <v>Imperial Guptas &amp; Vakataks, Post Gupta Empire</v>
      </c>
      <c r="D132" s="34" t="s">
        <v>1762</v>
      </c>
      <c r="E132" s="34" t="s">
        <v>1763</v>
      </c>
      <c r="F132" s="34" t="s">
        <v>1764</v>
      </c>
    </row>
    <row r="133" spans="1:6" x14ac:dyDescent="0.3">
      <c r="A133" s="32">
        <v>132</v>
      </c>
      <c r="B133" s="32" t="s">
        <v>69</v>
      </c>
      <c r="C133" s="32" t="str">
        <f>_xlfn.XLOOKUP(Table6101112131415[[#This Row],[Category No]],Table8[Category No],Table8[Chapter List],FALSE)</f>
        <v>Imperial Guptas &amp; Vakataks, Post Gupta Empire</v>
      </c>
      <c r="D133" s="34" t="s">
        <v>1765</v>
      </c>
      <c r="E133" s="34" t="s">
        <v>1767</v>
      </c>
      <c r="F133" s="34" t="s">
        <v>1764</v>
      </c>
    </row>
    <row r="134" spans="1:6" x14ac:dyDescent="0.3">
      <c r="A134" s="32">
        <v>133</v>
      </c>
      <c r="B134" s="32" t="s">
        <v>69</v>
      </c>
      <c r="C134" s="32" t="str">
        <f>_xlfn.XLOOKUP(Table6101112131415[[#This Row],[Category No]],Table8[Category No],Table8[Chapter List],FALSE)</f>
        <v>Imperial Guptas &amp; Vakataks, Post Gupta Empire</v>
      </c>
      <c r="D134" s="34" t="s">
        <v>1766</v>
      </c>
      <c r="E134" s="34" t="s">
        <v>1767</v>
      </c>
      <c r="F134" s="34" t="s">
        <v>1764</v>
      </c>
    </row>
    <row r="135" spans="1:6" x14ac:dyDescent="0.3">
      <c r="A135" s="32">
        <v>134</v>
      </c>
      <c r="B135" s="32" t="s">
        <v>69</v>
      </c>
      <c r="C135" s="32" t="str">
        <f>_xlfn.XLOOKUP(Table6101112131415[[#This Row],[Category No]],Table8[Category No],Table8[Chapter List],FALSE)</f>
        <v>Imperial Guptas &amp; Vakataks, Post Gupta Empire</v>
      </c>
      <c r="D135" s="34" t="s">
        <v>1768</v>
      </c>
      <c r="E135" s="34" t="s">
        <v>1770</v>
      </c>
      <c r="F135" s="34" t="s">
        <v>1764</v>
      </c>
    </row>
    <row r="136" spans="1:6" x14ac:dyDescent="0.3">
      <c r="A136" s="32">
        <v>135</v>
      </c>
      <c r="B136" s="32" t="s">
        <v>69</v>
      </c>
      <c r="C136" s="32" t="str">
        <f>_xlfn.XLOOKUP(Table6101112131415[[#This Row],[Category No]],Table8[Category No],Table8[Chapter List],FALSE)</f>
        <v>Imperial Guptas &amp; Vakataks, Post Gupta Empire</v>
      </c>
      <c r="D136" s="34" t="s">
        <v>1769</v>
      </c>
      <c r="E136" s="34" t="s">
        <v>1770</v>
      </c>
      <c r="F136" s="34" t="s">
        <v>1764</v>
      </c>
    </row>
    <row r="137" spans="1:6" x14ac:dyDescent="0.3">
      <c r="A137" s="32">
        <v>136</v>
      </c>
      <c r="B137" s="32" t="s">
        <v>69</v>
      </c>
      <c r="C137" s="32" t="str">
        <f>_xlfn.XLOOKUP(Table6101112131415[[#This Row],[Category No]],Table8[Category No],Table8[Chapter List],FALSE)</f>
        <v>Imperial Guptas &amp; Vakataks, Post Gupta Empire</v>
      </c>
      <c r="D137" s="34" t="s">
        <v>1205</v>
      </c>
      <c r="E137" s="34" t="s">
        <v>1772</v>
      </c>
      <c r="F137" s="34" t="s">
        <v>1773</v>
      </c>
    </row>
    <row r="138" spans="1:6" x14ac:dyDescent="0.3">
      <c r="A138" s="32">
        <v>137</v>
      </c>
      <c r="B138" s="32" t="s">
        <v>69</v>
      </c>
      <c r="C138" s="32" t="str">
        <f>_xlfn.XLOOKUP(Table6101112131415[[#This Row],[Category No]],Table8[Category No],Table8[Chapter List],FALSE)</f>
        <v>Imperial Guptas &amp; Vakataks, Post Gupta Empire</v>
      </c>
      <c r="D138" s="34" t="s">
        <v>1771</v>
      </c>
      <c r="E138" s="34" t="s">
        <v>1772</v>
      </c>
      <c r="F138" s="34" t="s">
        <v>1773</v>
      </c>
    </row>
    <row r="139" spans="1:6" x14ac:dyDescent="0.3">
      <c r="A139" s="32">
        <v>138</v>
      </c>
      <c r="B139" s="32" t="s">
        <v>69</v>
      </c>
      <c r="C139" s="32" t="str">
        <f>_xlfn.XLOOKUP(Table6101112131415[[#This Row],[Category No]],Table8[Category No],Table8[Chapter List],FALSE)</f>
        <v>Imperial Guptas &amp; Vakataks, Post Gupta Empire</v>
      </c>
      <c r="D139" s="34" t="s">
        <v>1774</v>
      </c>
      <c r="E139" s="34" t="s">
        <v>1772</v>
      </c>
      <c r="F139" s="34" t="s">
        <v>1775</v>
      </c>
    </row>
    <row r="140" spans="1:6" x14ac:dyDescent="0.3">
      <c r="A140" s="32">
        <v>139</v>
      </c>
      <c r="B140" s="32" t="s">
        <v>69</v>
      </c>
      <c r="C140" s="32" t="str">
        <f>_xlfn.XLOOKUP(Table6101112131415[[#This Row],[Category No]],Table8[Category No],Table8[Chapter List],FALSE)</f>
        <v>Imperial Guptas &amp; Vakataks, Post Gupta Empire</v>
      </c>
      <c r="D140" s="34" t="s">
        <v>1776</v>
      </c>
      <c r="E140" s="34" t="s">
        <v>1389</v>
      </c>
      <c r="F140" s="34" t="s">
        <v>1786</v>
      </c>
    </row>
    <row r="141" spans="1:6" x14ac:dyDescent="0.3">
      <c r="A141" s="32">
        <v>140</v>
      </c>
      <c r="B141" s="32" t="s">
        <v>69</v>
      </c>
      <c r="C141" s="32" t="str">
        <f>_xlfn.XLOOKUP(Table6101112131415[[#This Row],[Category No]],Table8[Category No],Table8[Chapter List],FALSE)</f>
        <v>Imperial Guptas &amp; Vakataks, Post Gupta Empire</v>
      </c>
      <c r="D141" s="34" t="s">
        <v>1777</v>
      </c>
      <c r="E141" s="34" t="s">
        <v>1389</v>
      </c>
      <c r="F141" s="34" t="s">
        <v>1787</v>
      </c>
    </row>
    <row r="142" spans="1:6" x14ac:dyDescent="0.3">
      <c r="A142" s="32">
        <v>141</v>
      </c>
      <c r="B142" s="32" t="s">
        <v>69</v>
      </c>
      <c r="C142" s="32" t="str">
        <f>_xlfn.XLOOKUP(Table6101112131415[[#This Row],[Category No]],Table8[Category No],Table8[Chapter List],FALSE)</f>
        <v>Imperial Guptas &amp; Vakataks, Post Gupta Empire</v>
      </c>
      <c r="D142" s="34" t="s">
        <v>1778</v>
      </c>
      <c r="E142" s="34" t="s">
        <v>1389</v>
      </c>
      <c r="F142" s="34" t="s">
        <v>1820</v>
      </c>
    </row>
    <row r="143" spans="1:6" x14ac:dyDescent="0.3">
      <c r="A143" s="32">
        <v>142</v>
      </c>
      <c r="B143" s="32" t="s">
        <v>69</v>
      </c>
      <c r="C143" s="32" t="str">
        <f>_xlfn.XLOOKUP(Table6101112131415[[#This Row],[Category No]],Table8[Category No],Table8[Chapter List],FALSE)</f>
        <v>Imperial Guptas &amp; Vakataks, Post Gupta Empire</v>
      </c>
      <c r="D143" s="34" t="s">
        <v>1779</v>
      </c>
      <c r="E143" s="34" t="s">
        <v>1389</v>
      </c>
      <c r="F143" s="34" t="s">
        <v>1788</v>
      </c>
    </row>
    <row r="144" spans="1:6" x14ac:dyDescent="0.3">
      <c r="A144" s="32">
        <v>143</v>
      </c>
      <c r="B144" s="32" t="s">
        <v>69</v>
      </c>
      <c r="C144" s="32" t="str">
        <f>_xlfn.XLOOKUP(Table6101112131415[[#This Row],[Category No]],Table8[Category No],Table8[Chapter List],FALSE)</f>
        <v>Imperial Guptas &amp; Vakataks, Post Gupta Empire</v>
      </c>
      <c r="D144" s="34" t="s">
        <v>1780</v>
      </c>
      <c r="E144" s="34" t="s">
        <v>1389</v>
      </c>
      <c r="F144" s="34" t="s">
        <v>1784</v>
      </c>
    </row>
    <row r="145" spans="1:6" x14ac:dyDescent="0.3">
      <c r="A145" s="32">
        <v>144</v>
      </c>
      <c r="B145" s="32" t="s">
        <v>69</v>
      </c>
      <c r="C145" s="32" t="str">
        <f>_xlfn.XLOOKUP(Table6101112131415[[#This Row],[Category No]],Table8[Category No],Table8[Chapter List],FALSE)</f>
        <v>Imperial Guptas &amp; Vakataks, Post Gupta Empire</v>
      </c>
      <c r="D145" s="34" t="s">
        <v>1781</v>
      </c>
      <c r="E145" s="34" t="s">
        <v>1389</v>
      </c>
      <c r="F145" s="34" t="s">
        <v>1785</v>
      </c>
    </row>
    <row r="146" spans="1:6" x14ac:dyDescent="0.3">
      <c r="A146" s="32">
        <v>145</v>
      </c>
      <c r="B146" s="32" t="s">
        <v>69</v>
      </c>
      <c r="C146" s="32" t="str">
        <f>_xlfn.XLOOKUP(Table6101112131415[[#This Row],[Category No]],Table8[Category No],Table8[Chapter List],FALSE)</f>
        <v>Imperial Guptas &amp; Vakataks, Post Gupta Empire</v>
      </c>
      <c r="D146" s="34" t="s">
        <v>1782</v>
      </c>
      <c r="E146" s="34" t="s">
        <v>1389</v>
      </c>
      <c r="F146" s="34" t="s">
        <v>1785</v>
      </c>
    </row>
    <row r="147" spans="1:6" x14ac:dyDescent="0.3">
      <c r="A147" s="32">
        <v>146</v>
      </c>
      <c r="B147" s="32" t="s">
        <v>69</v>
      </c>
      <c r="C147" s="32" t="str">
        <f>_xlfn.XLOOKUP(Table6101112131415[[#This Row],[Category No]],Table8[Category No],Table8[Chapter List],FALSE)</f>
        <v>Imperial Guptas &amp; Vakataks, Post Gupta Empire</v>
      </c>
      <c r="D147" s="34" t="s">
        <v>1783</v>
      </c>
      <c r="E147" s="34" t="s">
        <v>1389</v>
      </c>
      <c r="F147" s="34" t="s">
        <v>1785</v>
      </c>
    </row>
    <row r="148" spans="1:6" x14ac:dyDescent="0.3">
      <c r="A148" s="32">
        <v>147</v>
      </c>
      <c r="B148" s="32" t="s">
        <v>69</v>
      </c>
      <c r="C148" s="32" t="str">
        <f>_xlfn.XLOOKUP(Table6101112131415[[#This Row],[Category No]],Table8[Category No],Table8[Chapter List],FALSE)</f>
        <v>Imperial Guptas &amp; Vakataks, Post Gupta Empire</v>
      </c>
      <c r="D148" s="34" t="s">
        <v>1789</v>
      </c>
      <c r="E148" s="34" t="s">
        <v>1389</v>
      </c>
      <c r="F148" s="34" t="s">
        <v>1790</v>
      </c>
    </row>
    <row r="149" spans="1:6" x14ac:dyDescent="0.3">
      <c r="A149" s="32">
        <v>148</v>
      </c>
      <c r="B149" s="32" t="s">
        <v>69</v>
      </c>
      <c r="C149" s="32" t="str">
        <f>_xlfn.XLOOKUP(Table6101112131415[[#This Row],[Category No]],Table8[Category No],Table8[Chapter List],FALSE)</f>
        <v>Imperial Guptas &amp; Vakataks, Post Gupta Empire</v>
      </c>
      <c r="D149" s="34" t="s">
        <v>1791</v>
      </c>
      <c r="E149" s="34" t="s">
        <v>1389</v>
      </c>
      <c r="F149" s="34" t="s">
        <v>1793</v>
      </c>
    </row>
    <row r="150" spans="1:6" x14ac:dyDescent="0.3">
      <c r="A150" s="32">
        <v>149</v>
      </c>
      <c r="B150" s="32" t="s">
        <v>69</v>
      </c>
      <c r="C150" s="32" t="str">
        <f>_xlfn.XLOOKUP(Table6101112131415[[#This Row],[Category No]],Table8[Category No],Table8[Chapter List],FALSE)</f>
        <v>Imperial Guptas &amp; Vakataks, Post Gupta Empire</v>
      </c>
      <c r="D150" s="34" t="s">
        <v>1792</v>
      </c>
      <c r="E150" s="34" t="s">
        <v>1389</v>
      </c>
      <c r="F150" s="34" t="s">
        <v>1793</v>
      </c>
    </row>
    <row r="151" spans="1:6" x14ac:dyDescent="0.3">
      <c r="A151" s="32">
        <v>150</v>
      </c>
      <c r="B151" s="32" t="s">
        <v>69</v>
      </c>
      <c r="C151" s="32" t="str">
        <f>_xlfn.XLOOKUP(Table6101112131415[[#This Row],[Category No]],Table8[Category No],Table8[Chapter List],FALSE)</f>
        <v>Imperial Guptas &amp; Vakataks, Post Gupta Empire</v>
      </c>
      <c r="D151" s="34" t="s">
        <v>1794</v>
      </c>
      <c r="E151" s="34" t="s">
        <v>1389</v>
      </c>
      <c r="F151" s="34" t="s">
        <v>1795</v>
      </c>
    </row>
    <row r="152" spans="1:6" x14ac:dyDescent="0.3">
      <c r="A152" s="32">
        <v>151</v>
      </c>
      <c r="B152" s="32" t="s">
        <v>69</v>
      </c>
      <c r="C152" s="32" t="str">
        <f>_xlfn.XLOOKUP(Table6101112131415[[#This Row],[Category No]],Table8[Category No],Table8[Chapter List],FALSE)</f>
        <v>Imperial Guptas &amp; Vakataks, Post Gupta Empire</v>
      </c>
      <c r="D152" s="34" t="s">
        <v>1796</v>
      </c>
      <c r="E152" s="34" t="s">
        <v>1389</v>
      </c>
      <c r="F152" s="34" t="s">
        <v>1798</v>
      </c>
    </row>
    <row r="153" spans="1:6" x14ac:dyDescent="0.3">
      <c r="A153" s="32">
        <v>152</v>
      </c>
      <c r="B153" s="32" t="s">
        <v>69</v>
      </c>
      <c r="C153" s="32" t="str">
        <f>_xlfn.XLOOKUP(Table6101112131415[[#This Row],[Category No]],Table8[Category No],Table8[Chapter List],FALSE)</f>
        <v>Imperial Guptas &amp; Vakataks, Post Gupta Empire</v>
      </c>
      <c r="D153" s="34" t="s">
        <v>1797</v>
      </c>
      <c r="E153" s="34" t="s">
        <v>1389</v>
      </c>
      <c r="F153" s="34" t="s">
        <v>1798</v>
      </c>
    </row>
    <row r="154" spans="1:6" x14ac:dyDescent="0.3">
      <c r="A154" s="32">
        <v>153</v>
      </c>
      <c r="B154" s="32" t="s">
        <v>69</v>
      </c>
      <c r="C154" s="32" t="str">
        <f>_xlfn.XLOOKUP(Table6101112131415[[#This Row],[Category No]],Table8[Category No],Table8[Chapter List],FALSE)</f>
        <v>Imperial Guptas &amp; Vakataks, Post Gupta Empire</v>
      </c>
      <c r="D154" s="34" t="s">
        <v>1800</v>
      </c>
      <c r="E154" s="34" t="s">
        <v>1389</v>
      </c>
      <c r="F154" s="34" t="s">
        <v>1799</v>
      </c>
    </row>
    <row r="155" spans="1:6" x14ac:dyDescent="0.3">
      <c r="A155" s="32">
        <v>154</v>
      </c>
      <c r="B155" s="32" t="s">
        <v>69</v>
      </c>
      <c r="C155" s="32" t="str">
        <f>_xlfn.XLOOKUP(Table6101112131415[[#This Row],[Category No]],Table8[Category No],Table8[Chapter List],FALSE)</f>
        <v>Imperial Guptas &amp; Vakataks, Post Gupta Empire</v>
      </c>
      <c r="D155" s="34" t="s">
        <v>1801</v>
      </c>
      <c r="E155" s="34" t="s">
        <v>1389</v>
      </c>
      <c r="F155" s="34" t="s">
        <v>1802</v>
      </c>
    </row>
    <row r="156" spans="1:6" x14ac:dyDescent="0.3">
      <c r="A156" s="32">
        <v>155</v>
      </c>
      <c r="B156" s="32" t="s">
        <v>69</v>
      </c>
      <c r="C156" s="32" t="str">
        <f>_xlfn.XLOOKUP(Table6101112131415[[#This Row],[Category No]],Table8[Category No],Table8[Chapter List],FALSE)</f>
        <v>Imperial Guptas &amp; Vakataks, Post Gupta Empire</v>
      </c>
      <c r="D156" s="34" t="s">
        <v>1817</v>
      </c>
      <c r="E156" s="34" t="s">
        <v>1389</v>
      </c>
      <c r="F156" s="34" t="s">
        <v>1819</v>
      </c>
    </row>
    <row r="157" spans="1:6" x14ac:dyDescent="0.3">
      <c r="A157" s="32">
        <v>156</v>
      </c>
      <c r="B157" s="32" t="s">
        <v>69</v>
      </c>
      <c r="C157" s="32" t="str">
        <f>_xlfn.XLOOKUP(Table6101112131415[[#This Row],[Category No]],Table8[Category No],Table8[Chapter List],FALSE)</f>
        <v>Imperial Guptas &amp; Vakataks, Post Gupta Empire</v>
      </c>
      <c r="D157" s="34" t="s">
        <v>1818</v>
      </c>
      <c r="E157" s="34" t="s">
        <v>1389</v>
      </c>
      <c r="F157" s="34" t="s">
        <v>1819</v>
      </c>
    </row>
    <row r="158" spans="1:6" x14ac:dyDescent="0.3">
      <c r="A158" s="32">
        <v>157</v>
      </c>
      <c r="B158" s="32" t="s">
        <v>70</v>
      </c>
      <c r="C158" s="32" t="str">
        <f>_xlfn.XLOOKUP(Table6101112131415[[#This Row],[Category No]],Table8[Category No],Table8[Chapter List],FALSE)</f>
        <v>Harshavardhana/ Vardhan Dynasty/ Pushyabhuti Dynasty</v>
      </c>
      <c r="D158" s="34" t="s">
        <v>1856</v>
      </c>
      <c r="E158" s="34" t="s">
        <v>1389</v>
      </c>
      <c r="F158" s="34" t="s">
        <v>1857</v>
      </c>
    </row>
    <row r="159" spans="1:6" x14ac:dyDescent="0.3">
      <c r="A159" s="32">
        <v>158</v>
      </c>
      <c r="B159" s="32" t="s">
        <v>70</v>
      </c>
      <c r="C159" s="32" t="str">
        <f>_xlfn.XLOOKUP(Table6101112131415[[#This Row],[Category No]],Table8[Category No],Table8[Chapter List],FALSE)</f>
        <v>Harshavardhana/ Vardhan Dynasty/ Pushyabhuti Dynasty</v>
      </c>
      <c r="D159" s="34" t="s">
        <v>1858</v>
      </c>
      <c r="E159" s="34" t="s">
        <v>1873</v>
      </c>
      <c r="F159" s="34" t="s">
        <v>1857</v>
      </c>
    </row>
    <row r="160" spans="1:6" x14ac:dyDescent="0.3">
      <c r="A160" s="32">
        <v>159</v>
      </c>
      <c r="B160" s="32" t="s">
        <v>70</v>
      </c>
      <c r="C160" s="32" t="str">
        <f>_xlfn.XLOOKUP(Table6101112131415[[#This Row],[Category No]],Table8[Category No],Table8[Chapter List],FALSE)</f>
        <v>Harshavardhana/ Vardhan Dynasty/ Pushyabhuti Dynasty</v>
      </c>
      <c r="D160" s="34" t="s">
        <v>1859</v>
      </c>
      <c r="E160" s="34" t="s">
        <v>1862</v>
      </c>
      <c r="F160" s="34" t="s">
        <v>1863</v>
      </c>
    </row>
    <row r="161" spans="1:7" x14ac:dyDescent="0.3">
      <c r="A161" s="32">
        <v>160</v>
      </c>
      <c r="B161" s="32" t="s">
        <v>70</v>
      </c>
      <c r="C161" s="32" t="str">
        <f>_xlfn.XLOOKUP(Table6101112131415[[#This Row],[Category No]],Table8[Category No],Table8[Chapter List],FALSE)</f>
        <v>Harshavardhana/ Vardhan Dynasty/ Pushyabhuti Dynasty</v>
      </c>
      <c r="D161" s="34" t="s">
        <v>1860</v>
      </c>
      <c r="E161" s="34" t="s">
        <v>1862</v>
      </c>
      <c r="F161" s="34" t="s">
        <v>1863</v>
      </c>
    </row>
    <row r="162" spans="1:7" x14ac:dyDescent="0.3">
      <c r="A162" s="32">
        <v>161</v>
      </c>
      <c r="B162" s="32" t="s">
        <v>70</v>
      </c>
      <c r="C162" s="32" t="str">
        <f>_xlfn.XLOOKUP(Table6101112131415[[#This Row],[Category No]],Table8[Category No],Table8[Chapter List],FALSE)</f>
        <v>Harshavardhana/ Vardhan Dynasty/ Pushyabhuti Dynasty</v>
      </c>
      <c r="D162" s="34" t="s">
        <v>1861</v>
      </c>
      <c r="E162" s="34" t="s">
        <v>1862</v>
      </c>
      <c r="F162" s="34" t="s">
        <v>1863</v>
      </c>
    </row>
    <row r="163" spans="1:7" x14ac:dyDescent="0.3">
      <c r="A163" s="32">
        <v>162</v>
      </c>
      <c r="B163" s="32" t="s">
        <v>70</v>
      </c>
      <c r="C163" s="32" t="str">
        <f>_xlfn.XLOOKUP(Table6101112131415[[#This Row],[Category No]],Table8[Category No],Table8[Chapter List],FALSE)</f>
        <v>Harshavardhana/ Vardhan Dynasty/ Pushyabhuti Dynasty</v>
      </c>
      <c r="D163" s="34" t="s">
        <v>1864</v>
      </c>
      <c r="E163" s="34" t="s">
        <v>1389</v>
      </c>
      <c r="F163" s="34" t="s">
        <v>1865</v>
      </c>
    </row>
    <row r="164" spans="1:7" x14ac:dyDescent="0.3">
      <c r="A164" s="32">
        <v>163</v>
      </c>
      <c r="B164" s="32" t="s">
        <v>70</v>
      </c>
      <c r="C164" s="32" t="str">
        <f>_xlfn.XLOOKUP(Table6101112131415[[#This Row],[Category No]],Table8[Category No],Table8[Chapter List],FALSE)</f>
        <v>Harshavardhana/ Vardhan Dynasty/ Pushyabhuti Dynasty</v>
      </c>
      <c r="D164" s="34" t="s">
        <v>1866</v>
      </c>
      <c r="E164" s="34" t="s">
        <v>1389</v>
      </c>
      <c r="F164" s="34" t="s">
        <v>1867</v>
      </c>
    </row>
    <row r="165" spans="1:7" x14ac:dyDescent="0.3">
      <c r="A165" s="32">
        <v>164</v>
      </c>
      <c r="B165" s="32" t="s">
        <v>70</v>
      </c>
      <c r="C165" s="32" t="str">
        <f>_xlfn.XLOOKUP(Table6101112131415[[#This Row],[Category No]],Table8[Category No],Table8[Chapter List],FALSE)</f>
        <v>Harshavardhana/ Vardhan Dynasty/ Pushyabhuti Dynasty</v>
      </c>
      <c r="D165" s="34" t="s">
        <v>1916</v>
      </c>
      <c r="E165" s="34" t="s">
        <v>1874</v>
      </c>
      <c r="F165" s="34" t="s">
        <v>1878</v>
      </c>
    </row>
    <row r="166" spans="1:7" x14ac:dyDescent="0.3">
      <c r="A166" s="32">
        <v>165</v>
      </c>
      <c r="B166" s="32" t="s">
        <v>70</v>
      </c>
      <c r="C166" s="32" t="str">
        <f>_xlfn.XLOOKUP(Table6101112131415[[#This Row],[Category No]],Table8[Category No],Table8[Chapter List],FALSE)</f>
        <v>Harshavardhana/ Vardhan Dynasty/ Pushyabhuti Dynasty</v>
      </c>
      <c r="D166" s="34" t="s">
        <v>1868</v>
      </c>
      <c r="E166" s="34" t="s">
        <v>1874</v>
      </c>
      <c r="F166" s="34" t="s">
        <v>1877</v>
      </c>
    </row>
    <row r="167" spans="1:7" ht="27.6" x14ac:dyDescent="0.3">
      <c r="A167" s="32">
        <v>166</v>
      </c>
      <c r="B167" s="32" t="s">
        <v>70</v>
      </c>
      <c r="C167" s="32" t="str">
        <f>_xlfn.XLOOKUP(Table6101112131415[[#This Row],[Category No]],Table8[Category No],Table8[Chapter List],FALSE)</f>
        <v>Harshavardhana/ Vardhan Dynasty/ Pushyabhuti Dynasty</v>
      </c>
      <c r="D167" s="34" t="s">
        <v>1869</v>
      </c>
      <c r="E167" s="34" t="s">
        <v>1874</v>
      </c>
      <c r="F167" s="33" t="s">
        <v>1876</v>
      </c>
    </row>
    <row r="168" spans="1:7" x14ac:dyDescent="0.3">
      <c r="A168" s="32">
        <v>167</v>
      </c>
      <c r="B168" s="42" t="s">
        <v>74</v>
      </c>
      <c r="C168" s="32" t="str">
        <f>_xlfn.XLOOKUP(Table6101112131415[[#This Row],[Category No]],Table8[Category No],Table8[Chapter List],FALSE)</f>
        <v>Early Medieval India's Major Dynasties Part 1 - (550 - 750)CE</v>
      </c>
      <c r="D168" s="34" t="s">
        <v>2009</v>
      </c>
      <c r="E168" s="34" t="s">
        <v>2010</v>
      </c>
      <c r="F168" s="34" t="s">
        <v>2012</v>
      </c>
      <c r="G168" s="57" t="s">
        <v>2190</v>
      </c>
    </row>
    <row r="169" spans="1:7" x14ac:dyDescent="0.3">
      <c r="A169" s="32">
        <v>168</v>
      </c>
      <c r="B169" s="42" t="s">
        <v>74</v>
      </c>
      <c r="C169" s="32" t="str">
        <f>_xlfn.XLOOKUP(Table6101112131415[[#This Row],[Category No]],Table8[Category No],Table8[Chapter List],FALSE)</f>
        <v>Early Medieval India's Major Dynasties Part 1 - (550 - 750)CE</v>
      </c>
      <c r="D169" s="34" t="s">
        <v>2011</v>
      </c>
      <c r="E169" s="34" t="s">
        <v>2010</v>
      </c>
      <c r="F169" s="34" t="s">
        <v>2012</v>
      </c>
      <c r="G169" s="57"/>
    </row>
    <row r="170" spans="1:7" x14ac:dyDescent="0.3">
      <c r="A170" s="32">
        <v>169</v>
      </c>
      <c r="B170" s="42" t="s">
        <v>74</v>
      </c>
      <c r="C170" s="32" t="str">
        <f>_xlfn.XLOOKUP(Table6101112131415[[#This Row],[Category No]],Table8[Category No],Table8[Chapter List],FALSE)</f>
        <v>Early Medieval India's Major Dynasties Part 1 - (550 - 750)CE</v>
      </c>
      <c r="D170" s="34" t="s">
        <v>2013</v>
      </c>
      <c r="E170" s="34" t="s">
        <v>2010</v>
      </c>
      <c r="F170" s="34" t="s">
        <v>2014</v>
      </c>
      <c r="G170" s="57"/>
    </row>
    <row r="171" spans="1:7" x14ac:dyDescent="0.3">
      <c r="A171" s="32">
        <v>170</v>
      </c>
      <c r="B171" s="42" t="s">
        <v>74</v>
      </c>
      <c r="C171" s="32" t="str">
        <f>_xlfn.XLOOKUP(Table6101112131415[[#This Row],[Category No]],Table8[Category No],Table8[Chapter List],FALSE)</f>
        <v>Early Medieval India's Major Dynasties Part 1 - (550 - 750)CE</v>
      </c>
      <c r="D171" s="34" t="s">
        <v>2015</v>
      </c>
      <c r="E171" s="34" t="s">
        <v>2010</v>
      </c>
      <c r="F171" s="34" t="s">
        <v>2012</v>
      </c>
      <c r="G171" s="57"/>
    </row>
    <row r="172" spans="1:7" x14ac:dyDescent="0.3">
      <c r="A172" s="32">
        <v>171</v>
      </c>
      <c r="B172" s="42" t="s">
        <v>74</v>
      </c>
      <c r="C172" s="32" t="str">
        <f>_xlfn.XLOOKUP(Table6101112131415[[#This Row],[Category No]],Table8[Category No],Table8[Chapter List],FALSE)</f>
        <v>Early Medieval India's Major Dynasties Part 1 - (550 - 750)CE</v>
      </c>
      <c r="D172" s="34" t="s">
        <v>1870</v>
      </c>
      <c r="E172" s="34" t="s">
        <v>1874</v>
      </c>
      <c r="F172" s="34" t="s">
        <v>1875</v>
      </c>
      <c r="G172" s="57"/>
    </row>
    <row r="173" spans="1:7" x14ac:dyDescent="0.3">
      <c r="A173" s="32">
        <v>172</v>
      </c>
      <c r="B173" s="42" t="s">
        <v>74</v>
      </c>
      <c r="C173" s="32" t="str">
        <f>_xlfn.XLOOKUP(Table6101112131415[[#This Row],[Category No]],Table8[Category No],Table8[Chapter List],FALSE)</f>
        <v>Early Medieval India's Major Dynasties Part 1 - (550 - 750)CE</v>
      </c>
      <c r="D173" s="34" t="s">
        <v>2016</v>
      </c>
      <c r="E173" s="34" t="s">
        <v>2010</v>
      </c>
      <c r="F173" s="34" t="s">
        <v>2017</v>
      </c>
      <c r="G173" s="57"/>
    </row>
    <row r="174" spans="1:7" x14ac:dyDescent="0.3">
      <c r="A174" s="32">
        <v>173</v>
      </c>
      <c r="B174" s="42" t="s">
        <v>74</v>
      </c>
      <c r="C174" s="32" t="str">
        <f>_xlfn.XLOOKUP(Table6101112131415[[#This Row],[Category No]],Table8[Category No],Table8[Chapter List],FALSE)</f>
        <v>Early Medieval India's Major Dynasties Part 1 - (550 - 750)CE</v>
      </c>
      <c r="D174" s="34" t="s">
        <v>2020</v>
      </c>
      <c r="E174" s="34" t="s">
        <v>1389</v>
      </c>
      <c r="F174" s="34" t="s">
        <v>2021</v>
      </c>
      <c r="G174" s="57"/>
    </row>
    <row r="175" spans="1:7" x14ac:dyDescent="0.3">
      <c r="A175" s="32">
        <v>174</v>
      </c>
      <c r="B175" s="42" t="s">
        <v>74</v>
      </c>
      <c r="C175" s="32" t="str">
        <f>_xlfn.XLOOKUP(Table6101112131415[[#This Row],[Category No]],Table8[Category No],Table8[Chapter List],FALSE)</f>
        <v>Early Medieval India's Major Dynasties Part 1 - (550 - 750)CE</v>
      </c>
      <c r="D175" s="34" t="s">
        <v>2022</v>
      </c>
      <c r="E175" s="34" t="s">
        <v>1389</v>
      </c>
      <c r="F175" s="34" t="s">
        <v>2023</v>
      </c>
      <c r="G175" s="57"/>
    </row>
    <row r="176" spans="1:7" x14ac:dyDescent="0.3">
      <c r="A176" s="32">
        <v>175</v>
      </c>
      <c r="B176" s="42" t="s">
        <v>74</v>
      </c>
      <c r="C176" s="32" t="str">
        <f>_xlfn.XLOOKUP(Table6101112131415[[#This Row],[Category No]],Table8[Category No],Table8[Chapter List],FALSE)</f>
        <v>Early Medieval India's Major Dynasties Part 1 - (550 - 750)CE</v>
      </c>
      <c r="D176" s="34" t="s">
        <v>2072</v>
      </c>
      <c r="E176" s="34" t="s">
        <v>1389</v>
      </c>
      <c r="F176" s="34" t="s">
        <v>2073</v>
      </c>
      <c r="G176" s="57" t="s">
        <v>2035</v>
      </c>
    </row>
    <row r="177" spans="1:7" x14ac:dyDescent="0.3">
      <c r="A177" s="32">
        <v>176</v>
      </c>
      <c r="B177" s="42" t="s">
        <v>74</v>
      </c>
      <c r="C177" s="32" t="str">
        <f>_xlfn.XLOOKUP(Table6101112131415[[#This Row],[Category No]],Table8[Category No],Table8[Chapter List],FALSE)</f>
        <v>Early Medieval India's Major Dynasties Part 1 - (550 - 750)CE</v>
      </c>
      <c r="D177" s="34" t="s">
        <v>2074</v>
      </c>
      <c r="E177" s="34" t="s">
        <v>2010</v>
      </c>
      <c r="F177" s="34" t="s">
        <v>2075</v>
      </c>
      <c r="G177" s="57"/>
    </row>
    <row r="178" spans="1:7" x14ac:dyDescent="0.3">
      <c r="A178" s="32">
        <v>177</v>
      </c>
      <c r="B178" s="42" t="s">
        <v>74</v>
      </c>
      <c r="C178" s="32" t="str">
        <f>_xlfn.XLOOKUP(Table6101112131415[[#This Row],[Category No]],Table8[Category No],Table8[Chapter List],FALSE)</f>
        <v>Early Medieval India's Major Dynasties Part 1 - (550 - 750)CE</v>
      </c>
      <c r="D178" s="34" t="s">
        <v>2076</v>
      </c>
      <c r="E178" s="34" t="s">
        <v>2010</v>
      </c>
      <c r="F178" s="34" t="s">
        <v>2077</v>
      </c>
      <c r="G178" s="57"/>
    </row>
    <row r="179" spans="1:7" x14ac:dyDescent="0.3">
      <c r="A179" s="32">
        <v>178</v>
      </c>
      <c r="B179" s="42" t="s">
        <v>74</v>
      </c>
      <c r="C179" s="32" t="str">
        <f>_xlfn.XLOOKUP(Table6101112131415[[#This Row],[Category No]],Table8[Category No],Table8[Chapter List],FALSE)</f>
        <v>Early Medieval India's Major Dynasties Part 1 - (550 - 750)CE</v>
      </c>
      <c r="D179" s="34" t="s">
        <v>2078</v>
      </c>
      <c r="E179" s="34" t="s">
        <v>2010</v>
      </c>
      <c r="F179" s="34" t="s">
        <v>2079</v>
      </c>
      <c r="G179" s="57"/>
    </row>
    <row r="180" spans="1:7" x14ac:dyDescent="0.3">
      <c r="A180" s="32">
        <v>179</v>
      </c>
      <c r="B180" s="42" t="s">
        <v>74</v>
      </c>
      <c r="C180" s="32" t="str">
        <f>_xlfn.XLOOKUP(Table6101112131415[[#This Row],[Category No]],Table8[Category No],Table8[Chapter List],FALSE)</f>
        <v>Early Medieval India's Major Dynasties Part 1 - (550 - 750)CE</v>
      </c>
      <c r="D180" s="34" t="s">
        <v>2080</v>
      </c>
      <c r="E180" s="34" t="s">
        <v>2010</v>
      </c>
      <c r="F180" s="34" t="s">
        <v>2081</v>
      </c>
      <c r="G180" s="57"/>
    </row>
    <row r="181" spans="1:7" x14ac:dyDescent="0.3">
      <c r="A181" s="32">
        <v>180</v>
      </c>
      <c r="B181" s="42" t="s">
        <v>74</v>
      </c>
      <c r="C181" s="32" t="str">
        <f>_xlfn.XLOOKUP(Table6101112131415[[#This Row],[Category No]],Table8[Category No],Table8[Chapter List],FALSE)</f>
        <v>Early Medieval India's Major Dynasties Part 1 - (550 - 750)CE</v>
      </c>
      <c r="D181" s="34" t="s">
        <v>2082</v>
      </c>
      <c r="E181" s="34" t="s">
        <v>2098</v>
      </c>
      <c r="F181" s="34" t="s">
        <v>2083</v>
      </c>
      <c r="G181" s="57"/>
    </row>
    <row r="182" spans="1:7" x14ac:dyDescent="0.3">
      <c r="A182" s="32">
        <v>181</v>
      </c>
      <c r="B182" s="42" t="s">
        <v>74</v>
      </c>
      <c r="C182" s="32" t="str">
        <f>_xlfn.XLOOKUP(Table6101112131415[[#This Row],[Category No]],Table8[Category No],Table8[Chapter List],FALSE)</f>
        <v>Early Medieval India's Major Dynasties Part 1 - (550 - 750)CE</v>
      </c>
      <c r="D182" s="34" t="s">
        <v>2085</v>
      </c>
      <c r="E182" s="34" t="s">
        <v>2098</v>
      </c>
      <c r="F182" s="34" t="s">
        <v>2084</v>
      </c>
      <c r="G182" s="57"/>
    </row>
    <row r="183" spans="1:7" x14ac:dyDescent="0.3">
      <c r="A183" s="32">
        <v>182</v>
      </c>
      <c r="B183" s="42" t="s">
        <v>75</v>
      </c>
      <c r="C183" s="32" t="str">
        <f>_xlfn.XLOOKUP(Table6101112131415[[#This Row],[Category No]],Table8[Category No],Table8[Chapter List],FALSE)</f>
        <v>Early Medieval India's Major Dynasties Part 2 - (750 - 1000)CE</v>
      </c>
      <c r="D183" s="34" t="s">
        <v>2175</v>
      </c>
      <c r="E183" s="34" t="s">
        <v>1389</v>
      </c>
      <c r="F183" s="34" t="s">
        <v>2176</v>
      </c>
      <c r="G183" s="57" t="s">
        <v>2189</v>
      </c>
    </row>
    <row r="184" spans="1:7" x14ac:dyDescent="0.3">
      <c r="A184" s="32">
        <v>183</v>
      </c>
      <c r="B184" s="42" t="s">
        <v>75</v>
      </c>
      <c r="C184" s="32" t="str">
        <f>_xlfn.XLOOKUP(Table6101112131415[[#This Row],[Category No]],Table8[Category No],Table8[Chapter List],FALSE)</f>
        <v>Early Medieval India's Major Dynasties Part 2 - (750 - 1000)CE</v>
      </c>
      <c r="D184" s="34" t="s">
        <v>2185</v>
      </c>
      <c r="E184" s="34" t="s">
        <v>1389</v>
      </c>
      <c r="F184" s="34" t="s">
        <v>2187</v>
      </c>
      <c r="G184" s="57"/>
    </row>
    <row r="185" spans="1:7" x14ac:dyDescent="0.3">
      <c r="A185" s="32">
        <v>184</v>
      </c>
      <c r="B185" s="42" t="s">
        <v>75</v>
      </c>
      <c r="C185" s="32" t="str">
        <f>_xlfn.XLOOKUP(Table6101112131415[[#This Row],[Category No]],Table8[Category No],Table8[Chapter List],FALSE)</f>
        <v>Early Medieval India's Major Dynasties Part 2 - (750 - 1000)CE</v>
      </c>
      <c r="D185" s="34" t="s">
        <v>2186</v>
      </c>
      <c r="E185" s="34" t="s">
        <v>1389</v>
      </c>
      <c r="F185" s="34" t="s">
        <v>2188</v>
      </c>
      <c r="G185" s="57"/>
    </row>
    <row r="186" spans="1:7" x14ac:dyDescent="0.3">
      <c r="A186" s="32">
        <v>185</v>
      </c>
      <c r="B186" s="42" t="s">
        <v>75</v>
      </c>
      <c r="C186" s="32" t="str">
        <f>_xlfn.XLOOKUP(Table6101112131415[[#This Row],[Category No]],Table8[Category No],Table8[Chapter List],FALSE)</f>
        <v>Early Medieval India's Major Dynasties Part 2 - (750 - 1000)CE</v>
      </c>
      <c r="D186" s="34" t="s">
        <v>2177</v>
      </c>
      <c r="E186" s="34" t="s">
        <v>1389</v>
      </c>
      <c r="F186" s="34" t="s">
        <v>2178</v>
      </c>
      <c r="G186" s="57"/>
    </row>
    <row r="187" spans="1:7" x14ac:dyDescent="0.3">
      <c r="A187" s="32">
        <v>186</v>
      </c>
      <c r="B187" s="42" t="s">
        <v>75</v>
      </c>
      <c r="C187" s="32" t="str">
        <f>_xlfn.XLOOKUP(Table6101112131415[[#This Row],[Category No]],Table8[Category No],Table8[Chapter List],FALSE)</f>
        <v>Early Medieval India's Major Dynasties Part 2 - (750 - 1000)CE</v>
      </c>
      <c r="D187" s="34" t="s">
        <v>2179</v>
      </c>
      <c r="E187" s="34" t="s">
        <v>1389</v>
      </c>
      <c r="F187" s="34" t="s">
        <v>2180</v>
      </c>
      <c r="G187" s="57"/>
    </row>
    <row r="188" spans="1:7" x14ac:dyDescent="0.3">
      <c r="A188" s="32">
        <v>187</v>
      </c>
      <c r="B188" s="42" t="s">
        <v>75</v>
      </c>
      <c r="C188" s="32" t="str">
        <f>_xlfn.XLOOKUP(Table6101112131415[[#This Row],[Category No]],Table8[Category No],Table8[Chapter List],FALSE)</f>
        <v>Early Medieval India's Major Dynasties Part 2 - (750 - 1000)CE</v>
      </c>
      <c r="D188" s="34" t="s">
        <v>2181</v>
      </c>
      <c r="E188" s="34" t="s">
        <v>1389</v>
      </c>
      <c r="F188" s="34" t="s">
        <v>2182</v>
      </c>
      <c r="G188" s="57"/>
    </row>
    <row r="189" spans="1:7" x14ac:dyDescent="0.3">
      <c r="A189" s="32">
        <v>188</v>
      </c>
      <c r="B189" s="42" t="s">
        <v>75</v>
      </c>
      <c r="C189" s="32" t="str">
        <f>_xlfn.XLOOKUP(Table6101112131415[[#This Row],[Category No]],Table8[Category No],Table8[Chapter List],FALSE)</f>
        <v>Early Medieval India's Major Dynasties Part 2 - (750 - 1000)CE</v>
      </c>
      <c r="D189" s="34" t="s">
        <v>2183</v>
      </c>
      <c r="E189" s="34" t="s">
        <v>1389</v>
      </c>
      <c r="F189" s="34" t="s">
        <v>2184</v>
      </c>
      <c r="G189" s="57"/>
    </row>
    <row r="190" spans="1:7" x14ac:dyDescent="0.3">
      <c r="A190" s="32">
        <v>189</v>
      </c>
      <c r="B190" s="42" t="s">
        <v>75</v>
      </c>
      <c r="C190" s="32" t="str">
        <f>_xlfn.XLOOKUP(Table6101112131415[[#This Row],[Category No]],Table8[Category No],Table8[Chapter List],FALSE)</f>
        <v>Early Medieval India's Major Dynasties Part 2 - (750 - 1000)CE</v>
      </c>
      <c r="D190" s="34" t="s">
        <v>2261</v>
      </c>
      <c r="E190" s="34" t="s">
        <v>2265</v>
      </c>
      <c r="F190" s="34" t="s">
        <v>2262</v>
      </c>
      <c r="G190" s="57"/>
    </row>
    <row r="191" spans="1:7" x14ac:dyDescent="0.3">
      <c r="A191" s="32">
        <v>190</v>
      </c>
      <c r="B191" s="42" t="s">
        <v>75</v>
      </c>
      <c r="C191" s="32" t="str">
        <f>_xlfn.XLOOKUP(Table6101112131415[[#This Row],[Category No]],Table8[Category No],Table8[Chapter List],FALSE)</f>
        <v>Early Medieval India's Major Dynasties Part 2 - (750 - 1000)CE</v>
      </c>
      <c r="D191" s="34" t="s">
        <v>2263</v>
      </c>
      <c r="E191" s="34" t="s">
        <v>2265</v>
      </c>
      <c r="F191" s="34" t="s">
        <v>2262</v>
      </c>
      <c r="G191" s="57"/>
    </row>
    <row r="192" spans="1:7" x14ac:dyDescent="0.3">
      <c r="A192" s="32">
        <v>191</v>
      </c>
      <c r="B192" s="42" t="s">
        <v>75</v>
      </c>
      <c r="C192" s="32" t="str">
        <f>_xlfn.XLOOKUP(Table6101112131415[[#This Row],[Category No]],Table8[Category No],Table8[Chapter List],FALSE)</f>
        <v>Early Medieval India's Major Dynasties Part 2 - (750 - 1000)CE</v>
      </c>
      <c r="D192" s="34" t="s">
        <v>2264</v>
      </c>
      <c r="E192" s="34" t="s">
        <v>2265</v>
      </c>
      <c r="F192" s="34" t="s">
        <v>2262</v>
      </c>
      <c r="G192" s="57"/>
    </row>
    <row r="193" spans="1:7" x14ac:dyDescent="0.3">
      <c r="A193" s="32">
        <v>192</v>
      </c>
      <c r="B193" s="42" t="s">
        <v>75</v>
      </c>
      <c r="C193" s="32" t="str">
        <f>_xlfn.XLOOKUP(Table6101112131415[[#This Row],[Category No]],Table8[Category No],Table8[Chapter List],FALSE)</f>
        <v>Early Medieval India's Major Dynasties Part 2 - (750 - 1000)CE</v>
      </c>
      <c r="D193" s="34" t="s">
        <v>2227</v>
      </c>
      <c r="E193" s="34" t="s">
        <v>1874</v>
      </c>
      <c r="F193" s="34" t="s">
        <v>2228</v>
      </c>
      <c r="G193" s="57" t="s">
        <v>2204</v>
      </c>
    </row>
    <row r="194" spans="1:7" x14ac:dyDescent="0.3">
      <c r="A194" s="32">
        <v>193</v>
      </c>
      <c r="B194" s="42" t="s">
        <v>75</v>
      </c>
      <c r="C194" s="32" t="str">
        <f>_xlfn.XLOOKUP(Table6101112131415[[#This Row],[Category No]],Table8[Category No],Table8[Chapter List],FALSE)</f>
        <v>Early Medieval India's Major Dynasties Part 2 - (750 - 1000)CE</v>
      </c>
      <c r="D194" s="34" t="s">
        <v>2229</v>
      </c>
      <c r="E194" s="34" t="s">
        <v>1389</v>
      </c>
      <c r="F194" s="34" t="s">
        <v>2230</v>
      </c>
      <c r="G194" s="57"/>
    </row>
    <row r="195" spans="1:7" x14ac:dyDescent="0.3">
      <c r="A195" s="32">
        <v>194</v>
      </c>
      <c r="B195" s="42" t="s">
        <v>75</v>
      </c>
      <c r="C195" s="32" t="str">
        <f>_xlfn.XLOOKUP(Table6101112131415[[#This Row],[Category No]],Table8[Category No],Table8[Chapter List],FALSE)</f>
        <v>Early Medieval India's Major Dynasties Part 2 - (750 - 1000)CE</v>
      </c>
      <c r="D195" s="34" t="s">
        <v>2231</v>
      </c>
      <c r="E195" s="34" t="s">
        <v>1389</v>
      </c>
      <c r="F195" s="34" t="s">
        <v>2232</v>
      </c>
      <c r="G195" s="57"/>
    </row>
    <row r="196" spans="1:7" x14ac:dyDescent="0.3">
      <c r="A196" s="32">
        <v>195</v>
      </c>
      <c r="B196" s="42" t="s">
        <v>75</v>
      </c>
      <c r="C196" s="32" t="str">
        <f>_xlfn.XLOOKUP(Table6101112131415[[#This Row],[Category No]],Table8[Category No],Table8[Chapter List],FALSE)</f>
        <v>Early Medieval India's Major Dynasties Part 2 - (750 - 1000)CE</v>
      </c>
      <c r="D196" s="34" t="s">
        <v>2287</v>
      </c>
      <c r="E196" s="34" t="s">
        <v>1874</v>
      </c>
      <c r="F196" s="34" t="s">
        <v>2288</v>
      </c>
      <c r="G196" s="57" t="s">
        <v>2244</v>
      </c>
    </row>
    <row r="197" spans="1:7" x14ac:dyDescent="0.3">
      <c r="A197" s="32">
        <v>196</v>
      </c>
      <c r="B197" s="42" t="s">
        <v>75</v>
      </c>
      <c r="C197" s="32" t="str">
        <f>_xlfn.XLOOKUP(Table6101112131415[[#This Row],[Category No]],Table8[Category No],Table8[Chapter List],FALSE)</f>
        <v>Early Medieval India's Major Dynasties Part 2 - (750 - 1000)CE</v>
      </c>
      <c r="D197" s="34" t="s">
        <v>2270</v>
      </c>
      <c r="E197" s="34" t="s">
        <v>1389</v>
      </c>
      <c r="F197" s="34" t="s">
        <v>2286</v>
      </c>
      <c r="G197" s="57"/>
    </row>
    <row r="198" spans="1:7" x14ac:dyDescent="0.3">
      <c r="A198" s="32">
        <v>197</v>
      </c>
      <c r="B198" s="42" t="s">
        <v>75</v>
      </c>
      <c r="C198" s="32" t="str">
        <f>_xlfn.XLOOKUP(Table6101112131415[[#This Row],[Category No]],Table8[Category No],Table8[Chapter List],FALSE)</f>
        <v>Early Medieval India's Major Dynasties Part 2 - (750 - 1000)CE</v>
      </c>
      <c r="D198" s="34" t="s">
        <v>2289</v>
      </c>
      <c r="E198" s="34" t="s">
        <v>2265</v>
      </c>
      <c r="F198" s="34" t="s">
        <v>2290</v>
      </c>
      <c r="G198" s="57"/>
    </row>
    <row r="199" spans="1:7" x14ac:dyDescent="0.3">
      <c r="A199" s="32">
        <v>198</v>
      </c>
      <c r="B199" s="42" t="s">
        <v>76</v>
      </c>
      <c r="C199" s="32" t="str">
        <f>_xlfn.XLOOKUP(Table6101112131415[[#This Row],[Category No]],Table8[Category No],Table8[Chapter List],FALSE)</f>
        <v>Early Medieval India's Major Dynasties Part 3 - (1000 - 1200) CE</v>
      </c>
      <c r="D199" s="34" t="s">
        <v>2329</v>
      </c>
      <c r="E199" s="34" t="s">
        <v>1389</v>
      </c>
      <c r="F199" s="34" t="s">
        <v>2330</v>
      </c>
      <c r="G199" s="54" t="s">
        <v>2307</v>
      </c>
    </row>
    <row r="200" spans="1:7" x14ac:dyDescent="0.3">
      <c r="A200" s="32">
        <v>199</v>
      </c>
      <c r="B200" s="42" t="s">
        <v>76</v>
      </c>
      <c r="C200" s="32" t="str">
        <f>_xlfn.XLOOKUP(Table6101112131415[[#This Row],[Category No]],Table8[Category No],Table8[Chapter List],FALSE)</f>
        <v>Early Medieval India's Major Dynasties Part 3 - (1000 - 1200) CE</v>
      </c>
      <c r="D200" s="34" t="s">
        <v>2360</v>
      </c>
      <c r="E200" s="34" t="s">
        <v>1389</v>
      </c>
      <c r="F200" s="34" t="s">
        <v>2363</v>
      </c>
      <c r="G200" s="57" t="s">
        <v>2365</v>
      </c>
    </row>
    <row r="201" spans="1:7" x14ac:dyDescent="0.3">
      <c r="A201" s="32">
        <v>200</v>
      </c>
      <c r="B201" s="42" t="s">
        <v>76</v>
      </c>
      <c r="C201" s="32" t="str">
        <f>_xlfn.XLOOKUP(Table6101112131415[[#This Row],[Category No]],Table8[Category No],Table8[Chapter List],FALSE)</f>
        <v>Early Medieval India's Major Dynasties Part 3 - (1000 - 1200) CE</v>
      </c>
      <c r="D201" s="34" t="s">
        <v>2361</v>
      </c>
      <c r="E201" s="34" t="s">
        <v>1389</v>
      </c>
      <c r="F201" s="34" t="s">
        <v>2364</v>
      </c>
      <c r="G201" s="57"/>
    </row>
    <row r="202" spans="1:7" x14ac:dyDescent="0.3">
      <c r="A202" s="32">
        <v>201</v>
      </c>
      <c r="B202" s="42" t="s">
        <v>76</v>
      </c>
      <c r="C202" s="32" t="str">
        <f>_xlfn.XLOOKUP(Table6101112131415[[#This Row],[Category No]],Table8[Category No],Table8[Chapter List],FALSE)</f>
        <v>Early Medieval India's Major Dynasties Part 3 - (1000 - 1200) CE</v>
      </c>
      <c r="D202" s="34" t="s">
        <v>2404</v>
      </c>
      <c r="E202" s="34" t="s">
        <v>1874</v>
      </c>
      <c r="F202" s="34" t="s">
        <v>2405</v>
      </c>
      <c r="G202" s="54" t="s">
        <v>2398</v>
      </c>
    </row>
    <row r="203" spans="1:7" x14ac:dyDescent="0.3">
      <c r="A203" s="32">
        <v>202</v>
      </c>
      <c r="B203" s="42" t="s">
        <v>76</v>
      </c>
      <c r="C203" s="32" t="str">
        <f>_xlfn.XLOOKUP(Table6101112131415[[#This Row],[Category No]],Table8[Category No],Table8[Chapter List],FALSE)</f>
        <v>Early Medieval India's Major Dynasties Part 3 - (1000 - 1200) CE</v>
      </c>
      <c r="D203" s="34" t="s">
        <v>2434</v>
      </c>
      <c r="E203" s="34" t="s">
        <v>2010</v>
      </c>
      <c r="F203" s="34" t="s">
        <v>2442</v>
      </c>
      <c r="G203" s="57" t="s">
        <v>2418</v>
      </c>
    </row>
    <row r="204" spans="1:7" x14ac:dyDescent="0.3">
      <c r="A204" s="32">
        <v>203</v>
      </c>
      <c r="B204" s="42" t="s">
        <v>76</v>
      </c>
      <c r="C204" s="32" t="str">
        <f>_xlfn.XLOOKUP(Table6101112131415[[#This Row],[Category No]],Table8[Category No],Table8[Chapter List],FALSE)</f>
        <v>Early Medieval India's Major Dynasties Part 3 - (1000 - 1200) CE</v>
      </c>
      <c r="D204" s="34" t="s">
        <v>2435</v>
      </c>
      <c r="E204" s="34" t="s">
        <v>2010</v>
      </c>
      <c r="F204" s="34" t="s">
        <v>2442</v>
      </c>
      <c r="G204" s="57"/>
    </row>
    <row r="205" spans="1:7" x14ac:dyDescent="0.3">
      <c r="A205" s="32">
        <v>204</v>
      </c>
      <c r="B205" s="42" t="s">
        <v>76</v>
      </c>
      <c r="C205" s="32" t="str">
        <f>_xlfn.XLOOKUP(Table6101112131415[[#This Row],[Category No]],Table8[Category No],Table8[Chapter List],FALSE)</f>
        <v>Early Medieval India's Major Dynasties Part 3 - (1000 - 1200) CE</v>
      </c>
      <c r="D205" s="34" t="s">
        <v>2436</v>
      </c>
      <c r="E205" s="34" t="s">
        <v>2010</v>
      </c>
      <c r="F205" s="34" t="s">
        <v>2443</v>
      </c>
      <c r="G205" s="57"/>
    </row>
    <row r="206" spans="1:7" x14ac:dyDescent="0.3">
      <c r="A206" s="32">
        <v>205</v>
      </c>
      <c r="B206" s="42" t="s">
        <v>76</v>
      </c>
      <c r="C206" s="32" t="str">
        <f>_xlfn.XLOOKUP(Table6101112131415[[#This Row],[Category No]],Table8[Category No],Table8[Chapter List],FALSE)</f>
        <v>Early Medieval India's Major Dynasties Part 3 - (1000 - 1200) CE</v>
      </c>
      <c r="D206" s="34" t="s">
        <v>2437</v>
      </c>
      <c r="E206" s="34" t="s">
        <v>2010</v>
      </c>
      <c r="F206" s="34" t="s">
        <v>2444</v>
      </c>
      <c r="G206" s="57"/>
    </row>
    <row r="207" spans="1:7" x14ac:dyDescent="0.3">
      <c r="A207" s="32">
        <v>206</v>
      </c>
      <c r="B207" s="42" t="s">
        <v>76</v>
      </c>
      <c r="C207" s="32" t="str">
        <f>_xlfn.XLOOKUP(Table6101112131415[[#This Row],[Category No]],Table8[Category No],Table8[Chapter List],FALSE)</f>
        <v>Early Medieval India's Major Dynasties Part 3 - (1000 - 1200) CE</v>
      </c>
      <c r="D207" s="34" t="s">
        <v>2438</v>
      </c>
      <c r="E207" s="34" t="s">
        <v>2010</v>
      </c>
      <c r="F207" s="34" t="s">
        <v>2445</v>
      </c>
      <c r="G207" s="57"/>
    </row>
    <row r="208" spans="1:7" x14ac:dyDescent="0.3">
      <c r="A208" s="32">
        <v>207</v>
      </c>
      <c r="B208" s="42" t="s">
        <v>76</v>
      </c>
      <c r="C208" s="32" t="str">
        <f>_xlfn.XLOOKUP(Table6101112131415[[#This Row],[Category No]],Table8[Category No],Table8[Chapter List],FALSE)</f>
        <v>Early Medieval India's Major Dynasties Part 3 - (1000 - 1200) CE</v>
      </c>
      <c r="D208" s="34" t="s">
        <v>2439</v>
      </c>
      <c r="E208" s="34" t="s">
        <v>1389</v>
      </c>
      <c r="F208" s="34" t="s">
        <v>2446</v>
      </c>
      <c r="G208" s="57"/>
    </row>
    <row r="209" spans="1:7" x14ac:dyDescent="0.3">
      <c r="A209" s="32">
        <v>208</v>
      </c>
      <c r="B209" s="42" t="s">
        <v>76</v>
      </c>
      <c r="C209" s="32" t="str">
        <f>_xlfn.XLOOKUP(Table6101112131415[[#This Row],[Category No]],Table8[Category No],Table8[Chapter List],FALSE)</f>
        <v>Early Medieval India's Major Dynasties Part 3 - (1000 - 1200) CE</v>
      </c>
      <c r="D209" s="34" t="s">
        <v>2440</v>
      </c>
      <c r="E209" s="34" t="s">
        <v>1389</v>
      </c>
      <c r="F209" s="34" t="s">
        <v>2447</v>
      </c>
      <c r="G209" s="57"/>
    </row>
    <row r="210" spans="1:7" x14ac:dyDescent="0.3">
      <c r="A210" s="32">
        <v>209</v>
      </c>
      <c r="B210" s="42" t="s">
        <v>76</v>
      </c>
      <c r="C210" s="32" t="str">
        <f>_xlfn.XLOOKUP(Table6101112131415[[#This Row],[Category No]],Table8[Category No],Table8[Chapter List],FALSE)</f>
        <v>Early Medieval India's Major Dynasties Part 3 - (1000 - 1200) CE</v>
      </c>
      <c r="D210" s="34" t="s">
        <v>2441</v>
      </c>
      <c r="E210" s="34" t="s">
        <v>1389</v>
      </c>
      <c r="F210" s="34" t="s">
        <v>2446</v>
      </c>
      <c r="G210" s="57"/>
    </row>
    <row r="211" spans="1:7" x14ac:dyDescent="0.3">
      <c r="A211" s="32">
        <v>210</v>
      </c>
      <c r="B211" s="42" t="s">
        <v>76</v>
      </c>
      <c r="C211" s="32" t="str">
        <f>_xlfn.XLOOKUP(Table6101112131415[[#This Row],[Category No]],Table8[Category No],Table8[Chapter List],FALSE)</f>
        <v>Early Medieval India's Major Dynasties Part 3 - (1000 - 1200) CE</v>
      </c>
      <c r="D211" s="34" t="s">
        <v>2463</v>
      </c>
      <c r="E211" s="34" t="s">
        <v>1874</v>
      </c>
      <c r="F211" s="34" t="s">
        <v>2464</v>
      </c>
      <c r="G211" s="58" t="s">
        <v>2452</v>
      </c>
    </row>
    <row r="212" spans="1:7" x14ac:dyDescent="0.3">
      <c r="A212" s="32">
        <v>211</v>
      </c>
      <c r="B212" s="42" t="s">
        <v>76</v>
      </c>
      <c r="C212" s="32" t="str">
        <f>_xlfn.XLOOKUP(Table6101112131415[[#This Row],[Category No]],Table8[Category No],Table8[Chapter List],FALSE)</f>
        <v>Early Medieval India's Major Dynasties Part 3 - (1000 - 1200) CE</v>
      </c>
      <c r="D212" s="34" t="s">
        <v>2465</v>
      </c>
      <c r="E212" s="34" t="s">
        <v>1874</v>
      </c>
      <c r="F212" s="34" t="s">
        <v>2466</v>
      </c>
      <c r="G212" s="59"/>
    </row>
    <row r="213" spans="1:7" x14ac:dyDescent="0.3">
      <c r="A213" s="32">
        <v>212</v>
      </c>
      <c r="B213" s="42" t="s">
        <v>76</v>
      </c>
      <c r="C213" s="32" t="str">
        <f>_xlfn.XLOOKUP(Table6101112131415[[#This Row],[Category No]],Table8[Category No],Table8[Chapter List],FALSE)</f>
        <v>Early Medieval India's Major Dynasties Part 3 - (1000 - 1200) CE</v>
      </c>
      <c r="D213" s="34" t="s">
        <v>2360</v>
      </c>
      <c r="E213" s="34" t="s">
        <v>1389</v>
      </c>
      <c r="F213" s="34" t="s">
        <v>2467</v>
      </c>
      <c r="G213" s="60"/>
    </row>
    <row r="214" spans="1:7" x14ac:dyDescent="0.3">
      <c r="A214" s="32">
        <v>213</v>
      </c>
      <c r="B214" s="42" t="s">
        <v>76</v>
      </c>
      <c r="C214" s="32" t="str">
        <f>_xlfn.XLOOKUP(Table6101112131415[[#This Row],[Category No]],Table8[Category No],Table8[Chapter List],FALSE)</f>
        <v>Early Medieval India's Major Dynasties Part 3 - (1000 - 1200) CE</v>
      </c>
      <c r="D214" s="34" t="s">
        <v>2514</v>
      </c>
      <c r="E214" s="34" t="s">
        <v>2010</v>
      </c>
      <c r="F214" s="34" t="s">
        <v>2576</v>
      </c>
      <c r="G214" s="42"/>
    </row>
    <row r="215" spans="1:7" x14ac:dyDescent="0.3">
      <c r="A215" s="32">
        <v>214</v>
      </c>
      <c r="B215" s="42" t="s">
        <v>76</v>
      </c>
      <c r="C215" s="32" t="str">
        <f>_xlfn.XLOOKUP(Table6101112131415[[#This Row],[Category No]],Table8[Category No],Table8[Chapter List],FALSE)</f>
        <v>Early Medieval India's Major Dynasties Part 3 - (1000 - 1200) CE</v>
      </c>
      <c r="D215" s="34" t="s">
        <v>2515</v>
      </c>
      <c r="E215" s="34" t="s">
        <v>2010</v>
      </c>
      <c r="F215" s="34" t="s">
        <v>2516</v>
      </c>
      <c r="G215" s="54" t="s">
        <v>2495</v>
      </c>
    </row>
    <row r="216" spans="1:7" x14ac:dyDescent="0.3">
      <c r="A216" s="32">
        <v>215</v>
      </c>
      <c r="B216" s="42" t="s">
        <v>76</v>
      </c>
      <c r="C216" s="32" t="str">
        <f>_xlfn.XLOOKUP(Table6101112131415[[#This Row],[Category No]],Table8[Category No],Table8[Chapter List],FALSE)</f>
        <v>Early Medieval India's Major Dynasties Part 3 - (1000 - 1200) CE</v>
      </c>
      <c r="D216" s="34" t="s">
        <v>2527</v>
      </c>
      <c r="E216" s="34" t="s">
        <v>2010</v>
      </c>
      <c r="F216" s="34" t="s">
        <v>2528</v>
      </c>
      <c r="G216" s="57" t="s">
        <v>2531</v>
      </c>
    </row>
    <row r="217" spans="1:7" x14ac:dyDescent="0.3">
      <c r="A217" s="32">
        <v>216</v>
      </c>
      <c r="B217" s="42" t="s">
        <v>76</v>
      </c>
      <c r="C217" s="32" t="str">
        <f>_xlfn.XLOOKUP(Table6101112131415[[#This Row],[Category No]],Table8[Category No],Table8[Chapter List],FALSE)</f>
        <v>Early Medieval India's Major Dynasties Part 3 - (1000 - 1200) CE</v>
      </c>
      <c r="D217" s="34" t="s">
        <v>2529</v>
      </c>
      <c r="E217" s="34" t="s">
        <v>2010</v>
      </c>
      <c r="F217" s="34" t="s">
        <v>2530</v>
      </c>
      <c r="G217" s="57"/>
    </row>
    <row r="218" spans="1:7" x14ac:dyDescent="0.3">
      <c r="A218" s="32">
        <v>217</v>
      </c>
      <c r="B218" s="42" t="s">
        <v>76</v>
      </c>
      <c r="C218" s="32" t="str">
        <f>_xlfn.XLOOKUP(Table6101112131415[[#This Row],[Category No]],Table8[Category No],Table8[Chapter List],FALSE)</f>
        <v>Early Medieval India's Major Dynasties Part 3 - (1000 - 1200) CE</v>
      </c>
      <c r="D218" s="34" t="s">
        <v>2573</v>
      </c>
      <c r="E218" s="34" t="s">
        <v>1874</v>
      </c>
      <c r="F218" s="34" t="s">
        <v>2574</v>
      </c>
      <c r="G218" s="57" t="s">
        <v>2567</v>
      </c>
    </row>
    <row r="219" spans="1:7" x14ac:dyDescent="0.3">
      <c r="A219" s="32">
        <v>218</v>
      </c>
      <c r="B219" s="42" t="s">
        <v>76</v>
      </c>
      <c r="C219" s="32" t="str">
        <f>_xlfn.XLOOKUP(Table6101112131415[[#This Row],[Category No]],Table8[Category No],Table8[Chapter List],FALSE)</f>
        <v>Early Medieval India's Major Dynasties Part 3 - (1000 - 1200) CE</v>
      </c>
      <c r="D219" s="34" t="s">
        <v>2575</v>
      </c>
      <c r="E219" s="34" t="s">
        <v>1389</v>
      </c>
      <c r="F219" s="34" t="s">
        <v>2578</v>
      </c>
      <c r="G219" s="57"/>
    </row>
    <row r="220" spans="1:7" x14ac:dyDescent="0.3">
      <c r="A220" s="32">
        <v>219</v>
      </c>
      <c r="B220" s="42" t="s">
        <v>76</v>
      </c>
      <c r="C220" s="32" t="str">
        <f>_xlfn.XLOOKUP(Table6101112131415[[#This Row],[Category No]],Table8[Category No],Table8[Chapter List],FALSE)</f>
        <v>Early Medieval India's Major Dynasties Part 3 - (1000 - 1200) CE</v>
      </c>
      <c r="D220" s="34" t="s">
        <v>2577</v>
      </c>
      <c r="E220" s="34" t="s">
        <v>1389</v>
      </c>
      <c r="F220" s="34" t="s">
        <v>2579</v>
      </c>
      <c r="G220" s="57"/>
    </row>
    <row r="221" spans="1:7" x14ac:dyDescent="0.3">
      <c r="A221" s="32">
        <v>220</v>
      </c>
      <c r="B221" s="42" t="s">
        <v>76</v>
      </c>
      <c r="C221" s="32" t="str">
        <f>_xlfn.XLOOKUP(Table6101112131415[[#This Row],[Category No]],Table8[Category No],Table8[Chapter List],FALSE)</f>
        <v>Early Medieval India's Major Dynasties Part 3 - (1000 - 1200) CE</v>
      </c>
      <c r="D221" s="34" t="s">
        <v>2582</v>
      </c>
      <c r="E221" s="34" t="s">
        <v>1389</v>
      </c>
      <c r="F221" s="34" t="s">
        <v>2584</v>
      </c>
      <c r="G221" s="57"/>
    </row>
    <row r="222" spans="1:7" x14ac:dyDescent="0.3">
      <c r="A222" s="32">
        <v>221</v>
      </c>
      <c r="B222" s="42" t="s">
        <v>76</v>
      </c>
      <c r="C222" s="32" t="str">
        <f>_xlfn.XLOOKUP(Table6101112131415[[#This Row],[Category No]],Table8[Category No],Table8[Chapter List],FALSE)</f>
        <v>Early Medieval India's Major Dynasties Part 3 - (1000 - 1200) CE</v>
      </c>
      <c r="D222" s="34" t="s">
        <v>2583</v>
      </c>
      <c r="E222" s="34" t="s">
        <v>1389</v>
      </c>
      <c r="F222" s="34" t="s">
        <v>2585</v>
      </c>
      <c r="G222" s="57"/>
    </row>
    <row r="223" spans="1:7" x14ac:dyDescent="0.3">
      <c r="A223" s="32">
        <v>222</v>
      </c>
      <c r="B223" s="32"/>
      <c r="C223" s="32" t="b">
        <f>_xlfn.XLOOKUP(Table6101112131415[[#This Row],[Category No]],Table8[Category No],Table8[Chapter List],FALSE)</f>
        <v>0</v>
      </c>
      <c r="D223" s="34"/>
      <c r="E223" s="34"/>
      <c r="F223" s="34"/>
    </row>
    <row r="224" spans="1:7" x14ac:dyDescent="0.3">
      <c r="A224" s="32">
        <v>223</v>
      </c>
      <c r="B224" s="32"/>
      <c r="C224" s="32" t="b">
        <f>_xlfn.XLOOKUP(Table6101112131415[[#This Row],[Category No]],Table8[Category No],Table8[Chapter List],FALSE)</f>
        <v>0</v>
      </c>
      <c r="D224" s="34"/>
      <c r="E224" s="34"/>
      <c r="F224" s="34"/>
    </row>
    <row r="225" spans="1:6" x14ac:dyDescent="0.3">
      <c r="A225" s="32">
        <v>224</v>
      </c>
      <c r="B225" s="32"/>
      <c r="C225" s="32" t="b">
        <f>_xlfn.XLOOKUP(Table6101112131415[[#This Row],[Category No]],Table8[Category No],Table8[Chapter List],FALSE)</f>
        <v>0</v>
      </c>
      <c r="D225" s="34"/>
      <c r="E225" s="34"/>
      <c r="F225" s="34"/>
    </row>
    <row r="226" spans="1:6" x14ac:dyDescent="0.3">
      <c r="A226" s="32">
        <v>225</v>
      </c>
      <c r="B226" s="32"/>
      <c r="C226" s="32" t="b">
        <f>_xlfn.XLOOKUP(Table6101112131415[[#This Row],[Category No]],Table8[Category No],Table8[Chapter List],FALSE)</f>
        <v>0</v>
      </c>
      <c r="D226" s="34"/>
      <c r="E226" s="34"/>
      <c r="F226" s="34"/>
    </row>
    <row r="227" spans="1:6" x14ac:dyDescent="0.3">
      <c r="A227" s="32">
        <v>226</v>
      </c>
      <c r="B227" s="32"/>
      <c r="C227" s="32" t="b">
        <f>_xlfn.XLOOKUP(Table6101112131415[[#This Row],[Category No]],Table8[Category No],Table8[Chapter List],FALSE)</f>
        <v>0</v>
      </c>
      <c r="D227" s="34"/>
      <c r="E227" s="34"/>
      <c r="F227" s="34"/>
    </row>
    <row r="228" spans="1:6" x14ac:dyDescent="0.3">
      <c r="A228" s="32">
        <v>227</v>
      </c>
      <c r="B228" s="32"/>
      <c r="C228" s="32" t="b">
        <f>_xlfn.XLOOKUP(Table6101112131415[[#This Row],[Category No]],Table8[Category No],Table8[Chapter List],FALSE)</f>
        <v>0</v>
      </c>
      <c r="D228" s="34"/>
      <c r="E228" s="34"/>
      <c r="F228" s="34"/>
    </row>
    <row r="229" spans="1:6" x14ac:dyDescent="0.3">
      <c r="A229" s="32">
        <v>228</v>
      </c>
      <c r="B229" s="32"/>
      <c r="C229" s="32" t="b">
        <f>_xlfn.XLOOKUP(Table6101112131415[[#This Row],[Category No]],Table8[Category No],Table8[Chapter List],FALSE)</f>
        <v>0</v>
      </c>
      <c r="D229" s="34"/>
      <c r="E229" s="34"/>
      <c r="F229" s="34"/>
    </row>
    <row r="230" spans="1:6" x14ac:dyDescent="0.3">
      <c r="A230" s="32">
        <v>229</v>
      </c>
      <c r="B230" s="32"/>
      <c r="C230" s="32" t="b">
        <f>_xlfn.XLOOKUP(Table6101112131415[[#This Row],[Category No]],Table8[Category No],Table8[Chapter List],FALSE)</f>
        <v>0</v>
      </c>
      <c r="D230" s="34"/>
      <c r="E230" s="34"/>
      <c r="F230" s="34"/>
    </row>
    <row r="231" spans="1:6" x14ac:dyDescent="0.3">
      <c r="A231" s="32">
        <v>230</v>
      </c>
      <c r="B231" s="32"/>
      <c r="C231" s="32" t="b">
        <f>_xlfn.XLOOKUP(Table6101112131415[[#This Row],[Category No]],Table8[Category No],Table8[Chapter List],FALSE)</f>
        <v>0</v>
      </c>
      <c r="D231" s="34"/>
      <c r="E231" s="34"/>
      <c r="F231" s="34"/>
    </row>
    <row r="232" spans="1:6" x14ac:dyDescent="0.3">
      <c r="A232" s="32">
        <v>231</v>
      </c>
      <c r="B232" s="32"/>
      <c r="C232" s="32" t="b">
        <f>_xlfn.XLOOKUP(Table6101112131415[[#This Row],[Category No]],Table8[Category No],Table8[Chapter List],FALSE)</f>
        <v>0</v>
      </c>
      <c r="D232" s="34"/>
      <c r="E232" s="34"/>
      <c r="F232" s="34"/>
    </row>
    <row r="233" spans="1:6" x14ac:dyDescent="0.3">
      <c r="A233" s="32">
        <v>232</v>
      </c>
      <c r="B233" s="32"/>
      <c r="C233" s="32" t="b">
        <f>_xlfn.XLOOKUP(Table6101112131415[[#This Row],[Category No]],Table8[Category No],Table8[Chapter List],FALSE)</f>
        <v>0</v>
      </c>
      <c r="D233" s="34"/>
      <c r="E233" s="34"/>
      <c r="F233" s="34"/>
    </row>
    <row r="234" spans="1:6" x14ac:dyDescent="0.3">
      <c r="A234" s="32">
        <v>233</v>
      </c>
      <c r="B234" s="32"/>
      <c r="C234" s="32" t="b">
        <f>_xlfn.XLOOKUP(Table6101112131415[[#This Row],[Category No]],Table8[Category No],Table8[Chapter List],FALSE)</f>
        <v>0</v>
      </c>
      <c r="D234" s="34"/>
      <c r="E234" s="34"/>
      <c r="F234" s="34"/>
    </row>
    <row r="235" spans="1:6" x14ac:dyDescent="0.3">
      <c r="A235" s="32">
        <v>234</v>
      </c>
      <c r="B235" s="32"/>
      <c r="C235" s="32" t="b">
        <f>_xlfn.XLOOKUP(Table6101112131415[[#This Row],[Category No]],Table8[Category No],Table8[Chapter List],FALSE)</f>
        <v>0</v>
      </c>
      <c r="D235" s="34"/>
      <c r="E235" s="34"/>
      <c r="F235" s="34"/>
    </row>
    <row r="236" spans="1:6" x14ac:dyDescent="0.3">
      <c r="A236" s="32">
        <v>235</v>
      </c>
      <c r="B236" s="32"/>
      <c r="C236" s="32" t="b">
        <f>_xlfn.XLOOKUP(Table6101112131415[[#This Row],[Category No]],Table8[Category No],Table8[Chapter List],FALSE)</f>
        <v>0</v>
      </c>
      <c r="D236" s="34"/>
      <c r="E236" s="34"/>
      <c r="F236" s="34"/>
    </row>
    <row r="237" spans="1:6" x14ac:dyDescent="0.3">
      <c r="A237" s="32">
        <v>236</v>
      </c>
      <c r="B237" s="32"/>
      <c r="C237" s="32" t="b">
        <f>_xlfn.XLOOKUP(Table6101112131415[[#This Row],[Category No]],Table8[Category No],Table8[Chapter List],FALSE)</f>
        <v>0</v>
      </c>
      <c r="D237" s="34"/>
      <c r="E237" s="34"/>
      <c r="F237" s="34"/>
    </row>
    <row r="238" spans="1:6" x14ac:dyDescent="0.3">
      <c r="A238" s="32">
        <v>237</v>
      </c>
      <c r="B238" s="32"/>
      <c r="C238" s="32" t="b">
        <f>_xlfn.XLOOKUP(Table6101112131415[[#This Row],[Category No]],Table8[Category No],Table8[Chapter List],FALSE)</f>
        <v>0</v>
      </c>
      <c r="D238" s="34"/>
      <c r="E238" s="34"/>
      <c r="F238" s="34"/>
    </row>
    <row r="239" spans="1:6" x14ac:dyDescent="0.3">
      <c r="A239" s="32">
        <v>238</v>
      </c>
      <c r="B239" s="32"/>
      <c r="C239" s="32" t="b">
        <f>_xlfn.XLOOKUP(Table6101112131415[[#This Row],[Category No]],Table8[Category No],Table8[Chapter List],FALSE)</f>
        <v>0</v>
      </c>
      <c r="D239" s="34"/>
      <c r="E239" s="34"/>
      <c r="F239" s="34"/>
    </row>
    <row r="240" spans="1:6" x14ac:dyDescent="0.3">
      <c r="A240" s="32">
        <v>239</v>
      </c>
      <c r="B240" s="32"/>
      <c r="C240" s="32" t="b">
        <f>_xlfn.XLOOKUP(Table6101112131415[[#This Row],[Category No]],Table8[Category No],Table8[Chapter List],FALSE)</f>
        <v>0</v>
      </c>
      <c r="D240" s="34"/>
      <c r="E240" s="34"/>
      <c r="F240" s="34"/>
    </row>
    <row r="241" spans="1:6" x14ac:dyDescent="0.3">
      <c r="A241" s="32">
        <v>240</v>
      </c>
      <c r="B241" s="32"/>
      <c r="C241" s="32" t="b">
        <f>_xlfn.XLOOKUP(Table6101112131415[[#This Row],[Category No]],Table8[Category No],Table8[Chapter List],FALSE)</f>
        <v>0</v>
      </c>
      <c r="D241" s="34"/>
      <c r="E241" s="34"/>
      <c r="F241" s="34"/>
    </row>
    <row r="242" spans="1:6" x14ac:dyDescent="0.3">
      <c r="A242" s="32">
        <v>241</v>
      </c>
      <c r="B242" s="32"/>
      <c r="C242" s="32" t="b">
        <f>_xlfn.XLOOKUP(Table6101112131415[[#This Row],[Category No]],Table8[Category No],Table8[Chapter List],FALSE)</f>
        <v>0</v>
      </c>
      <c r="D242" s="34"/>
      <c r="E242" s="34"/>
      <c r="F242" s="34"/>
    </row>
    <row r="243" spans="1:6" x14ac:dyDescent="0.3">
      <c r="A243" s="32">
        <v>242</v>
      </c>
      <c r="B243" s="32"/>
      <c r="C243" s="32" t="b">
        <f>_xlfn.XLOOKUP(Table6101112131415[[#This Row],[Category No]],Table8[Category No],Table8[Chapter List],FALSE)</f>
        <v>0</v>
      </c>
      <c r="D243" s="34"/>
      <c r="E243" s="34"/>
      <c r="F243" s="34"/>
    </row>
    <row r="244" spans="1:6" x14ac:dyDescent="0.3">
      <c r="A244" s="32">
        <v>243</v>
      </c>
      <c r="B244" s="32"/>
      <c r="C244" s="32" t="b">
        <f>_xlfn.XLOOKUP(Table6101112131415[[#This Row],[Category No]],Table8[Category No],Table8[Chapter List],FALSE)</f>
        <v>0</v>
      </c>
      <c r="D244" s="34"/>
      <c r="E244" s="34"/>
      <c r="F244" s="34"/>
    </row>
    <row r="245" spans="1:6" x14ac:dyDescent="0.3">
      <c r="A245" s="32">
        <v>244</v>
      </c>
      <c r="B245" s="32"/>
      <c r="C245" s="32" t="b">
        <f>_xlfn.XLOOKUP(Table6101112131415[[#This Row],[Category No]],Table8[Category No],Table8[Chapter List],FALSE)</f>
        <v>0</v>
      </c>
      <c r="D245" s="34"/>
      <c r="E245" s="34"/>
      <c r="F245" s="34"/>
    </row>
    <row r="246" spans="1:6" x14ac:dyDescent="0.3">
      <c r="A246" s="32">
        <v>245</v>
      </c>
      <c r="B246" s="32"/>
      <c r="C246" s="32" t="b">
        <f>_xlfn.XLOOKUP(Table6101112131415[[#This Row],[Category No]],Table8[Category No],Table8[Chapter List],FALSE)</f>
        <v>0</v>
      </c>
      <c r="D246" s="34"/>
      <c r="E246" s="34"/>
      <c r="F246" s="34"/>
    </row>
    <row r="247" spans="1:6" x14ac:dyDescent="0.3">
      <c r="A247" s="32">
        <v>246</v>
      </c>
      <c r="B247" s="32"/>
      <c r="C247" s="32" t="b">
        <f>_xlfn.XLOOKUP(Table6101112131415[[#This Row],[Category No]],Table8[Category No],Table8[Chapter List],FALSE)</f>
        <v>0</v>
      </c>
      <c r="D247" s="34"/>
      <c r="E247" s="34"/>
      <c r="F247" s="34"/>
    </row>
    <row r="248" spans="1:6" x14ac:dyDescent="0.3">
      <c r="A248" s="32">
        <v>247</v>
      </c>
      <c r="B248" s="32"/>
      <c r="C248" s="32" t="b">
        <f>_xlfn.XLOOKUP(Table6101112131415[[#This Row],[Category No]],Table8[Category No],Table8[Chapter List],FALSE)</f>
        <v>0</v>
      </c>
      <c r="D248" s="34"/>
      <c r="E248" s="34"/>
      <c r="F248" s="34"/>
    </row>
    <row r="249" spans="1:6" x14ac:dyDescent="0.3">
      <c r="A249" s="32">
        <v>248</v>
      </c>
      <c r="B249" s="32"/>
      <c r="C249" s="32" t="b">
        <f>_xlfn.XLOOKUP(Table6101112131415[[#This Row],[Category No]],Table8[Category No],Table8[Chapter List],FALSE)</f>
        <v>0</v>
      </c>
      <c r="D249" s="34"/>
      <c r="E249" s="34"/>
      <c r="F249" s="34"/>
    </row>
    <row r="250" spans="1:6" x14ac:dyDescent="0.3">
      <c r="A250" s="32">
        <v>249</v>
      </c>
      <c r="B250" s="32"/>
      <c r="C250" s="32" t="b">
        <f>_xlfn.XLOOKUP(Table6101112131415[[#This Row],[Category No]],Table8[Category No],Table8[Chapter List],FALSE)</f>
        <v>0</v>
      </c>
      <c r="D250" s="34"/>
      <c r="E250" s="34"/>
      <c r="F250" s="34"/>
    </row>
    <row r="251" spans="1:6" x14ac:dyDescent="0.3">
      <c r="A251" s="32">
        <v>250</v>
      </c>
      <c r="B251" s="32"/>
      <c r="C251" s="32" t="b">
        <f>_xlfn.XLOOKUP(Table6101112131415[[#This Row],[Category No]],Table8[Category No],Table8[Chapter List],FALSE)</f>
        <v>0</v>
      </c>
      <c r="D251" s="34"/>
      <c r="E251" s="34"/>
      <c r="F251" s="34"/>
    </row>
    <row r="252" spans="1:6" x14ac:dyDescent="0.3">
      <c r="A252" s="32">
        <v>251</v>
      </c>
      <c r="B252" s="32"/>
      <c r="C252" s="32" t="b">
        <f>_xlfn.XLOOKUP(Table6101112131415[[#This Row],[Category No]],Table8[Category No],Table8[Chapter List],FALSE)</f>
        <v>0</v>
      </c>
      <c r="D252" s="34"/>
      <c r="E252" s="34"/>
      <c r="F252" s="34"/>
    </row>
    <row r="253" spans="1:6" x14ac:dyDescent="0.3">
      <c r="A253" s="32">
        <v>252</v>
      </c>
      <c r="B253" s="32"/>
      <c r="C253" s="32" t="b">
        <f>_xlfn.XLOOKUP(Table6101112131415[[#This Row],[Category No]],Table8[Category No],Table8[Chapter List],FALSE)</f>
        <v>0</v>
      </c>
      <c r="D253" s="34"/>
      <c r="E253" s="34"/>
      <c r="F253" s="34"/>
    </row>
    <row r="254" spans="1:6" x14ac:dyDescent="0.3">
      <c r="A254" s="32">
        <v>253</v>
      </c>
      <c r="B254" s="32"/>
      <c r="C254" s="32" t="b">
        <f>_xlfn.XLOOKUP(Table6101112131415[[#This Row],[Category No]],Table8[Category No],Table8[Chapter List],FALSE)</f>
        <v>0</v>
      </c>
      <c r="D254" s="34"/>
      <c r="E254" s="34"/>
      <c r="F254" s="34"/>
    </row>
    <row r="255" spans="1:6" x14ac:dyDescent="0.3">
      <c r="A255" s="32">
        <v>254</v>
      </c>
      <c r="B255" s="32"/>
      <c r="C255" s="32" t="b">
        <f>_xlfn.XLOOKUP(Table6101112131415[[#This Row],[Category No]],Table8[Category No],Table8[Chapter List],FALSE)</f>
        <v>0</v>
      </c>
      <c r="D255" s="34"/>
      <c r="E255" s="34"/>
      <c r="F255" s="34"/>
    </row>
    <row r="256" spans="1:6" x14ac:dyDescent="0.3">
      <c r="A256" s="32">
        <v>255</v>
      </c>
      <c r="B256" s="32"/>
      <c r="C256" s="32" t="b">
        <f>_xlfn.XLOOKUP(Table6101112131415[[#This Row],[Category No]],Table8[Category No],Table8[Chapter List],FALSE)</f>
        <v>0</v>
      </c>
      <c r="D256" s="34"/>
      <c r="E256" s="34"/>
      <c r="F256" s="34"/>
    </row>
    <row r="257" spans="1:6" x14ac:dyDescent="0.3">
      <c r="A257" s="32">
        <v>256</v>
      </c>
      <c r="B257" s="32"/>
      <c r="C257" s="32" t="b">
        <f>_xlfn.XLOOKUP(Table6101112131415[[#This Row],[Category No]],Table8[Category No],Table8[Chapter List],FALSE)</f>
        <v>0</v>
      </c>
      <c r="D257" s="34"/>
      <c r="E257" s="34"/>
      <c r="F257" s="34"/>
    </row>
    <row r="258" spans="1:6" x14ac:dyDescent="0.3">
      <c r="A258" s="32">
        <v>257</v>
      </c>
      <c r="B258" s="32"/>
      <c r="C258" s="32" t="b">
        <f>_xlfn.XLOOKUP(Table6101112131415[[#This Row],[Category No]],Table8[Category No],Table8[Chapter List],FALSE)</f>
        <v>0</v>
      </c>
      <c r="D258" s="34"/>
      <c r="E258" s="34"/>
      <c r="F258" s="34"/>
    </row>
    <row r="259" spans="1:6" x14ac:dyDescent="0.3">
      <c r="A259" s="32">
        <v>258</v>
      </c>
      <c r="B259" s="32"/>
      <c r="C259" s="32" t="b">
        <f>_xlfn.XLOOKUP(Table6101112131415[[#This Row],[Category No]],Table8[Category No],Table8[Chapter List],FALSE)</f>
        <v>0</v>
      </c>
      <c r="D259" s="34"/>
      <c r="E259" s="34"/>
      <c r="F259" s="34"/>
    </row>
    <row r="260" spans="1:6" x14ac:dyDescent="0.3">
      <c r="A260" s="32">
        <v>259</v>
      </c>
      <c r="B260" s="32"/>
      <c r="C260" s="32" t="b">
        <f>_xlfn.XLOOKUP(Table6101112131415[[#This Row],[Category No]],Table8[Category No],Table8[Chapter List],FALSE)</f>
        <v>0</v>
      </c>
      <c r="D260" s="34"/>
      <c r="E260" s="34"/>
      <c r="F260" s="34"/>
    </row>
    <row r="261" spans="1:6" x14ac:dyDescent="0.3">
      <c r="A261" s="32">
        <v>260</v>
      </c>
      <c r="B261" s="32"/>
      <c r="C261" s="32" t="b">
        <f>_xlfn.XLOOKUP(Table6101112131415[[#This Row],[Category No]],Table8[Category No],Table8[Chapter List],FALSE)</f>
        <v>0</v>
      </c>
      <c r="D261" s="34"/>
      <c r="E261" s="34"/>
      <c r="F261" s="34"/>
    </row>
    <row r="262" spans="1:6" x14ac:dyDescent="0.3">
      <c r="A262" s="32">
        <v>261</v>
      </c>
      <c r="B262" s="32"/>
      <c r="C262" s="32" t="b">
        <f>_xlfn.XLOOKUP(Table6101112131415[[#This Row],[Category No]],Table8[Category No],Table8[Chapter List],FALSE)</f>
        <v>0</v>
      </c>
      <c r="D262" s="34"/>
      <c r="E262" s="34"/>
      <c r="F262" s="34"/>
    </row>
    <row r="263" spans="1:6" x14ac:dyDescent="0.3">
      <c r="A263" s="32">
        <v>262</v>
      </c>
      <c r="B263" s="32"/>
      <c r="C263" s="32" t="b">
        <f>_xlfn.XLOOKUP(Table6101112131415[[#This Row],[Category No]],Table8[Category No],Table8[Chapter List],FALSE)</f>
        <v>0</v>
      </c>
      <c r="D263" s="34"/>
      <c r="E263" s="34"/>
      <c r="F263" s="34"/>
    </row>
    <row r="264" spans="1:6" x14ac:dyDescent="0.3">
      <c r="A264" s="32">
        <v>263</v>
      </c>
      <c r="B264" s="32"/>
      <c r="C264" s="32" t="b">
        <f>_xlfn.XLOOKUP(Table6101112131415[[#This Row],[Category No]],Table8[Category No],Table8[Chapter List],FALSE)</f>
        <v>0</v>
      </c>
      <c r="D264" s="34"/>
      <c r="E264" s="34"/>
      <c r="F264" s="34"/>
    </row>
    <row r="265" spans="1:6" x14ac:dyDescent="0.3">
      <c r="A265" s="32">
        <v>264</v>
      </c>
      <c r="B265" s="32"/>
      <c r="C265" s="32" t="b">
        <f>_xlfn.XLOOKUP(Table6101112131415[[#This Row],[Category No]],Table8[Category No],Table8[Chapter List],FALSE)</f>
        <v>0</v>
      </c>
      <c r="D265" s="34"/>
      <c r="E265" s="34"/>
      <c r="F265" s="34"/>
    </row>
    <row r="266" spans="1:6" x14ac:dyDescent="0.3">
      <c r="A266" s="32">
        <v>265</v>
      </c>
      <c r="B266" s="32"/>
      <c r="C266" s="32" t="b">
        <f>_xlfn.XLOOKUP(Table6101112131415[[#This Row],[Category No]],Table8[Category No],Table8[Chapter List],FALSE)</f>
        <v>0</v>
      </c>
      <c r="D266" s="34"/>
      <c r="E266" s="34"/>
      <c r="F266" s="34"/>
    </row>
    <row r="267" spans="1:6" x14ac:dyDescent="0.3">
      <c r="A267" s="32">
        <v>266</v>
      </c>
      <c r="B267" s="32"/>
      <c r="C267" s="32" t="b">
        <f>_xlfn.XLOOKUP(Table6101112131415[[#This Row],[Category No]],Table8[Category No],Table8[Chapter List],FALSE)</f>
        <v>0</v>
      </c>
      <c r="D267" s="34"/>
      <c r="E267" s="34"/>
      <c r="F267" s="34"/>
    </row>
    <row r="268" spans="1:6" x14ac:dyDescent="0.3">
      <c r="A268" s="32">
        <v>267</v>
      </c>
      <c r="B268" s="32"/>
      <c r="C268" s="32" t="b">
        <f>_xlfn.XLOOKUP(Table6101112131415[[#This Row],[Category No]],Table8[Category No],Table8[Chapter List],FALSE)</f>
        <v>0</v>
      </c>
      <c r="D268" s="34"/>
      <c r="E268" s="34"/>
      <c r="F268" s="34"/>
    </row>
    <row r="269" spans="1:6" x14ac:dyDescent="0.3">
      <c r="A269" s="32">
        <v>268</v>
      </c>
      <c r="B269" s="32"/>
      <c r="C269" s="32" t="b">
        <f>_xlfn.XLOOKUP(Table6101112131415[[#This Row],[Category No]],Table8[Category No],Table8[Chapter List],FALSE)</f>
        <v>0</v>
      </c>
      <c r="D269" s="34"/>
      <c r="E269" s="34"/>
      <c r="F269" s="34"/>
    </row>
    <row r="270" spans="1:6" x14ac:dyDescent="0.3">
      <c r="A270" s="32">
        <v>269</v>
      </c>
      <c r="B270" s="32"/>
      <c r="C270" s="32" t="b">
        <f>_xlfn.XLOOKUP(Table6101112131415[[#This Row],[Category No]],Table8[Category No],Table8[Chapter List],FALSE)</f>
        <v>0</v>
      </c>
      <c r="D270" s="34"/>
      <c r="E270" s="34"/>
      <c r="F270" s="34"/>
    </row>
    <row r="271" spans="1:6" x14ac:dyDescent="0.3">
      <c r="A271" s="32">
        <v>270</v>
      </c>
      <c r="B271" s="32"/>
      <c r="C271" s="32" t="b">
        <f>_xlfn.XLOOKUP(Table6101112131415[[#This Row],[Category No]],Table8[Category No],Table8[Chapter List],FALSE)</f>
        <v>0</v>
      </c>
      <c r="D271" s="34"/>
      <c r="E271" s="34"/>
      <c r="F271" s="34"/>
    </row>
    <row r="272" spans="1:6" x14ac:dyDescent="0.3">
      <c r="A272" s="32">
        <v>271</v>
      </c>
      <c r="B272" s="32"/>
      <c r="C272" s="32" t="b">
        <f>_xlfn.XLOOKUP(Table6101112131415[[#This Row],[Category No]],Table8[Category No],Table8[Chapter List],FALSE)</f>
        <v>0</v>
      </c>
      <c r="D272" s="34"/>
      <c r="E272" s="34"/>
      <c r="F272" s="34"/>
    </row>
    <row r="273" spans="1:6" x14ac:dyDescent="0.3">
      <c r="A273" s="32">
        <v>272</v>
      </c>
      <c r="B273" s="32"/>
      <c r="C273" s="32" t="b">
        <f>_xlfn.XLOOKUP(Table6101112131415[[#This Row],[Category No]],Table8[Category No],Table8[Chapter List],FALSE)</f>
        <v>0</v>
      </c>
      <c r="D273" s="34"/>
      <c r="E273" s="34"/>
      <c r="F273" s="34"/>
    </row>
    <row r="274" spans="1:6" x14ac:dyDescent="0.3">
      <c r="A274" s="32">
        <v>273</v>
      </c>
      <c r="B274" s="32"/>
      <c r="C274" s="32" t="b">
        <f>_xlfn.XLOOKUP(Table6101112131415[[#This Row],[Category No]],Table8[Category No],Table8[Chapter List],FALSE)</f>
        <v>0</v>
      </c>
      <c r="D274" s="34"/>
      <c r="E274" s="34"/>
      <c r="F274" s="34"/>
    </row>
    <row r="275" spans="1:6" x14ac:dyDescent="0.3">
      <c r="A275" s="32">
        <v>274</v>
      </c>
      <c r="B275" s="32"/>
      <c r="C275" s="32" t="b">
        <f>_xlfn.XLOOKUP(Table6101112131415[[#This Row],[Category No]],Table8[Category No],Table8[Chapter List],FALSE)</f>
        <v>0</v>
      </c>
      <c r="D275" s="34"/>
      <c r="E275" s="34"/>
      <c r="F275" s="34"/>
    </row>
    <row r="276" spans="1:6" x14ac:dyDescent="0.3">
      <c r="A276" s="32">
        <v>275</v>
      </c>
      <c r="B276" s="32"/>
      <c r="C276" s="32" t="b">
        <f>_xlfn.XLOOKUP(Table6101112131415[[#This Row],[Category No]],Table8[Category No],Table8[Chapter List],FALSE)</f>
        <v>0</v>
      </c>
      <c r="D276" s="34"/>
      <c r="E276" s="34"/>
      <c r="F276" s="34"/>
    </row>
    <row r="277" spans="1:6" x14ac:dyDescent="0.3">
      <c r="A277" s="32">
        <v>276</v>
      </c>
      <c r="B277" s="32"/>
      <c r="C277" s="32" t="b">
        <f>_xlfn.XLOOKUP(Table6101112131415[[#This Row],[Category No]],Table8[Category No],Table8[Chapter List],FALSE)</f>
        <v>0</v>
      </c>
      <c r="D277" s="34"/>
      <c r="E277" s="34"/>
      <c r="F277" s="34"/>
    </row>
    <row r="278" spans="1:6" x14ac:dyDescent="0.3">
      <c r="A278" s="32">
        <v>277</v>
      </c>
      <c r="B278" s="32"/>
      <c r="C278" s="32" t="b">
        <f>_xlfn.XLOOKUP(Table6101112131415[[#This Row],[Category No]],Table8[Category No],Table8[Chapter List],FALSE)</f>
        <v>0</v>
      </c>
      <c r="D278" s="34"/>
      <c r="E278" s="34"/>
      <c r="F278" s="34"/>
    </row>
    <row r="279" spans="1:6" x14ac:dyDescent="0.3">
      <c r="A279" s="32">
        <v>278</v>
      </c>
      <c r="B279" s="32"/>
      <c r="C279" s="32" t="b">
        <f>_xlfn.XLOOKUP(Table6101112131415[[#This Row],[Category No]],Table8[Category No],Table8[Chapter List],FALSE)</f>
        <v>0</v>
      </c>
      <c r="D279" s="34"/>
      <c r="E279" s="34"/>
      <c r="F279" s="34"/>
    </row>
    <row r="280" spans="1:6" x14ac:dyDescent="0.3">
      <c r="A280" s="32">
        <v>279</v>
      </c>
      <c r="B280" s="32"/>
      <c r="C280" s="32" t="b">
        <f>_xlfn.XLOOKUP(Table6101112131415[[#This Row],[Category No]],Table8[Category No],Table8[Chapter List],FALSE)</f>
        <v>0</v>
      </c>
      <c r="D280" s="34"/>
      <c r="E280" s="34"/>
      <c r="F280" s="34"/>
    </row>
    <row r="281" spans="1:6" x14ac:dyDescent="0.3">
      <c r="A281" s="32">
        <v>280</v>
      </c>
      <c r="B281" s="32"/>
      <c r="C281" s="32" t="b">
        <f>_xlfn.XLOOKUP(Table6101112131415[[#This Row],[Category No]],Table8[Category No],Table8[Chapter List],FALSE)</f>
        <v>0</v>
      </c>
      <c r="D281" s="34"/>
      <c r="E281" s="34"/>
      <c r="F281" s="34"/>
    </row>
    <row r="282" spans="1:6" x14ac:dyDescent="0.3">
      <c r="A282" s="32">
        <v>281</v>
      </c>
      <c r="B282" s="32"/>
      <c r="C282" s="32" t="b">
        <f>_xlfn.XLOOKUP(Table6101112131415[[#This Row],[Category No]],Table8[Category No],Table8[Chapter List],FALSE)</f>
        <v>0</v>
      </c>
      <c r="D282" s="34"/>
      <c r="E282" s="34"/>
      <c r="F282" s="34"/>
    </row>
    <row r="283" spans="1:6" x14ac:dyDescent="0.3">
      <c r="A283" s="32">
        <v>282</v>
      </c>
      <c r="B283" s="32"/>
      <c r="C283" s="32" t="b">
        <f>_xlfn.XLOOKUP(Table6101112131415[[#This Row],[Category No]],Table8[Category No],Table8[Chapter List],FALSE)</f>
        <v>0</v>
      </c>
      <c r="D283" s="34"/>
      <c r="E283" s="34"/>
      <c r="F283" s="34"/>
    </row>
    <row r="284" spans="1:6" x14ac:dyDescent="0.3">
      <c r="A284" s="32">
        <v>283</v>
      </c>
      <c r="B284" s="32"/>
      <c r="C284" s="32" t="b">
        <f>_xlfn.XLOOKUP(Table6101112131415[[#This Row],[Category No]],Table8[Category No],Table8[Chapter List],FALSE)</f>
        <v>0</v>
      </c>
      <c r="D284" s="34"/>
      <c r="E284" s="34"/>
      <c r="F284" s="34"/>
    </row>
    <row r="285" spans="1:6" x14ac:dyDescent="0.3">
      <c r="A285" s="32">
        <v>284</v>
      </c>
      <c r="B285" s="32"/>
      <c r="C285" s="32" t="b">
        <f>_xlfn.XLOOKUP(Table6101112131415[[#This Row],[Category No]],Table8[Category No],Table8[Chapter List],FALSE)</f>
        <v>0</v>
      </c>
      <c r="D285" s="34"/>
      <c r="E285" s="34"/>
      <c r="F285" s="34"/>
    </row>
    <row r="286" spans="1:6" x14ac:dyDescent="0.3">
      <c r="A286" s="32">
        <v>285</v>
      </c>
      <c r="B286" s="32"/>
      <c r="C286" s="32" t="b">
        <f>_xlfn.XLOOKUP(Table6101112131415[[#This Row],[Category No]],Table8[Category No],Table8[Chapter List],FALSE)</f>
        <v>0</v>
      </c>
      <c r="D286" s="34"/>
      <c r="E286" s="34"/>
      <c r="F286" s="34"/>
    </row>
    <row r="287" spans="1:6" x14ac:dyDescent="0.3">
      <c r="A287" s="32">
        <v>286</v>
      </c>
      <c r="B287" s="32"/>
      <c r="C287" s="32" t="b">
        <f>_xlfn.XLOOKUP(Table6101112131415[[#This Row],[Category No]],Table8[Category No],Table8[Chapter List],FALSE)</f>
        <v>0</v>
      </c>
      <c r="D287" s="34"/>
      <c r="E287" s="34"/>
      <c r="F287" s="34"/>
    </row>
    <row r="288" spans="1:6" x14ac:dyDescent="0.3">
      <c r="A288" s="32">
        <v>287</v>
      </c>
      <c r="B288" s="32"/>
      <c r="C288" s="32" t="b">
        <f>_xlfn.XLOOKUP(Table6101112131415[[#This Row],[Category No]],Table8[Category No],Table8[Chapter List],FALSE)</f>
        <v>0</v>
      </c>
      <c r="D288" s="34"/>
      <c r="E288" s="34"/>
      <c r="F288" s="34"/>
    </row>
    <row r="289" spans="1:6" x14ac:dyDescent="0.3">
      <c r="A289" s="32">
        <v>288</v>
      </c>
      <c r="B289" s="32"/>
      <c r="C289" s="32" t="b">
        <f>_xlfn.XLOOKUP(Table6101112131415[[#This Row],[Category No]],Table8[Category No],Table8[Chapter List],FALSE)</f>
        <v>0</v>
      </c>
      <c r="D289" s="34"/>
      <c r="E289" s="34"/>
      <c r="F289" s="34"/>
    </row>
    <row r="290" spans="1:6" x14ac:dyDescent="0.3">
      <c r="A290" s="32">
        <v>289</v>
      </c>
      <c r="B290" s="32"/>
      <c r="C290" s="32" t="b">
        <f>_xlfn.XLOOKUP(Table6101112131415[[#This Row],[Category No]],Table8[Category No],Table8[Chapter List],FALSE)</f>
        <v>0</v>
      </c>
      <c r="D290" s="34"/>
      <c r="E290" s="34"/>
      <c r="F290" s="34"/>
    </row>
    <row r="291" spans="1:6" x14ac:dyDescent="0.3">
      <c r="A291" s="32">
        <v>290</v>
      </c>
      <c r="B291" s="32"/>
      <c r="C291" s="32" t="b">
        <f>_xlfn.XLOOKUP(Table6101112131415[[#This Row],[Category No]],Table8[Category No],Table8[Chapter List],FALSE)</f>
        <v>0</v>
      </c>
      <c r="D291" s="34"/>
      <c r="E291" s="34"/>
      <c r="F291" s="34"/>
    </row>
    <row r="292" spans="1:6" x14ac:dyDescent="0.3">
      <c r="A292" s="32">
        <v>291</v>
      </c>
      <c r="B292" s="32"/>
      <c r="C292" s="32" t="b">
        <f>_xlfn.XLOOKUP(Table6101112131415[[#This Row],[Category No]],Table8[Category No],Table8[Chapter List],FALSE)</f>
        <v>0</v>
      </c>
      <c r="D292" s="34"/>
      <c r="E292" s="34"/>
      <c r="F292" s="34"/>
    </row>
    <row r="293" spans="1:6" x14ac:dyDescent="0.3">
      <c r="A293" s="32">
        <v>292</v>
      </c>
      <c r="B293" s="32"/>
      <c r="C293" s="32" t="b">
        <f>_xlfn.XLOOKUP(Table6101112131415[[#This Row],[Category No]],Table8[Category No],Table8[Chapter List],FALSE)</f>
        <v>0</v>
      </c>
      <c r="D293" s="34"/>
      <c r="E293" s="34"/>
      <c r="F293" s="34"/>
    </row>
    <row r="294" spans="1:6" x14ac:dyDescent="0.3">
      <c r="A294" s="32">
        <v>293</v>
      </c>
      <c r="B294" s="32"/>
      <c r="C294" s="32" t="b">
        <f>_xlfn.XLOOKUP(Table6101112131415[[#This Row],[Category No]],Table8[Category No],Table8[Chapter List],FALSE)</f>
        <v>0</v>
      </c>
      <c r="D294" s="34"/>
      <c r="E294" s="34"/>
      <c r="F294" s="34"/>
    </row>
    <row r="295" spans="1:6" x14ac:dyDescent="0.3">
      <c r="A295" s="32">
        <v>294</v>
      </c>
      <c r="B295" s="32"/>
      <c r="C295" s="32" t="b">
        <f>_xlfn.XLOOKUP(Table6101112131415[[#This Row],[Category No]],Table8[Category No],Table8[Chapter List],FALSE)</f>
        <v>0</v>
      </c>
      <c r="D295" s="34"/>
      <c r="E295" s="34"/>
      <c r="F295" s="34"/>
    </row>
    <row r="296" spans="1:6" x14ac:dyDescent="0.3">
      <c r="A296" s="32">
        <v>295</v>
      </c>
      <c r="B296" s="32"/>
      <c r="C296" s="32" t="b">
        <f>_xlfn.XLOOKUP(Table6101112131415[[#This Row],[Category No]],Table8[Category No],Table8[Chapter List],FALSE)</f>
        <v>0</v>
      </c>
      <c r="D296" s="34"/>
      <c r="E296" s="34"/>
      <c r="F296" s="34"/>
    </row>
    <row r="297" spans="1:6" x14ac:dyDescent="0.3">
      <c r="A297" s="32">
        <v>296</v>
      </c>
      <c r="B297" s="32"/>
      <c r="C297" s="32" t="b">
        <f>_xlfn.XLOOKUP(Table6101112131415[[#This Row],[Category No]],Table8[Category No],Table8[Chapter List],FALSE)</f>
        <v>0</v>
      </c>
      <c r="D297" s="34"/>
      <c r="E297" s="34"/>
      <c r="F297" s="34"/>
    </row>
    <row r="298" spans="1:6" x14ac:dyDescent="0.3">
      <c r="A298" s="32">
        <v>297</v>
      </c>
      <c r="B298" s="32"/>
      <c r="C298" s="32" t="b">
        <f>_xlfn.XLOOKUP(Table6101112131415[[#This Row],[Category No]],Table8[Category No],Table8[Chapter List],FALSE)</f>
        <v>0</v>
      </c>
      <c r="D298" s="34"/>
      <c r="E298" s="34"/>
      <c r="F298" s="34"/>
    </row>
    <row r="299" spans="1:6" x14ac:dyDescent="0.3">
      <c r="A299" s="32">
        <v>298</v>
      </c>
      <c r="B299" s="32"/>
      <c r="C299" s="32" t="b">
        <f>_xlfn.XLOOKUP(Table6101112131415[[#This Row],[Category No]],Table8[Category No],Table8[Chapter List],FALSE)</f>
        <v>0</v>
      </c>
      <c r="D299" s="34"/>
      <c r="E299" s="34"/>
      <c r="F299" s="34"/>
    </row>
    <row r="300" spans="1:6" x14ac:dyDescent="0.3">
      <c r="A300" s="32">
        <v>299</v>
      </c>
      <c r="B300" s="32"/>
      <c r="C300" s="32" t="b">
        <f>_xlfn.XLOOKUP(Table6101112131415[[#This Row],[Category No]],Table8[Category No],Table8[Chapter List],FALSE)</f>
        <v>0</v>
      </c>
      <c r="D300" s="34"/>
      <c r="E300" s="34"/>
      <c r="F300" s="34"/>
    </row>
    <row r="301" spans="1:6" x14ac:dyDescent="0.3">
      <c r="A301" s="32">
        <v>300</v>
      </c>
      <c r="B301" s="32"/>
      <c r="C301" s="32" t="b">
        <f>_xlfn.XLOOKUP(Table6101112131415[[#This Row],[Category No]],Table8[Category No],Table8[Chapter List],FALSE)</f>
        <v>0</v>
      </c>
      <c r="D301" s="34"/>
      <c r="E301" s="34"/>
      <c r="F301" s="34"/>
    </row>
    <row r="302" spans="1:6" x14ac:dyDescent="0.3">
      <c r="A302" s="32">
        <v>301</v>
      </c>
      <c r="B302" s="32"/>
      <c r="C302" s="32" t="b">
        <f>_xlfn.XLOOKUP(Table6101112131415[[#This Row],[Category No]],Table8[Category No],Table8[Chapter List],FALSE)</f>
        <v>0</v>
      </c>
      <c r="D302" s="34"/>
      <c r="E302" s="34"/>
      <c r="F302" s="34"/>
    </row>
    <row r="303" spans="1:6" x14ac:dyDescent="0.3">
      <c r="A303" s="32">
        <v>302</v>
      </c>
      <c r="B303" s="32"/>
      <c r="C303" s="32" t="b">
        <f>_xlfn.XLOOKUP(Table6101112131415[[#This Row],[Category No]],Table8[Category No],Table8[Chapter List],FALSE)</f>
        <v>0</v>
      </c>
      <c r="D303" s="34"/>
      <c r="E303" s="34"/>
      <c r="F303" s="34"/>
    </row>
    <row r="304" spans="1:6" x14ac:dyDescent="0.3">
      <c r="A304" s="32">
        <v>303</v>
      </c>
      <c r="B304" s="32"/>
      <c r="C304" s="32" t="b">
        <f>_xlfn.XLOOKUP(Table6101112131415[[#This Row],[Category No]],Table8[Category No],Table8[Chapter List],FALSE)</f>
        <v>0</v>
      </c>
      <c r="D304" s="34"/>
      <c r="E304" s="34"/>
      <c r="F304" s="34"/>
    </row>
    <row r="305" spans="1:6" x14ac:dyDescent="0.3">
      <c r="A305" s="32">
        <v>304</v>
      </c>
      <c r="B305" s="32"/>
      <c r="C305" s="32" t="b">
        <f>_xlfn.XLOOKUP(Table6101112131415[[#This Row],[Category No]],Table8[Category No],Table8[Chapter List],FALSE)</f>
        <v>0</v>
      </c>
      <c r="D305" s="34"/>
      <c r="E305" s="34"/>
      <c r="F305" s="34"/>
    </row>
    <row r="306" spans="1:6" x14ac:dyDescent="0.3">
      <c r="A306" s="32">
        <v>305</v>
      </c>
      <c r="B306" s="32"/>
      <c r="C306" s="32" t="b">
        <f>_xlfn.XLOOKUP(Table6101112131415[[#This Row],[Category No]],Table8[Category No],Table8[Chapter List],FALSE)</f>
        <v>0</v>
      </c>
      <c r="D306" s="34"/>
      <c r="E306" s="34"/>
      <c r="F306" s="34"/>
    </row>
    <row r="307" spans="1:6" x14ac:dyDescent="0.3">
      <c r="A307" s="32">
        <v>306</v>
      </c>
      <c r="B307" s="32"/>
      <c r="C307" s="32" t="b">
        <f>_xlfn.XLOOKUP(Table6101112131415[[#This Row],[Category No]],Table8[Category No],Table8[Chapter List],FALSE)</f>
        <v>0</v>
      </c>
      <c r="D307" s="34"/>
      <c r="E307" s="34"/>
      <c r="F307" s="34"/>
    </row>
    <row r="308" spans="1:6" x14ac:dyDescent="0.3">
      <c r="A308" s="32">
        <v>307</v>
      </c>
      <c r="B308" s="32"/>
      <c r="C308" s="32" t="b">
        <f>_xlfn.XLOOKUP(Table6101112131415[[#This Row],[Category No]],Table8[Category No],Table8[Chapter List],FALSE)</f>
        <v>0</v>
      </c>
      <c r="D308" s="34"/>
      <c r="E308" s="34"/>
      <c r="F308" s="34"/>
    </row>
    <row r="309" spans="1:6" x14ac:dyDescent="0.3">
      <c r="A309" s="32">
        <v>308</v>
      </c>
      <c r="B309" s="32"/>
      <c r="C309" s="32" t="b">
        <f>_xlfn.XLOOKUP(Table6101112131415[[#This Row],[Category No]],Table8[Category No],Table8[Chapter List],FALSE)</f>
        <v>0</v>
      </c>
      <c r="D309" s="34"/>
      <c r="E309" s="34"/>
      <c r="F309" s="34"/>
    </row>
    <row r="310" spans="1:6" x14ac:dyDescent="0.3">
      <c r="A310" s="32">
        <v>309</v>
      </c>
      <c r="B310" s="32"/>
      <c r="C310" s="32" t="b">
        <f>_xlfn.XLOOKUP(Table6101112131415[[#This Row],[Category No]],Table8[Category No],Table8[Chapter List],FALSE)</f>
        <v>0</v>
      </c>
      <c r="D310" s="34"/>
      <c r="E310" s="34"/>
      <c r="F310" s="34"/>
    </row>
    <row r="311" spans="1:6" x14ac:dyDescent="0.3">
      <c r="A311" s="32">
        <v>310</v>
      </c>
      <c r="B311" s="32"/>
      <c r="C311" s="32" t="b">
        <f>_xlfn.XLOOKUP(Table6101112131415[[#This Row],[Category No]],Table8[Category No],Table8[Chapter List],FALSE)</f>
        <v>0</v>
      </c>
      <c r="D311" s="34"/>
      <c r="E311" s="34"/>
      <c r="F311" s="34"/>
    </row>
    <row r="312" spans="1:6" x14ac:dyDescent="0.3">
      <c r="A312" s="32">
        <v>311</v>
      </c>
      <c r="B312" s="32"/>
      <c r="C312" s="32" t="b">
        <f>_xlfn.XLOOKUP(Table6101112131415[[#This Row],[Category No]],Table8[Category No],Table8[Chapter List],FALSE)</f>
        <v>0</v>
      </c>
      <c r="D312" s="34"/>
      <c r="E312" s="34"/>
      <c r="F312" s="34"/>
    </row>
    <row r="313" spans="1:6" x14ac:dyDescent="0.3">
      <c r="A313" s="32">
        <v>312</v>
      </c>
      <c r="B313" s="32"/>
      <c r="C313" s="32" t="b">
        <f>_xlfn.XLOOKUP(Table6101112131415[[#This Row],[Category No]],Table8[Category No],Table8[Chapter List],FALSE)</f>
        <v>0</v>
      </c>
      <c r="D313" s="34"/>
      <c r="E313" s="34"/>
      <c r="F313" s="34"/>
    </row>
    <row r="314" spans="1:6" x14ac:dyDescent="0.3">
      <c r="A314" s="32">
        <v>313</v>
      </c>
      <c r="B314" s="32"/>
      <c r="C314" s="32" t="b">
        <f>_xlfn.XLOOKUP(Table6101112131415[[#This Row],[Category No]],Table8[Category No],Table8[Chapter List],FALSE)</f>
        <v>0</v>
      </c>
      <c r="D314" s="34"/>
      <c r="E314" s="34"/>
      <c r="F314" s="34"/>
    </row>
    <row r="315" spans="1:6" x14ac:dyDescent="0.3">
      <c r="A315" s="32">
        <v>314</v>
      </c>
      <c r="B315" s="32"/>
      <c r="C315" s="32" t="b">
        <f>_xlfn.XLOOKUP(Table6101112131415[[#This Row],[Category No]],Table8[Category No],Table8[Chapter List],FALSE)</f>
        <v>0</v>
      </c>
      <c r="D315" s="34"/>
      <c r="E315" s="34"/>
      <c r="F315" s="34"/>
    </row>
    <row r="316" spans="1:6" x14ac:dyDescent="0.3">
      <c r="A316" s="32">
        <v>315</v>
      </c>
      <c r="B316" s="32"/>
      <c r="C316" s="32" t="b">
        <f>_xlfn.XLOOKUP(Table6101112131415[[#This Row],[Category No]],Table8[Category No],Table8[Chapter List],FALSE)</f>
        <v>0</v>
      </c>
      <c r="D316" s="34"/>
      <c r="E316" s="34"/>
      <c r="F316" s="34"/>
    </row>
    <row r="317" spans="1:6" x14ac:dyDescent="0.3">
      <c r="A317" s="32">
        <v>316</v>
      </c>
      <c r="B317" s="32"/>
      <c r="C317" s="32" t="b">
        <f>_xlfn.XLOOKUP(Table6101112131415[[#This Row],[Category No]],Table8[Category No],Table8[Chapter List],FALSE)</f>
        <v>0</v>
      </c>
      <c r="D317" s="34"/>
      <c r="E317" s="34"/>
      <c r="F317" s="34"/>
    </row>
    <row r="318" spans="1:6" x14ac:dyDescent="0.3">
      <c r="A318" s="32">
        <v>317</v>
      </c>
      <c r="B318" s="32"/>
      <c r="C318" s="32" t="b">
        <f>_xlfn.XLOOKUP(Table6101112131415[[#This Row],[Category No]],Table8[Category No],Table8[Chapter List],FALSE)</f>
        <v>0</v>
      </c>
      <c r="D318" s="34"/>
      <c r="E318" s="34"/>
      <c r="F318" s="34"/>
    </row>
    <row r="319" spans="1:6" x14ac:dyDescent="0.3">
      <c r="A319" s="32">
        <v>318</v>
      </c>
      <c r="B319" s="32"/>
      <c r="C319" s="32" t="b">
        <f>_xlfn.XLOOKUP(Table6101112131415[[#This Row],[Category No]],Table8[Category No],Table8[Chapter List],FALSE)</f>
        <v>0</v>
      </c>
      <c r="D319" s="34"/>
      <c r="E319" s="34"/>
      <c r="F319" s="34"/>
    </row>
    <row r="320" spans="1:6" x14ac:dyDescent="0.3">
      <c r="A320" s="32">
        <v>319</v>
      </c>
      <c r="B320" s="32"/>
      <c r="C320" s="32" t="b">
        <f>_xlfn.XLOOKUP(Table6101112131415[[#This Row],[Category No]],Table8[Category No],Table8[Chapter List],FALSE)</f>
        <v>0</v>
      </c>
      <c r="D320" s="34"/>
      <c r="E320" s="34"/>
      <c r="F320" s="34"/>
    </row>
    <row r="321" spans="1:6" x14ac:dyDescent="0.3">
      <c r="A321" s="32">
        <v>320</v>
      </c>
      <c r="B321" s="32"/>
      <c r="C321" s="32" t="b">
        <f>_xlfn.XLOOKUP(Table6101112131415[[#This Row],[Category No]],Table8[Category No],Table8[Chapter List],FALSE)</f>
        <v>0</v>
      </c>
      <c r="D321" s="34"/>
      <c r="E321" s="34"/>
      <c r="F321" s="34"/>
    </row>
    <row r="322" spans="1:6" x14ac:dyDescent="0.3">
      <c r="A322" s="32">
        <v>321</v>
      </c>
      <c r="B322" s="32"/>
      <c r="C322" s="32" t="b">
        <f>_xlfn.XLOOKUP(Table6101112131415[[#This Row],[Category No]],Table8[Category No],Table8[Chapter List],FALSE)</f>
        <v>0</v>
      </c>
      <c r="D322" s="34"/>
      <c r="E322" s="34"/>
      <c r="F322" s="34"/>
    </row>
    <row r="323" spans="1:6" x14ac:dyDescent="0.3">
      <c r="A323" s="32">
        <v>322</v>
      </c>
      <c r="B323" s="32"/>
      <c r="C323" s="32" t="b">
        <f>_xlfn.XLOOKUP(Table6101112131415[[#This Row],[Category No]],Table8[Category No],Table8[Chapter List],FALSE)</f>
        <v>0</v>
      </c>
      <c r="D323" s="34"/>
      <c r="E323" s="34"/>
      <c r="F323" s="34"/>
    </row>
    <row r="324" spans="1:6" x14ac:dyDescent="0.3">
      <c r="A324" s="32">
        <v>323</v>
      </c>
      <c r="B324" s="32"/>
      <c r="C324" s="32" t="b">
        <f>_xlfn.XLOOKUP(Table6101112131415[[#This Row],[Category No]],Table8[Category No],Table8[Chapter List],FALSE)</f>
        <v>0</v>
      </c>
      <c r="D324" s="34"/>
      <c r="E324" s="34"/>
      <c r="F324" s="34"/>
    </row>
    <row r="325" spans="1:6" x14ac:dyDescent="0.3">
      <c r="A325" s="32">
        <v>324</v>
      </c>
      <c r="B325" s="32"/>
      <c r="C325" s="32" t="b">
        <f>_xlfn.XLOOKUP(Table6101112131415[[#This Row],[Category No]],Table8[Category No],Table8[Chapter List],FALSE)</f>
        <v>0</v>
      </c>
      <c r="D325" s="34"/>
      <c r="E325" s="34"/>
      <c r="F325" s="34"/>
    </row>
    <row r="326" spans="1:6" x14ac:dyDescent="0.3">
      <c r="A326" s="32">
        <v>325</v>
      </c>
      <c r="B326" s="32"/>
      <c r="C326" s="32" t="b">
        <f>_xlfn.XLOOKUP(Table6101112131415[[#This Row],[Category No]],Table8[Category No],Table8[Chapter List],FALSE)</f>
        <v>0</v>
      </c>
      <c r="D326" s="34"/>
      <c r="E326" s="34"/>
      <c r="F326" s="34"/>
    </row>
    <row r="327" spans="1:6" x14ac:dyDescent="0.3">
      <c r="A327" s="32">
        <v>326</v>
      </c>
      <c r="B327" s="32"/>
      <c r="C327" s="32" t="b">
        <f>_xlfn.XLOOKUP(Table6101112131415[[#This Row],[Category No]],Table8[Category No],Table8[Chapter List],FALSE)</f>
        <v>0</v>
      </c>
      <c r="D327" s="34"/>
      <c r="E327" s="34"/>
      <c r="F327" s="34"/>
    </row>
    <row r="328" spans="1:6" x14ac:dyDescent="0.3">
      <c r="A328" s="32">
        <v>327</v>
      </c>
      <c r="B328" s="32"/>
      <c r="C328" s="32" t="b">
        <f>_xlfn.XLOOKUP(Table6101112131415[[#This Row],[Category No]],Table8[Category No],Table8[Chapter List],FALSE)</f>
        <v>0</v>
      </c>
      <c r="D328" s="34"/>
      <c r="E328" s="34"/>
      <c r="F328" s="34"/>
    </row>
    <row r="329" spans="1:6" x14ac:dyDescent="0.3">
      <c r="A329" s="32">
        <v>328</v>
      </c>
      <c r="B329" s="32"/>
      <c r="C329" s="32" t="b">
        <f>_xlfn.XLOOKUP(Table6101112131415[[#This Row],[Category No]],Table8[Category No],Table8[Chapter List],FALSE)</f>
        <v>0</v>
      </c>
      <c r="D329" s="34"/>
      <c r="E329" s="34"/>
      <c r="F329" s="34"/>
    </row>
    <row r="330" spans="1:6" x14ac:dyDescent="0.3">
      <c r="A330" s="32">
        <v>329</v>
      </c>
      <c r="B330" s="32"/>
      <c r="C330" s="32" t="b">
        <f>_xlfn.XLOOKUP(Table6101112131415[[#This Row],[Category No]],Table8[Category No],Table8[Chapter List],FALSE)</f>
        <v>0</v>
      </c>
      <c r="D330" s="34"/>
      <c r="E330" s="34"/>
      <c r="F330" s="34"/>
    </row>
    <row r="331" spans="1:6" x14ac:dyDescent="0.3">
      <c r="A331" s="32">
        <v>330</v>
      </c>
      <c r="B331" s="32"/>
      <c r="C331" s="32" t="b">
        <f>_xlfn.XLOOKUP(Table6101112131415[[#This Row],[Category No]],Table8[Category No],Table8[Chapter List],FALSE)</f>
        <v>0</v>
      </c>
      <c r="D331" s="34"/>
      <c r="E331" s="34"/>
      <c r="F331" s="34"/>
    </row>
    <row r="332" spans="1:6" x14ac:dyDescent="0.3">
      <c r="A332" s="32">
        <v>331</v>
      </c>
      <c r="B332" s="32"/>
      <c r="C332" s="32" t="b">
        <f>_xlfn.XLOOKUP(Table6101112131415[[#This Row],[Category No]],Table8[Category No],Table8[Chapter List],FALSE)</f>
        <v>0</v>
      </c>
      <c r="D332" s="34"/>
      <c r="E332" s="34"/>
      <c r="F332" s="34"/>
    </row>
    <row r="333" spans="1:6" x14ac:dyDescent="0.3">
      <c r="A333" s="32">
        <v>332</v>
      </c>
      <c r="B333" s="32"/>
      <c r="C333" s="32" t="b">
        <f>_xlfn.XLOOKUP(Table6101112131415[[#This Row],[Category No]],Table8[Category No],Table8[Chapter List],FALSE)</f>
        <v>0</v>
      </c>
      <c r="D333" s="34"/>
      <c r="E333" s="34"/>
      <c r="F333" s="34"/>
    </row>
    <row r="334" spans="1:6" x14ac:dyDescent="0.3">
      <c r="A334" s="32">
        <v>333</v>
      </c>
      <c r="B334" s="32"/>
      <c r="C334" s="32" t="b">
        <f>_xlfn.XLOOKUP(Table6101112131415[[#This Row],[Category No]],Table8[Category No],Table8[Chapter List],FALSE)</f>
        <v>0</v>
      </c>
      <c r="D334" s="34"/>
      <c r="E334" s="34"/>
      <c r="F334" s="34"/>
    </row>
    <row r="335" spans="1:6" x14ac:dyDescent="0.3">
      <c r="A335" s="32">
        <v>334</v>
      </c>
      <c r="B335" s="32"/>
      <c r="C335" s="32" t="b">
        <f>_xlfn.XLOOKUP(Table6101112131415[[#This Row],[Category No]],Table8[Category No],Table8[Chapter List],FALSE)</f>
        <v>0</v>
      </c>
      <c r="D335" s="34"/>
      <c r="E335" s="34"/>
      <c r="F335" s="34"/>
    </row>
    <row r="336" spans="1:6" x14ac:dyDescent="0.3">
      <c r="A336" s="32">
        <v>335</v>
      </c>
      <c r="B336" s="32"/>
      <c r="C336" s="32" t="b">
        <f>_xlfn.XLOOKUP(Table6101112131415[[#This Row],[Category No]],Table8[Category No],Table8[Chapter List],FALSE)</f>
        <v>0</v>
      </c>
      <c r="D336" s="34"/>
      <c r="E336" s="34"/>
      <c r="F336" s="34"/>
    </row>
    <row r="337" spans="1:6" x14ac:dyDescent="0.3">
      <c r="A337" s="32">
        <v>336</v>
      </c>
      <c r="B337" s="32"/>
      <c r="C337" s="32" t="b">
        <f>_xlfn.XLOOKUP(Table6101112131415[[#This Row],[Category No]],Table8[Category No],Table8[Chapter List],FALSE)</f>
        <v>0</v>
      </c>
      <c r="D337" s="34"/>
      <c r="E337" s="34"/>
      <c r="F337" s="34"/>
    </row>
    <row r="338" spans="1:6" x14ac:dyDescent="0.3">
      <c r="A338" s="32">
        <v>337</v>
      </c>
      <c r="B338" s="32"/>
      <c r="C338" s="32" t="b">
        <f>_xlfn.XLOOKUP(Table6101112131415[[#This Row],[Category No]],Table8[Category No],Table8[Chapter List],FALSE)</f>
        <v>0</v>
      </c>
      <c r="D338" s="34"/>
      <c r="E338" s="34"/>
      <c r="F338" s="34"/>
    </row>
    <row r="339" spans="1:6" x14ac:dyDescent="0.3">
      <c r="A339" s="32">
        <v>338</v>
      </c>
      <c r="B339" s="32"/>
      <c r="C339" s="32" t="b">
        <f>_xlfn.XLOOKUP(Table6101112131415[[#This Row],[Category No]],Table8[Category No],Table8[Chapter List],FALSE)</f>
        <v>0</v>
      </c>
      <c r="D339" s="34"/>
      <c r="E339" s="34"/>
      <c r="F339" s="34"/>
    </row>
    <row r="340" spans="1:6" x14ac:dyDescent="0.3">
      <c r="A340" s="32">
        <v>339</v>
      </c>
      <c r="B340" s="32"/>
      <c r="C340" s="32" t="b">
        <f>_xlfn.XLOOKUP(Table6101112131415[[#This Row],[Category No]],Table8[Category No],Table8[Chapter List],FALSE)</f>
        <v>0</v>
      </c>
      <c r="D340" s="34"/>
      <c r="E340" s="34"/>
      <c r="F340" s="34"/>
    </row>
    <row r="341" spans="1:6" x14ac:dyDescent="0.3">
      <c r="A341" s="32">
        <v>340</v>
      </c>
      <c r="B341" s="32"/>
      <c r="C341" s="32" t="b">
        <f>_xlfn.XLOOKUP(Table6101112131415[[#This Row],[Category No]],Table8[Category No],Table8[Chapter List],FALSE)</f>
        <v>0</v>
      </c>
      <c r="D341" s="34"/>
      <c r="E341" s="34"/>
      <c r="F341" s="34"/>
    </row>
    <row r="342" spans="1:6" x14ac:dyDescent="0.3">
      <c r="A342" s="32">
        <v>341</v>
      </c>
      <c r="B342" s="32"/>
      <c r="C342" s="32" t="b">
        <f>_xlfn.XLOOKUP(Table6101112131415[[#This Row],[Category No]],Table8[Category No],Table8[Chapter List],FALSE)</f>
        <v>0</v>
      </c>
      <c r="D342" s="34"/>
      <c r="E342" s="34"/>
      <c r="F342" s="34"/>
    </row>
    <row r="343" spans="1:6" x14ac:dyDescent="0.3">
      <c r="A343" s="32">
        <v>342</v>
      </c>
      <c r="B343" s="32"/>
      <c r="C343" s="32" t="b">
        <f>_xlfn.XLOOKUP(Table6101112131415[[#This Row],[Category No]],Table8[Category No],Table8[Chapter List],FALSE)</f>
        <v>0</v>
      </c>
      <c r="D343" s="34"/>
      <c r="E343" s="34"/>
      <c r="F343" s="34"/>
    </row>
    <row r="344" spans="1:6" x14ac:dyDescent="0.3">
      <c r="A344" s="32">
        <v>343</v>
      </c>
      <c r="B344" s="32"/>
      <c r="C344" s="32" t="b">
        <f>_xlfn.XLOOKUP(Table6101112131415[[#This Row],[Category No]],Table8[Category No],Table8[Chapter List],FALSE)</f>
        <v>0</v>
      </c>
      <c r="D344" s="34"/>
      <c r="E344" s="34"/>
      <c r="F344" s="34"/>
    </row>
    <row r="345" spans="1:6" x14ac:dyDescent="0.3">
      <c r="A345" s="32">
        <v>344</v>
      </c>
      <c r="B345" s="32"/>
      <c r="C345" s="32" t="b">
        <f>_xlfn.XLOOKUP(Table6101112131415[[#This Row],[Category No]],Table8[Category No],Table8[Chapter List],FALSE)</f>
        <v>0</v>
      </c>
      <c r="D345" s="34"/>
      <c r="E345" s="34"/>
      <c r="F345" s="34"/>
    </row>
    <row r="346" spans="1:6" x14ac:dyDescent="0.3">
      <c r="A346" s="32">
        <v>345</v>
      </c>
      <c r="B346" s="32"/>
      <c r="C346" s="32" t="b">
        <f>_xlfn.XLOOKUP(Table6101112131415[[#This Row],[Category No]],Table8[Category No],Table8[Chapter List],FALSE)</f>
        <v>0</v>
      </c>
      <c r="D346" s="34"/>
      <c r="E346" s="34"/>
      <c r="F346" s="34"/>
    </row>
    <row r="347" spans="1:6" x14ac:dyDescent="0.3">
      <c r="A347" s="32">
        <v>346</v>
      </c>
      <c r="B347" s="32"/>
      <c r="C347" s="32" t="b">
        <f>_xlfn.XLOOKUP(Table6101112131415[[#This Row],[Category No]],Table8[Category No],Table8[Chapter List],FALSE)</f>
        <v>0</v>
      </c>
      <c r="D347" s="34"/>
      <c r="E347" s="34"/>
      <c r="F347" s="34"/>
    </row>
    <row r="348" spans="1:6" x14ac:dyDescent="0.3">
      <c r="A348" s="32">
        <v>347</v>
      </c>
      <c r="B348" s="32"/>
      <c r="C348" s="32" t="b">
        <f>_xlfn.XLOOKUP(Table6101112131415[[#This Row],[Category No]],Table8[Category No],Table8[Chapter List],FALSE)</f>
        <v>0</v>
      </c>
      <c r="D348" s="34"/>
      <c r="E348" s="34"/>
      <c r="F348" s="34"/>
    </row>
    <row r="349" spans="1:6" x14ac:dyDescent="0.3">
      <c r="A349" s="32">
        <v>348</v>
      </c>
      <c r="B349" s="32"/>
      <c r="C349" s="32" t="b">
        <f>_xlfn.XLOOKUP(Table6101112131415[[#This Row],[Category No]],Table8[Category No],Table8[Chapter List],FALSE)</f>
        <v>0</v>
      </c>
      <c r="D349" s="34"/>
      <c r="E349" s="34"/>
      <c r="F349" s="34"/>
    </row>
    <row r="350" spans="1:6" x14ac:dyDescent="0.3">
      <c r="A350" s="32">
        <v>349</v>
      </c>
      <c r="B350" s="32"/>
      <c r="C350" s="32" t="b">
        <f>_xlfn.XLOOKUP(Table6101112131415[[#This Row],[Category No]],Table8[Category No],Table8[Chapter List],FALSE)</f>
        <v>0</v>
      </c>
      <c r="D350" s="34"/>
      <c r="E350" s="34"/>
      <c r="F350" s="34"/>
    </row>
    <row r="351" spans="1:6" x14ac:dyDescent="0.3">
      <c r="A351" s="32">
        <v>350</v>
      </c>
      <c r="B351" s="32"/>
      <c r="C351" s="32" t="b">
        <f>_xlfn.XLOOKUP(Table6101112131415[[#This Row],[Category No]],Table8[Category No],Table8[Chapter List],FALSE)</f>
        <v>0</v>
      </c>
      <c r="D351" s="34"/>
      <c r="E351" s="34"/>
      <c r="F351" s="34"/>
    </row>
    <row r="352" spans="1:6" x14ac:dyDescent="0.3">
      <c r="A352" s="32">
        <v>351</v>
      </c>
      <c r="B352" s="32"/>
      <c r="C352" s="32" t="b">
        <f>_xlfn.XLOOKUP(Table6101112131415[[#This Row],[Category No]],Table8[Category No],Table8[Chapter List],FALSE)</f>
        <v>0</v>
      </c>
      <c r="D352" s="34"/>
      <c r="E352" s="34"/>
      <c r="F352" s="34"/>
    </row>
    <row r="353" spans="1:6" x14ac:dyDescent="0.3">
      <c r="A353" s="32">
        <v>352</v>
      </c>
      <c r="B353" s="32"/>
      <c r="C353" s="32" t="b">
        <f>_xlfn.XLOOKUP(Table6101112131415[[#This Row],[Category No]],Table8[Category No],Table8[Chapter List],FALSE)</f>
        <v>0</v>
      </c>
      <c r="D353" s="34"/>
      <c r="E353" s="34"/>
      <c r="F353" s="34"/>
    </row>
    <row r="354" spans="1:6" x14ac:dyDescent="0.3">
      <c r="A354" s="32">
        <v>353</v>
      </c>
      <c r="B354" s="32"/>
      <c r="C354" s="32" t="b">
        <f>_xlfn.XLOOKUP(Table6101112131415[[#This Row],[Category No]],Table8[Category No],Table8[Chapter List],FALSE)</f>
        <v>0</v>
      </c>
      <c r="D354" s="34"/>
      <c r="E354" s="34"/>
      <c r="F354" s="34"/>
    </row>
    <row r="355" spans="1:6" x14ac:dyDescent="0.3">
      <c r="A355" s="32">
        <v>354</v>
      </c>
      <c r="B355" s="32"/>
      <c r="C355" s="32" t="b">
        <f>_xlfn.XLOOKUP(Table6101112131415[[#This Row],[Category No]],Table8[Category No],Table8[Chapter List],FALSE)</f>
        <v>0</v>
      </c>
      <c r="D355" s="34"/>
      <c r="E355" s="34"/>
      <c r="F355" s="34"/>
    </row>
    <row r="356" spans="1:6" x14ac:dyDescent="0.3">
      <c r="A356" s="32">
        <v>355</v>
      </c>
      <c r="B356" s="32"/>
      <c r="C356" s="32" t="b">
        <f>_xlfn.XLOOKUP(Table6101112131415[[#This Row],[Category No]],Table8[Category No],Table8[Chapter List],FALSE)</f>
        <v>0</v>
      </c>
      <c r="D356" s="34"/>
      <c r="E356" s="34"/>
      <c r="F356" s="34"/>
    </row>
    <row r="357" spans="1:6" x14ac:dyDescent="0.3">
      <c r="A357" s="32">
        <v>356</v>
      </c>
      <c r="B357" s="32"/>
      <c r="C357" s="32" t="b">
        <f>_xlfn.XLOOKUP(Table6101112131415[[#This Row],[Category No]],Table8[Category No],Table8[Chapter List],FALSE)</f>
        <v>0</v>
      </c>
      <c r="D357" s="34"/>
      <c r="E357" s="34"/>
      <c r="F357" s="34"/>
    </row>
    <row r="358" spans="1:6" x14ac:dyDescent="0.3">
      <c r="A358" s="32">
        <v>357</v>
      </c>
      <c r="B358" s="32"/>
      <c r="C358" s="32" t="b">
        <f>_xlfn.XLOOKUP(Table6101112131415[[#This Row],[Category No]],Table8[Category No],Table8[Chapter List],FALSE)</f>
        <v>0</v>
      </c>
      <c r="D358" s="34"/>
      <c r="E358" s="34"/>
      <c r="F358" s="34"/>
    </row>
    <row r="359" spans="1:6" x14ac:dyDescent="0.3">
      <c r="A359" s="32">
        <v>358</v>
      </c>
      <c r="B359" s="32"/>
      <c r="C359" s="32" t="b">
        <f>_xlfn.XLOOKUP(Table6101112131415[[#This Row],[Category No]],Table8[Category No],Table8[Chapter List],FALSE)</f>
        <v>0</v>
      </c>
      <c r="D359" s="34"/>
      <c r="E359" s="34"/>
      <c r="F359" s="34"/>
    </row>
    <row r="360" spans="1:6" x14ac:dyDescent="0.3">
      <c r="A360" s="32">
        <v>359</v>
      </c>
      <c r="B360" s="32"/>
      <c r="C360" s="32" t="b">
        <f>_xlfn.XLOOKUP(Table6101112131415[[#This Row],[Category No]],Table8[Category No],Table8[Chapter List],FALSE)</f>
        <v>0</v>
      </c>
      <c r="D360" s="34"/>
      <c r="E360" s="34"/>
      <c r="F360" s="34"/>
    </row>
    <row r="361" spans="1:6" x14ac:dyDescent="0.3">
      <c r="A361" s="32">
        <v>360</v>
      </c>
      <c r="B361" s="32"/>
      <c r="C361" s="32" t="b">
        <f>_xlfn.XLOOKUP(Table6101112131415[[#This Row],[Category No]],Table8[Category No],Table8[Chapter List],FALSE)</f>
        <v>0</v>
      </c>
      <c r="D361" s="34"/>
      <c r="E361" s="34"/>
      <c r="F361" s="34"/>
    </row>
    <row r="362" spans="1:6" x14ac:dyDescent="0.3">
      <c r="A362" s="32">
        <v>361</v>
      </c>
      <c r="B362" s="32"/>
      <c r="C362" s="32" t="b">
        <f>_xlfn.XLOOKUP(Table6101112131415[[#This Row],[Category No]],Table8[Category No],Table8[Chapter List],FALSE)</f>
        <v>0</v>
      </c>
      <c r="D362" s="34"/>
      <c r="E362" s="34"/>
      <c r="F362" s="34"/>
    </row>
    <row r="363" spans="1:6" x14ac:dyDescent="0.3">
      <c r="A363" s="32">
        <v>362</v>
      </c>
      <c r="B363" s="32"/>
      <c r="C363" s="32" t="b">
        <f>_xlfn.XLOOKUP(Table6101112131415[[#This Row],[Category No]],Table8[Category No],Table8[Chapter List],FALSE)</f>
        <v>0</v>
      </c>
      <c r="D363" s="34"/>
      <c r="E363" s="34"/>
      <c r="F363" s="34"/>
    </row>
    <row r="364" spans="1:6" x14ac:dyDescent="0.3">
      <c r="A364" s="32">
        <v>363</v>
      </c>
      <c r="B364" s="32"/>
      <c r="C364" s="32" t="b">
        <f>_xlfn.XLOOKUP(Table6101112131415[[#This Row],[Category No]],Table8[Category No],Table8[Chapter List],FALSE)</f>
        <v>0</v>
      </c>
      <c r="D364" s="34"/>
      <c r="E364" s="34"/>
      <c r="F364" s="34"/>
    </row>
    <row r="365" spans="1:6" x14ac:dyDescent="0.3">
      <c r="A365" s="32">
        <v>364</v>
      </c>
      <c r="B365" s="32"/>
      <c r="C365" s="32" t="b">
        <f>_xlfn.XLOOKUP(Table6101112131415[[#This Row],[Category No]],Table8[Category No],Table8[Chapter List],FALSE)</f>
        <v>0</v>
      </c>
      <c r="D365" s="34"/>
      <c r="E365" s="34"/>
      <c r="F365" s="34"/>
    </row>
    <row r="366" spans="1:6" x14ac:dyDescent="0.3">
      <c r="A366" s="32">
        <v>365</v>
      </c>
      <c r="B366" s="32"/>
      <c r="C366" s="32" t="b">
        <f>_xlfn.XLOOKUP(Table6101112131415[[#This Row],[Category No]],Table8[Category No],Table8[Chapter List],FALSE)</f>
        <v>0</v>
      </c>
      <c r="D366" s="34"/>
      <c r="E366" s="34"/>
      <c r="F366" s="34"/>
    </row>
    <row r="367" spans="1:6" x14ac:dyDescent="0.3">
      <c r="A367" s="32">
        <v>366</v>
      </c>
      <c r="B367" s="32"/>
      <c r="C367" s="32" t="b">
        <f>_xlfn.XLOOKUP(Table6101112131415[[#This Row],[Category No]],Table8[Category No],Table8[Chapter List],FALSE)</f>
        <v>0</v>
      </c>
      <c r="D367" s="34"/>
      <c r="E367" s="34"/>
      <c r="F367" s="34"/>
    </row>
    <row r="368" spans="1:6" x14ac:dyDescent="0.3">
      <c r="A368" s="32">
        <v>367</v>
      </c>
      <c r="B368" s="32"/>
      <c r="C368" s="32" t="b">
        <f>_xlfn.XLOOKUP(Table6101112131415[[#This Row],[Category No]],Table8[Category No],Table8[Chapter List],FALSE)</f>
        <v>0</v>
      </c>
      <c r="D368" s="34"/>
      <c r="E368" s="34"/>
      <c r="F368" s="34"/>
    </row>
    <row r="369" spans="1:6" x14ac:dyDescent="0.3">
      <c r="A369" s="32">
        <v>368</v>
      </c>
      <c r="B369" s="32"/>
      <c r="C369" s="32" t="b">
        <f>_xlfn.XLOOKUP(Table6101112131415[[#This Row],[Category No]],Table8[Category No],Table8[Chapter List],FALSE)</f>
        <v>0</v>
      </c>
      <c r="D369" s="34"/>
      <c r="E369" s="34"/>
      <c r="F369" s="34"/>
    </row>
    <row r="370" spans="1:6" x14ac:dyDescent="0.3">
      <c r="A370" s="32">
        <v>369</v>
      </c>
      <c r="B370" s="32"/>
      <c r="C370" s="32" t="b">
        <f>_xlfn.XLOOKUP(Table6101112131415[[#This Row],[Category No]],Table8[Category No],Table8[Chapter List],FALSE)</f>
        <v>0</v>
      </c>
      <c r="D370" s="34"/>
      <c r="E370" s="34"/>
      <c r="F370" s="34"/>
    </row>
    <row r="371" spans="1:6" x14ac:dyDescent="0.3">
      <c r="A371" s="32">
        <v>370</v>
      </c>
      <c r="B371" s="32"/>
      <c r="C371" s="32" t="b">
        <f>_xlfn.XLOOKUP(Table6101112131415[[#This Row],[Category No]],Table8[Category No],Table8[Chapter List],FALSE)</f>
        <v>0</v>
      </c>
      <c r="D371" s="34"/>
      <c r="E371" s="34"/>
      <c r="F371" s="34"/>
    </row>
    <row r="372" spans="1:6" x14ac:dyDescent="0.3">
      <c r="A372" s="32">
        <v>371</v>
      </c>
      <c r="B372" s="32"/>
      <c r="C372" s="32" t="b">
        <f>_xlfn.XLOOKUP(Table6101112131415[[#This Row],[Category No]],Table8[Category No],Table8[Chapter List],FALSE)</f>
        <v>0</v>
      </c>
      <c r="D372" s="34"/>
      <c r="E372" s="34"/>
      <c r="F372" s="34"/>
    </row>
    <row r="373" spans="1:6" x14ac:dyDescent="0.3">
      <c r="A373" s="32">
        <v>372</v>
      </c>
      <c r="B373" s="32"/>
      <c r="C373" s="32" t="b">
        <f>_xlfn.XLOOKUP(Table6101112131415[[#This Row],[Category No]],Table8[Category No],Table8[Chapter List],FALSE)</f>
        <v>0</v>
      </c>
      <c r="D373" s="34"/>
      <c r="E373" s="34"/>
      <c r="F373" s="34"/>
    </row>
    <row r="374" spans="1:6" x14ac:dyDescent="0.3">
      <c r="A374" s="32">
        <v>373</v>
      </c>
      <c r="B374" s="32"/>
      <c r="C374" s="32" t="b">
        <f>_xlfn.XLOOKUP(Table6101112131415[[#This Row],[Category No]],Table8[Category No],Table8[Chapter List],FALSE)</f>
        <v>0</v>
      </c>
      <c r="D374" s="34"/>
      <c r="E374" s="34"/>
      <c r="F374" s="34"/>
    </row>
    <row r="375" spans="1:6" x14ac:dyDescent="0.3">
      <c r="A375" s="32">
        <v>374</v>
      </c>
      <c r="B375" s="32"/>
      <c r="C375" s="32" t="b">
        <f>_xlfn.XLOOKUP(Table6101112131415[[#This Row],[Category No]],Table8[Category No],Table8[Chapter List],FALSE)</f>
        <v>0</v>
      </c>
      <c r="D375" s="34"/>
      <c r="E375" s="34"/>
      <c r="F375" s="34"/>
    </row>
    <row r="376" spans="1:6" x14ac:dyDescent="0.3">
      <c r="A376" s="32">
        <v>375</v>
      </c>
      <c r="B376" s="32"/>
      <c r="C376" s="32" t="b">
        <f>_xlfn.XLOOKUP(Table6101112131415[[#This Row],[Category No]],Table8[Category No],Table8[Chapter List],FALSE)</f>
        <v>0</v>
      </c>
      <c r="D376" s="34"/>
      <c r="E376" s="34"/>
      <c r="F376" s="34"/>
    </row>
    <row r="377" spans="1:6" x14ac:dyDescent="0.3">
      <c r="A377" s="32">
        <v>376</v>
      </c>
      <c r="B377" s="32"/>
      <c r="C377" s="32" t="b">
        <f>_xlfn.XLOOKUP(Table6101112131415[[#This Row],[Category No]],Table8[Category No],Table8[Chapter List],FALSE)</f>
        <v>0</v>
      </c>
      <c r="D377" s="34"/>
      <c r="E377" s="34"/>
      <c r="F377" s="34"/>
    </row>
    <row r="378" spans="1:6" x14ac:dyDescent="0.3">
      <c r="A378" s="32">
        <v>377</v>
      </c>
      <c r="B378" s="32"/>
      <c r="C378" s="32" t="b">
        <f>_xlfn.XLOOKUP(Table6101112131415[[#This Row],[Category No]],Table8[Category No],Table8[Chapter List],FALSE)</f>
        <v>0</v>
      </c>
      <c r="D378" s="34"/>
      <c r="E378" s="34"/>
      <c r="F378" s="34"/>
    </row>
    <row r="379" spans="1:6" x14ac:dyDescent="0.3">
      <c r="A379" s="32">
        <v>378</v>
      </c>
      <c r="B379" s="32"/>
      <c r="C379" s="32" t="b">
        <f>_xlfn.XLOOKUP(Table6101112131415[[#This Row],[Category No]],Table8[Category No],Table8[Chapter List],FALSE)</f>
        <v>0</v>
      </c>
      <c r="D379" s="34"/>
      <c r="E379" s="34"/>
      <c r="F379" s="34"/>
    </row>
    <row r="380" spans="1:6" x14ac:dyDescent="0.3">
      <c r="A380" s="32">
        <v>379</v>
      </c>
      <c r="B380" s="32"/>
      <c r="C380" s="32" t="b">
        <f>_xlfn.XLOOKUP(Table6101112131415[[#This Row],[Category No]],Table8[Category No],Table8[Chapter List],FALSE)</f>
        <v>0</v>
      </c>
      <c r="D380" s="34"/>
      <c r="E380" s="34"/>
      <c r="F380" s="34"/>
    </row>
    <row r="381" spans="1:6" x14ac:dyDescent="0.3">
      <c r="A381" s="32">
        <v>380</v>
      </c>
      <c r="B381" s="32"/>
      <c r="C381" s="32" t="b">
        <f>_xlfn.XLOOKUP(Table6101112131415[[#This Row],[Category No]],Table8[Category No],Table8[Chapter List],FALSE)</f>
        <v>0</v>
      </c>
      <c r="D381" s="34"/>
      <c r="E381" s="34"/>
      <c r="F381" s="34"/>
    </row>
    <row r="382" spans="1:6" x14ac:dyDescent="0.3">
      <c r="A382" s="32">
        <v>381</v>
      </c>
      <c r="B382" s="32"/>
      <c r="C382" s="32" t="b">
        <f>_xlfn.XLOOKUP(Table6101112131415[[#This Row],[Category No]],Table8[Category No],Table8[Chapter List],FALSE)</f>
        <v>0</v>
      </c>
      <c r="D382" s="34"/>
      <c r="E382" s="34"/>
      <c r="F382" s="34"/>
    </row>
    <row r="383" spans="1:6" x14ac:dyDescent="0.3">
      <c r="A383" s="32">
        <v>382</v>
      </c>
      <c r="B383" s="32"/>
      <c r="C383" s="32" t="b">
        <f>_xlfn.XLOOKUP(Table6101112131415[[#This Row],[Category No]],Table8[Category No],Table8[Chapter List],FALSE)</f>
        <v>0</v>
      </c>
      <c r="D383" s="34"/>
      <c r="E383" s="34"/>
      <c r="F383" s="34"/>
    </row>
    <row r="384" spans="1:6" x14ac:dyDescent="0.3">
      <c r="A384" s="32">
        <v>383</v>
      </c>
      <c r="B384" s="32"/>
      <c r="C384" s="32" t="b">
        <f>_xlfn.XLOOKUP(Table6101112131415[[#This Row],[Category No]],Table8[Category No],Table8[Chapter List],FALSE)</f>
        <v>0</v>
      </c>
      <c r="D384" s="34"/>
      <c r="E384" s="34"/>
      <c r="F384" s="34"/>
    </row>
    <row r="385" spans="1:6" x14ac:dyDescent="0.3">
      <c r="A385" s="32">
        <v>384</v>
      </c>
      <c r="B385" s="32"/>
      <c r="C385" s="32" t="b">
        <f>_xlfn.XLOOKUP(Table6101112131415[[#This Row],[Category No]],Table8[Category No],Table8[Chapter List],FALSE)</f>
        <v>0</v>
      </c>
      <c r="D385" s="34"/>
      <c r="E385" s="34"/>
      <c r="F385" s="34"/>
    </row>
    <row r="386" spans="1:6" x14ac:dyDescent="0.3">
      <c r="A386" s="32">
        <v>385</v>
      </c>
      <c r="B386" s="32"/>
      <c r="C386" s="32" t="b">
        <f>_xlfn.XLOOKUP(Table6101112131415[[#This Row],[Category No]],Table8[Category No],Table8[Chapter List],FALSE)</f>
        <v>0</v>
      </c>
      <c r="D386" s="34"/>
      <c r="E386" s="34"/>
      <c r="F386" s="34"/>
    </row>
    <row r="387" spans="1:6" x14ac:dyDescent="0.3">
      <c r="A387" s="32">
        <v>386</v>
      </c>
      <c r="B387" s="32"/>
      <c r="C387" s="32" t="b">
        <f>_xlfn.XLOOKUP(Table6101112131415[[#This Row],[Category No]],Table8[Category No],Table8[Chapter List],FALSE)</f>
        <v>0</v>
      </c>
      <c r="D387" s="34"/>
      <c r="E387" s="34"/>
      <c r="F387" s="34"/>
    </row>
    <row r="388" spans="1:6" x14ac:dyDescent="0.3">
      <c r="A388" s="32">
        <v>387</v>
      </c>
      <c r="B388" s="32"/>
      <c r="C388" s="32" t="b">
        <f>_xlfn.XLOOKUP(Table6101112131415[[#This Row],[Category No]],Table8[Category No],Table8[Chapter List],FALSE)</f>
        <v>0</v>
      </c>
      <c r="D388" s="34"/>
      <c r="E388" s="34"/>
      <c r="F388" s="34"/>
    </row>
    <row r="389" spans="1:6" x14ac:dyDescent="0.3">
      <c r="A389" s="32">
        <v>388</v>
      </c>
      <c r="B389" s="32"/>
      <c r="C389" s="32" t="b">
        <f>_xlfn.XLOOKUP(Table6101112131415[[#This Row],[Category No]],Table8[Category No],Table8[Chapter List],FALSE)</f>
        <v>0</v>
      </c>
      <c r="D389" s="34"/>
      <c r="E389" s="34"/>
      <c r="F389" s="34"/>
    </row>
    <row r="390" spans="1:6" x14ac:dyDescent="0.3">
      <c r="A390" s="32">
        <v>389</v>
      </c>
      <c r="B390" s="32"/>
      <c r="C390" s="32" t="b">
        <f>_xlfn.XLOOKUP(Table6101112131415[[#This Row],[Category No]],Table8[Category No],Table8[Chapter List],FALSE)</f>
        <v>0</v>
      </c>
      <c r="D390" s="34"/>
      <c r="E390" s="34"/>
      <c r="F390" s="34"/>
    </row>
    <row r="391" spans="1:6" x14ac:dyDescent="0.3">
      <c r="A391" s="32">
        <v>390</v>
      </c>
      <c r="B391" s="32"/>
      <c r="C391" s="32" t="b">
        <f>_xlfn.XLOOKUP(Table6101112131415[[#This Row],[Category No]],Table8[Category No],Table8[Chapter List],FALSE)</f>
        <v>0</v>
      </c>
      <c r="D391" s="34"/>
      <c r="E391" s="34"/>
      <c r="F391" s="34"/>
    </row>
    <row r="392" spans="1:6" x14ac:dyDescent="0.3">
      <c r="A392" s="32">
        <v>391</v>
      </c>
      <c r="B392" s="32"/>
      <c r="C392" s="32" t="b">
        <f>_xlfn.XLOOKUP(Table6101112131415[[#This Row],[Category No]],Table8[Category No],Table8[Chapter List],FALSE)</f>
        <v>0</v>
      </c>
      <c r="D392" s="34"/>
      <c r="E392" s="34"/>
      <c r="F392" s="34"/>
    </row>
    <row r="393" spans="1:6" x14ac:dyDescent="0.3">
      <c r="A393" s="32">
        <v>392</v>
      </c>
      <c r="B393" s="32"/>
      <c r="C393" s="32" t="b">
        <f>_xlfn.XLOOKUP(Table6101112131415[[#This Row],[Category No]],Table8[Category No],Table8[Chapter List],FALSE)</f>
        <v>0</v>
      </c>
      <c r="D393" s="34"/>
      <c r="E393" s="34"/>
      <c r="F393" s="34"/>
    </row>
    <row r="394" spans="1:6" x14ac:dyDescent="0.3">
      <c r="A394" s="32">
        <v>393</v>
      </c>
      <c r="B394" s="32"/>
      <c r="C394" s="32" t="b">
        <f>_xlfn.XLOOKUP(Table6101112131415[[#This Row],[Category No]],Table8[Category No],Table8[Chapter List],FALSE)</f>
        <v>0</v>
      </c>
      <c r="D394" s="34"/>
      <c r="E394" s="34"/>
      <c r="F394" s="34"/>
    </row>
    <row r="395" spans="1:6" x14ac:dyDescent="0.3">
      <c r="A395" s="32">
        <v>394</v>
      </c>
      <c r="B395" s="32"/>
      <c r="C395" s="32" t="b">
        <f>_xlfn.XLOOKUP(Table6101112131415[[#This Row],[Category No]],Table8[Category No],Table8[Chapter List],FALSE)</f>
        <v>0</v>
      </c>
      <c r="D395" s="34"/>
      <c r="E395" s="34"/>
      <c r="F395" s="34"/>
    </row>
    <row r="396" spans="1:6" x14ac:dyDescent="0.3">
      <c r="A396" s="32">
        <v>395</v>
      </c>
      <c r="B396" s="32"/>
      <c r="C396" s="32" t="b">
        <f>_xlfn.XLOOKUP(Table6101112131415[[#This Row],[Category No]],Table8[Category No],Table8[Chapter List],FALSE)</f>
        <v>0</v>
      </c>
      <c r="D396" s="34"/>
      <c r="E396" s="34"/>
      <c r="F396" s="34"/>
    </row>
    <row r="397" spans="1:6" x14ac:dyDescent="0.3">
      <c r="A397" s="32">
        <v>396</v>
      </c>
      <c r="B397" s="32"/>
      <c r="C397" s="32" t="b">
        <f>_xlfn.XLOOKUP(Table6101112131415[[#This Row],[Category No]],Table8[Category No],Table8[Chapter List],FALSE)</f>
        <v>0</v>
      </c>
      <c r="D397" s="34"/>
      <c r="E397" s="34"/>
      <c r="F397" s="34"/>
    </row>
    <row r="398" spans="1:6" x14ac:dyDescent="0.3">
      <c r="A398" s="32">
        <v>397</v>
      </c>
      <c r="B398" s="32"/>
      <c r="C398" s="32" t="b">
        <f>_xlfn.XLOOKUP(Table6101112131415[[#This Row],[Category No]],Table8[Category No],Table8[Chapter List],FALSE)</f>
        <v>0</v>
      </c>
      <c r="D398" s="34"/>
      <c r="E398" s="34"/>
      <c r="F398" s="34"/>
    </row>
    <row r="399" spans="1:6" x14ac:dyDescent="0.3">
      <c r="A399" s="32">
        <v>398</v>
      </c>
      <c r="B399" s="32"/>
      <c r="C399" s="32" t="b">
        <f>_xlfn.XLOOKUP(Table6101112131415[[#This Row],[Category No]],Table8[Category No],Table8[Chapter List],FALSE)</f>
        <v>0</v>
      </c>
      <c r="D399" s="34"/>
      <c r="E399" s="34"/>
      <c r="F399" s="34"/>
    </row>
    <row r="400" spans="1:6" x14ac:dyDescent="0.3">
      <c r="A400" s="32">
        <v>399</v>
      </c>
      <c r="B400" s="32"/>
      <c r="C400" s="32" t="b">
        <f>_xlfn.XLOOKUP(Table6101112131415[[#This Row],[Category No]],Table8[Category No],Table8[Chapter List],FALSE)</f>
        <v>0</v>
      </c>
      <c r="D400" s="34"/>
      <c r="E400" s="34"/>
      <c r="F400" s="34"/>
    </row>
    <row r="401" spans="1:6" x14ac:dyDescent="0.3">
      <c r="A401" s="32">
        <v>400</v>
      </c>
      <c r="B401" s="32"/>
      <c r="C401" s="32" t="b">
        <f>_xlfn.XLOOKUP(Table6101112131415[[#This Row],[Category No]],Table8[Category No],Table8[Chapter List],FALSE)</f>
        <v>0</v>
      </c>
      <c r="D401" s="34"/>
      <c r="E401" s="34"/>
      <c r="F401" s="34"/>
    </row>
    <row r="402" spans="1:6" x14ac:dyDescent="0.3">
      <c r="A402" s="32">
        <v>401</v>
      </c>
      <c r="B402" s="32"/>
      <c r="C402" s="32" t="b">
        <f>_xlfn.XLOOKUP(Table6101112131415[[#This Row],[Category No]],Table8[Category No],Table8[Chapter List],FALSE)</f>
        <v>0</v>
      </c>
      <c r="D402" s="34"/>
      <c r="E402" s="34"/>
      <c r="F402" s="34"/>
    </row>
    <row r="403" spans="1:6" x14ac:dyDescent="0.3">
      <c r="A403" s="32">
        <v>402</v>
      </c>
      <c r="B403" s="32"/>
      <c r="C403" s="32" t="b">
        <f>_xlfn.XLOOKUP(Table6101112131415[[#This Row],[Category No]],Table8[Category No],Table8[Chapter List],FALSE)</f>
        <v>0</v>
      </c>
      <c r="D403" s="34"/>
      <c r="E403" s="34"/>
      <c r="F403" s="34"/>
    </row>
    <row r="404" spans="1:6" x14ac:dyDescent="0.3">
      <c r="A404" s="32">
        <v>403</v>
      </c>
      <c r="B404" s="32"/>
      <c r="C404" s="32" t="b">
        <f>_xlfn.XLOOKUP(Table6101112131415[[#This Row],[Category No]],Table8[Category No],Table8[Chapter List],FALSE)</f>
        <v>0</v>
      </c>
      <c r="D404" s="34"/>
      <c r="E404" s="34"/>
      <c r="F404" s="34"/>
    </row>
    <row r="405" spans="1:6" x14ac:dyDescent="0.3">
      <c r="A405" s="32">
        <v>404</v>
      </c>
      <c r="B405" s="32"/>
      <c r="C405" s="32" t="b">
        <f>_xlfn.XLOOKUP(Table6101112131415[[#This Row],[Category No]],Table8[Category No],Table8[Chapter List],FALSE)</f>
        <v>0</v>
      </c>
      <c r="D405" s="34"/>
      <c r="E405" s="34"/>
      <c r="F405" s="34"/>
    </row>
    <row r="406" spans="1:6" x14ac:dyDescent="0.3">
      <c r="A406" s="32">
        <v>405</v>
      </c>
      <c r="B406" s="32"/>
      <c r="C406" s="32" t="b">
        <f>_xlfn.XLOOKUP(Table6101112131415[[#This Row],[Category No]],Table8[Category No],Table8[Chapter List],FALSE)</f>
        <v>0</v>
      </c>
      <c r="D406" s="34"/>
      <c r="E406" s="34"/>
      <c r="F406" s="34"/>
    </row>
    <row r="407" spans="1:6" x14ac:dyDescent="0.3">
      <c r="A407" s="32">
        <v>406</v>
      </c>
      <c r="B407" s="32"/>
      <c r="C407" s="32" t="b">
        <f>_xlfn.XLOOKUP(Table6101112131415[[#This Row],[Category No]],Table8[Category No],Table8[Chapter List],FALSE)</f>
        <v>0</v>
      </c>
      <c r="D407" s="34"/>
      <c r="E407" s="34"/>
      <c r="F407" s="34"/>
    </row>
    <row r="408" spans="1:6" x14ac:dyDescent="0.3">
      <c r="A408" s="32">
        <v>407</v>
      </c>
      <c r="B408" s="32"/>
      <c r="C408" s="32" t="b">
        <f>_xlfn.XLOOKUP(Table6101112131415[[#This Row],[Category No]],Table8[Category No],Table8[Chapter List],FALSE)</f>
        <v>0</v>
      </c>
      <c r="D408" s="34"/>
      <c r="E408" s="34"/>
      <c r="F408" s="34"/>
    </row>
    <row r="409" spans="1:6" x14ac:dyDescent="0.3">
      <c r="A409" s="32">
        <v>408</v>
      </c>
      <c r="B409" s="32"/>
      <c r="C409" s="32" t="b">
        <f>_xlfn.XLOOKUP(Table6101112131415[[#This Row],[Category No]],Table8[Category No],Table8[Chapter List],FALSE)</f>
        <v>0</v>
      </c>
      <c r="D409" s="34"/>
      <c r="E409" s="34"/>
      <c r="F409" s="34"/>
    </row>
    <row r="410" spans="1:6" x14ac:dyDescent="0.3">
      <c r="A410" s="32">
        <v>409</v>
      </c>
      <c r="B410" s="32"/>
      <c r="C410" s="32" t="b">
        <f>_xlfn.XLOOKUP(Table6101112131415[[#This Row],[Category No]],Table8[Category No],Table8[Chapter List],FALSE)</f>
        <v>0</v>
      </c>
      <c r="D410" s="34"/>
      <c r="E410" s="34"/>
      <c r="F410" s="34"/>
    </row>
    <row r="411" spans="1:6" x14ac:dyDescent="0.3">
      <c r="A411" s="32">
        <v>410</v>
      </c>
      <c r="B411" s="32"/>
      <c r="C411" s="32" t="b">
        <f>_xlfn.XLOOKUP(Table6101112131415[[#This Row],[Category No]],Table8[Category No],Table8[Chapter List],FALSE)</f>
        <v>0</v>
      </c>
      <c r="D411" s="34"/>
      <c r="E411" s="34"/>
      <c r="F411" s="34"/>
    </row>
    <row r="412" spans="1:6" x14ac:dyDescent="0.3">
      <c r="A412" s="32">
        <v>411</v>
      </c>
      <c r="B412" s="32"/>
      <c r="C412" s="32" t="b">
        <f>_xlfn.XLOOKUP(Table6101112131415[[#This Row],[Category No]],Table8[Category No],Table8[Chapter List],FALSE)</f>
        <v>0</v>
      </c>
      <c r="D412" s="34"/>
      <c r="E412" s="34"/>
      <c r="F412" s="34"/>
    </row>
    <row r="413" spans="1:6" x14ac:dyDescent="0.3">
      <c r="A413" s="32">
        <v>412</v>
      </c>
      <c r="B413" s="32"/>
      <c r="C413" s="32" t="b">
        <f>_xlfn.XLOOKUP(Table6101112131415[[#This Row],[Category No]],Table8[Category No],Table8[Chapter List],FALSE)</f>
        <v>0</v>
      </c>
      <c r="D413" s="34"/>
      <c r="E413" s="34"/>
      <c r="F413" s="34"/>
    </row>
    <row r="414" spans="1:6" x14ac:dyDescent="0.3">
      <c r="A414" s="32">
        <v>413</v>
      </c>
      <c r="B414" s="32"/>
      <c r="C414" s="32" t="b">
        <f>_xlfn.XLOOKUP(Table6101112131415[[#This Row],[Category No]],Table8[Category No],Table8[Chapter List],FALSE)</f>
        <v>0</v>
      </c>
      <c r="D414" s="34"/>
      <c r="E414" s="34"/>
      <c r="F414" s="34"/>
    </row>
    <row r="415" spans="1:6" x14ac:dyDescent="0.3">
      <c r="A415" s="32">
        <v>414</v>
      </c>
      <c r="B415" s="32"/>
      <c r="C415" s="32" t="b">
        <f>_xlfn.XLOOKUP(Table6101112131415[[#This Row],[Category No]],Table8[Category No],Table8[Chapter List],FALSE)</f>
        <v>0</v>
      </c>
      <c r="D415" s="34"/>
      <c r="E415" s="34"/>
      <c r="F415" s="34"/>
    </row>
    <row r="416" spans="1:6" x14ac:dyDescent="0.3">
      <c r="A416" s="32">
        <v>415</v>
      </c>
      <c r="B416" s="32"/>
      <c r="C416" s="32" t="b">
        <f>_xlfn.XLOOKUP(Table6101112131415[[#This Row],[Category No]],Table8[Category No],Table8[Chapter List],FALSE)</f>
        <v>0</v>
      </c>
      <c r="D416" s="34"/>
      <c r="E416" s="34"/>
      <c r="F416" s="34"/>
    </row>
    <row r="417" spans="1:6" x14ac:dyDescent="0.3">
      <c r="A417" s="32">
        <v>416</v>
      </c>
      <c r="B417" s="32"/>
      <c r="C417" s="32" t="b">
        <f>_xlfn.XLOOKUP(Table6101112131415[[#This Row],[Category No]],Table8[Category No],Table8[Chapter List],FALSE)</f>
        <v>0</v>
      </c>
      <c r="D417" s="34"/>
      <c r="E417" s="34"/>
      <c r="F417" s="34"/>
    </row>
    <row r="418" spans="1:6" x14ac:dyDescent="0.3">
      <c r="A418" s="32">
        <v>417</v>
      </c>
      <c r="B418" s="32"/>
      <c r="C418" s="32" t="b">
        <f>_xlfn.XLOOKUP(Table6101112131415[[#This Row],[Category No]],Table8[Category No],Table8[Chapter List],FALSE)</f>
        <v>0</v>
      </c>
      <c r="D418" s="34"/>
      <c r="E418" s="34"/>
      <c r="F418" s="34"/>
    </row>
    <row r="419" spans="1:6" x14ac:dyDescent="0.3">
      <c r="A419" s="32">
        <v>418</v>
      </c>
      <c r="B419" s="32"/>
      <c r="C419" s="32" t="b">
        <f>_xlfn.XLOOKUP(Table6101112131415[[#This Row],[Category No]],Table8[Category No],Table8[Chapter List],FALSE)</f>
        <v>0</v>
      </c>
      <c r="D419" s="34"/>
      <c r="E419" s="34"/>
      <c r="F419" s="34"/>
    </row>
    <row r="420" spans="1:6" x14ac:dyDescent="0.3">
      <c r="A420" s="32">
        <v>419</v>
      </c>
      <c r="B420" s="32"/>
      <c r="C420" s="32" t="b">
        <f>_xlfn.XLOOKUP(Table6101112131415[[#This Row],[Category No]],Table8[Category No],Table8[Chapter List],FALSE)</f>
        <v>0</v>
      </c>
      <c r="D420" s="34"/>
      <c r="E420" s="34"/>
      <c r="F420" s="34"/>
    </row>
    <row r="421" spans="1:6" x14ac:dyDescent="0.3">
      <c r="A421" s="32">
        <v>420</v>
      </c>
      <c r="B421" s="32"/>
      <c r="C421" s="32" t="b">
        <f>_xlfn.XLOOKUP(Table6101112131415[[#This Row],[Category No]],Table8[Category No],Table8[Chapter List],FALSE)</f>
        <v>0</v>
      </c>
      <c r="D421" s="34"/>
      <c r="E421" s="34"/>
      <c r="F421" s="34"/>
    </row>
    <row r="422" spans="1:6" x14ac:dyDescent="0.3">
      <c r="A422" s="32">
        <v>421</v>
      </c>
      <c r="B422" s="32"/>
      <c r="C422" s="32" t="b">
        <f>_xlfn.XLOOKUP(Table6101112131415[[#This Row],[Category No]],Table8[Category No],Table8[Chapter List],FALSE)</f>
        <v>0</v>
      </c>
      <c r="D422" s="34"/>
      <c r="E422" s="34"/>
      <c r="F422" s="34"/>
    </row>
    <row r="423" spans="1:6" x14ac:dyDescent="0.3">
      <c r="A423" s="32">
        <v>422</v>
      </c>
      <c r="B423" s="32"/>
      <c r="C423" s="32" t="b">
        <f>_xlfn.XLOOKUP(Table6101112131415[[#This Row],[Category No]],Table8[Category No],Table8[Chapter List],FALSE)</f>
        <v>0</v>
      </c>
      <c r="D423" s="34"/>
      <c r="E423" s="34"/>
      <c r="F423" s="34"/>
    </row>
    <row r="424" spans="1:6" x14ac:dyDescent="0.3">
      <c r="A424" s="32">
        <v>423</v>
      </c>
      <c r="B424" s="32"/>
      <c r="C424" s="32" t="b">
        <f>_xlfn.XLOOKUP(Table6101112131415[[#This Row],[Category No]],Table8[Category No],Table8[Chapter List],FALSE)</f>
        <v>0</v>
      </c>
      <c r="D424" s="34"/>
      <c r="E424" s="34"/>
      <c r="F424" s="34"/>
    </row>
    <row r="425" spans="1:6" x14ac:dyDescent="0.3">
      <c r="A425" s="32">
        <v>424</v>
      </c>
      <c r="B425" s="32"/>
      <c r="C425" s="32" t="b">
        <f>_xlfn.XLOOKUP(Table6101112131415[[#This Row],[Category No]],Table8[Category No],Table8[Chapter List],FALSE)</f>
        <v>0</v>
      </c>
      <c r="D425" s="34"/>
      <c r="E425" s="34"/>
      <c r="F425" s="34"/>
    </row>
    <row r="426" spans="1:6" x14ac:dyDescent="0.3">
      <c r="A426" s="32">
        <v>425</v>
      </c>
      <c r="B426" s="32"/>
      <c r="C426" s="32" t="b">
        <f>_xlfn.XLOOKUP(Table6101112131415[[#This Row],[Category No]],Table8[Category No],Table8[Chapter List],FALSE)</f>
        <v>0</v>
      </c>
      <c r="D426" s="34"/>
      <c r="E426" s="34"/>
      <c r="F426" s="34"/>
    </row>
    <row r="427" spans="1:6" x14ac:dyDescent="0.3">
      <c r="A427" s="32">
        <v>426</v>
      </c>
      <c r="B427" s="32"/>
      <c r="C427" s="32" t="b">
        <f>_xlfn.XLOOKUP(Table6101112131415[[#This Row],[Category No]],Table8[Category No],Table8[Chapter List],FALSE)</f>
        <v>0</v>
      </c>
      <c r="D427" s="34"/>
      <c r="E427" s="34"/>
      <c r="F427" s="34"/>
    </row>
    <row r="428" spans="1:6" x14ac:dyDescent="0.3">
      <c r="A428" s="32">
        <v>427</v>
      </c>
      <c r="B428" s="32"/>
      <c r="C428" s="32" t="b">
        <f>_xlfn.XLOOKUP(Table6101112131415[[#This Row],[Category No]],Table8[Category No],Table8[Chapter List],FALSE)</f>
        <v>0</v>
      </c>
      <c r="D428" s="34"/>
      <c r="E428" s="34"/>
      <c r="F428" s="34"/>
    </row>
    <row r="429" spans="1:6" x14ac:dyDescent="0.3">
      <c r="A429" s="32">
        <v>428</v>
      </c>
      <c r="B429" s="32"/>
      <c r="C429" s="32" t="b">
        <f>_xlfn.XLOOKUP(Table6101112131415[[#This Row],[Category No]],Table8[Category No],Table8[Chapter List],FALSE)</f>
        <v>0</v>
      </c>
      <c r="D429" s="34"/>
      <c r="E429" s="34"/>
      <c r="F429" s="34"/>
    </row>
    <row r="430" spans="1:6" x14ac:dyDescent="0.3">
      <c r="A430" s="32">
        <v>429</v>
      </c>
      <c r="B430" s="32"/>
      <c r="C430" s="32" t="b">
        <f>_xlfn.XLOOKUP(Table6101112131415[[#This Row],[Category No]],Table8[Category No],Table8[Chapter List],FALSE)</f>
        <v>0</v>
      </c>
      <c r="D430" s="34"/>
      <c r="E430" s="34"/>
      <c r="F430" s="34"/>
    </row>
    <row r="431" spans="1:6" x14ac:dyDescent="0.3">
      <c r="A431" s="32">
        <v>430</v>
      </c>
      <c r="B431" s="32"/>
      <c r="C431" s="32" t="b">
        <f>_xlfn.XLOOKUP(Table6101112131415[[#This Row],[Category No]],Table8[Category No],Table8[Chapter List],FALSE)</f>
        <v>0</v>
      </c>
      <c r="D431" s="34"/>
      <c r="E431" s="34"/>
      <c r="F431" s="34"/>
    </row>
    <row r="432" spans="1:6" x14ac:dyDescent="0.3">
      <c r="A432" s="32">
        <v>431</v>
      </c>
      <c r="B432" s="32"/>
      <c r="C432" s="32" t="b">
        <f>_xlfn.XLOOKUP(Table6101112131415[[#This Row],[Category No]],Table8[Category No],Table8[Chapter List],FALSE)</f>
        <v>0</v>
      </c>
      <c r="D432" s="34"/>
      <c r="E432" s="34"/>
      <c r="F432" s="34"/>
    </row>
    <row r="433" spans="1:6" x14ac:dyDescent="0.3">
      <c r="A433" s="32">
        <v>432</v>
      </c>
      <c r="B433" s="32"/>
      <c r="C433" s="32" t="b">
        <f>_xlfn.XLOOKUP(Table6101112131415[[#This Row],[Category No]],Table8[Category No],Table8[Chapter List],FALSE)</f>
        <v>0</v>
      </c>
      <c r="D433" s="34"/>
      <c r="E433" s="34"/>
      <c r="F433" s="34"/>
    </row>
    <row r="434" spans="1:6" x14ac:dyDescent="0.3">
      <c r="A434" s="32">
        <v>433</v>
      </c>
      <c r="B434" s="32"/>
      <c r="C434" s="32" t="b">
        <f>_xlfn.XLOOKUP(Table6101112131415[[#This Row],[Category No]],Table8[Category No],Table8[Chapter List],FALSE)</f>
        <v>0</v>
      </c>
      <c r="D434" s="34"/>
      <c r="E434" s="34"/>
      <c r="F434" s="34"/>
    </row>
    <row r="435" spans="1:6" x14ac:dyDescent="0.3">
      <c r="A435" s="32">
        <v>434</v>
      </c>
      <c r="B435" s="32"/>
      <c r="C435" s="32" t="b">
        <f>_xlfn.XLOOKUP(Table6101112131415[[#This Row],[Category No]],Table8[Category No],Table8[Chapter List],FALSE)</f>
        <v>0</v>
      </c>
      <c r="D435" s="34"/>
      <c r="E435" s="34"/>
      <c r="F435" s="34"/>
    </row>
    <row r="436" spans="1:6" x14ac:dyDescent="0.3">
      <c r="A436" s="32">
        <v>435</v>
      </c>
      <c r="B436" s="32"/>
      <c r="C436" s="32" t="b">
        <f>_xlfn.XLOOKUP(Table6101112131415[[#This Row],[Category No]],Table8[Category No],Table8[Chapter List],FALSE)</f>
        <v>0</v>
      </c>
      <c r="D436" s="34"/>
      <c r="E436" s="34"/>
      <c r="F436" s="34"/>
    </row>
    <row r="437" spans="1:6" x14ac:dyDescent="0.3">
      <c r="A437" s="32">
        <v>436</v>
      </c>
      <c r="B437" s="32"/>
      <c r="C437" s="32" t="b">
        <f>_xlfn.XLOOKUP(Table6101112131415[[#This Row],[Category No]],Table8[Category No],Table8[Chapter List],FALSE)</f>
        <v>0</v>
      </c>
      <c r="D437" s="34"/>
      <c r="E437" s="34"/>
      <c r="F437" s="34"/>
    </row>
    <row r="438" spans="1:6" x14ac:dyDescent="0.3">
      <c r="A438" s="32">
        <v>437</v>
      </c>
      <c r="B438" s="32"/>
      <c r="C438" s="32" t="b">
        <f>_xlfn.XLOOKUP(Table6101112131415[[#This Row],[Category No]],Table8[Category No],Table8[Chapter List],FALSE)</f>
        <v>0</v>
      </c>
      <c r="D438" s="34"/>
      <c r="E438" s="34"/>
      <c r="F438" s="34"/>
    </row>
    <row r="439" spans="1:6" x14ac:dyDescent="0.3">
      <c r="A439" s="32">
        <v>438</v>
      </c>
      <c r="B439" s="32"/>
      <c r="C439" s="32" t="b">
        <f>_xlfn.XLOOKUP(Table6101112131415[[#This Row],[Category No]],Table8[Category No],Table8[Chapter List],FALSE)</f>
        <v>0</v>
      </c>
      <c r="D439" s="34"/>
      <c r="E439" s="34"/>
      <c r="F439" s="34"/>
    </row>
    <row r="440" spans="1:6" x14ac:dyDescent="0.3">
      <c r="A440" s="32">
        <v>439</v>
      </c>
      <c r="B440" s="32"/>
      <c r="C440" s="32" t="b">
        <f>_xlfn.XLOOKUP(Table6101112131415[[#This Row],[Category No]],Table8[Category No],Table8[Chapter List],FALSE)</f>
        <v>0</v>
      </c>
      <c r="D440" s="34"/>
      <c r="E440" s="34"/>
      <c r="F440" s="34"/>
    </row>
    <row r="441" spans="1:6" x14ac:dyDescent="0.3">
      <c r="A441" s="32">
        <v>440</v>
      </c>
      <c r="B441" s="32"/>
      <c r="C441" s="32" t="b">
        <f>_xlfn.XLOOKUP(Table6101112131415[[#This Row],[Category No]],Table8[Category No],Table8[Chapter List],FALSE)</f>
        <v>0</v>
      </c>
      <c r="D441" s="34"/>
      <c r="E441" s="34"/>
      <c r="F441" s="34"/>
    </row>
    <row r="442" spans="1:6" x14ac:dyDescent="0.3">
      <c r="A442" s="32">
        <v>441</v>
      </c>
      <c r="B442" s="32"/>
      <c r="C442" s="32" t="b">
        <f>_xlfn.XLOOKUP(Table6101112131415[[#This Row],[Category No]],Table8[Category No],Table8[Chapter List],FALSE)</f>
        <v>0</v>
      </c>
      <c r="D442" s="34"/>
      <c r="E442" s="34"/>
      <c r="F442" s="34"/>
    </row>
    <row r="443" spans="1:6" x14ac:dyDescent="0.3">
      <c r="A443" s="32">
        <v>442</v>
      </c>
      <c r="B443" s="32"/>
      <c r="C443" s="32" t="b">
        <f>_xlfn.XLOOKUP(Table6101112131415[[#This Row],[Category No]],Table8[Category No],Table8[Chapter List],FALSE)</f>
        <v>0</v>
      </c>
      <c r="D443" s="34"/>
      <c r="E443" s="34"/>
      <c r="F443" s="34"/>
    </row>
    <row r="444" spans="1:6" x14ac:dyDescent="0.3">
      <c r="A444" s="32">
        <v>443</v>
      </c>
      <c r="B444" s="32"/>
      <c r="C444" s="32" t="b">
        <f>_xlfn.XLOOKUP(Table6101112131415[[#This Row],[Category No]],Table8[Category No],Table8[Chapter List],FALSE)</f>
        <v>0</v>
      </c>
      <c r="D444" s="34"/>
      <c r="E444" s="34"/>
      <c r="F444" s="34"/>
    </row>
    <row r="445" spans="1:6" x14ac:dyDescent="0.3">
      <c r="A445" s="32">
        <v>444</v>
      </c>
      <c r="B445" s="32"/>
      <c r="C445" s="32" t="b">
        <f>_xlfn.XLOOKUP(Table6101112131415[[#This Row],[Category No]],Table8[Category No],Table8[Chapter List],FALSE)</f>
        <v>0</v>
      </c>
      <c r="D445" s="34"/>
      <c r="E445" s="34"/>
      <c r="F445" s="34"/>
    </row>
    <row r="446" spans="1:6" x14ac:dyDescent="0.3">
      <c r="A446" s="32">
        <v>445</v>
      </c>
      <c r="B446" s="32"/>
      <c r="C446" s="32" t="b">
        <f>_xlfn.XLOOKUP(Table6101112131415[[#This Row],[Category No]],Table8[Category No],Table8[Chapter List],FALSE)</f>
        <v>0</v>
      </c>
      <c r="D446" s="34"/>
      <c r="E446" s="34"/>
      <c r="F446" s="34"/>
    </row>
    <row r="447" spans="1:6" x14ac:dyDescent="0.3">
      <c r="A447" s="32">
        <v>446</v>
      </c>
      <c r="B447" s="32"/>
      <c r="C447" s="32" t="b">
        <f>_xlfn.XLOOKUP(Table6101112131415[[#This Row],[Category No]],Table8[Category No],Table8[Chapter List],FALSE)</f>
        <v>0</v>
      </c>
      <c r="D447" s="34"/>
      <c r="E447" s="34"/>
      <c r="F447" s="34"/>
    </row>
    <row r="448" spans="1:6" x14ac:dyDescent="0.3">
      <c r="A448" s="32">
        <v>447</v>
      </c>
      <c r="B448" s="32"/>
      <c r="C448" s="32" t="b">
        <f>_xlfn.XLOOKUP(Table6101112131415[[#This Row],[Category No]],Table8[Category No],Table8[Chapter List],FALSE)</f>
        <v>0</v>
      </c>
      <c r="D448" s="34"/>
      <c r="E448" s="34"/>
      <c r="F448" s="34"/>
    </row>
    <row r="449" spans="1:6" x14ac:dyDescent="0.3">
      <c r="A449" s="32">
        <v>448</v>
      </c>
      <c r="B449" s="32"/>
      <c r="C449" s="32" t="b">
        <f>_xlfn.XLOOKUP(Table6101112131415[[#This Row],[Category No]],Table8[Category No],Table8[Chapter List],FALSE)</f>
        <v>0</v>
      </c>
      <c r="D449" s="34"/>
      <c r="E449" s="34"/>
      <c r="F449" s="34"/>
    </row>
    <row r="450" spans="1:6" x14ac:dyDescent="0.3">
      <c r="A450" s="32">
        <v>449</v>
      </c>
      <c r="B450" s="32"/>
      <c r="C450" s="32" t="b">
        <f>_xlfn.XLOOKUP(Table6101112131415[[#This Row],[Category No]],Table8[Category No],Table8[Chapter List],FALSE)</f>
        <v>0</v>
      </c>
      <c r="D450" s="34"/>
      <c r="E450" s="34"/>
      <c r="F450" s="34"/>
    </row>
    <row r="451" spans="1:6" x14ac:dyDescent="0.3">
      <c r="A451" s="32">
        <v>450</v>
      </c>
      <c r="B451" s="32"/>
      <c r="C451" s="32" t="b">
        <f>_xlfn.XLOOKUP(Table6101112131415[[#This Row],[Category No]],Table8[Category No],Table8[Chapter List],FALSE)</f>
        <v>0</v>
      </c>
      <c r="D451" s="34"/>
      <c r="E451" s="34"/>
      <c r="F451" s="34"/>
    </row>
    <row r="452" spans="1:6" x14ac:dyDescent="0.3">
      <c r="A452" s="32">
        <v>451</v>
      </c>
      <c r="B452" s="32"/>
      <c r="C452" s="32" t="b">
        <f>_xlfn.XLOOKUP(Table6101112131415[[#This Row],[Category No]],Table8[Category No],Table8[Chapter List],FALSE)</f>
        <v>0</v>
      </c>
      <c r="D452" s="34"/>
      <c r="E452" s="34"/>
      <c r="F452" s="34"/>
    </row>
    <row r="453" spans="1:6" x14ac:dyDescent="0.3">
      <c r="A453" s="32">
        <v>452</v>
      </c>
      <c r="B453" s="32"/>
      <c r="C453" s="32" t="b">
        <f>_xlfn.XLOOKUP(Table6101112131415[[#This Row],[Category No]],Table8[Category No],Table8[Chapter List],FALSE)</f>
        <v>0</v>
      </c>
      <c r="D453" s="34"/>
      <c r="E453" s="34"/>
      <c r="F453" s="34"/>
    </row>
    <row r="454" spans="1:6" x14ac:dyDescent="0.3">
      <c r="A454" s="32">
        <v>453</v>
      </c>
      <c r="B454" s="32"/>
      <c r="C454" s="32" t="b">
        <f>_xlfn.XLOOKUP(Table6101112131415[[#This Row],[Category No]],Table8[Category No],Table8[Chapter List],FALSE)</f>
        <v>0</v>
      </c>
      <c r="D454" s="34"/>
      <c r="E454" s="34"/>
      <c r="F454" s="34"/>
    </row>
    <row r="455" spans="1:6" x14ac:dyDescent="0.3">
      <c r="A455" s="32">
        <v>454</v>
      </c>
      <c r="B455" s="32"/>
      <c r="C455" s="32" t="b">
        <f>_xlfn.XLOOKUP(Table6101112131415[[#This Row],[Category No]],Table8[Category No],Table8[Chapter List],FALSE)</f>
        <v>0</v>
      </c>
      <c r="D455" s="34"/>
      <c r="E455" s="34"/>
      <c r="F455" s="34"/>
    </row>
    <row r="456" spans="1:6" x14ac:dyDescent="0.3">
      <c r="A456" s="32">
        <v>455</v>
      </c>
      <c r="B456" s="32"/>
      <c r="C456" s="32" t="b">
        <f>_xlfn.XLOOKUP(Table6101112131415[[#This Row],[Category No]],Table8[Category No],Table8[Chapter List],FALSE)</f>
        <v>0</v>
      </c>
      <c r="D456" s="34"/>
      <c r="E456" s="34"/>
      <c r="F456" s="34"/>
    </row>
    <row r="457" spans="1:6" x14ac:dyDescent="0.3">
      <c r="A457" s="32">
        <v>456</v>
      </c>
      <c r="B457" s="32"/>
      <c r="C457" s="32" t="b">
        <f>_xlfn.XLOOKUP(Table6101112131415[[#This Row],[Category No]],Table8[Category No],Table8[Chapter List],FALSE)</f>
        <v>0</v>
      </c>
      <c r="D457" s="34"/>
      <c r="E457" s="34"/>
      <c r="F457" s="34"/>
    </row>
    <row r="458" spans="1:6" x14ac:dyDescent="0.3">
      <c r="A458" s="32">
        <v>457</v>
      </c>
      <c r="B458" s="32"/>
      <c r="C458" s="32" t="b">
        <f>_xlfn.XLOOKUP(Table6101112131415[[#This Row],[Category No]],Table8[Category No],Table8[Chapter List],FALSE)</f>
        <v>0</v>
      </c>
      <c r="D458" s="34"/>
      <c r="E458" s="34"/>
      <c r="F458" s="34"/>
    </row>
    <row r="459" spans="1:6" x14ac:dyDescent="0.3">
      <c r="A459" s="32">
        <v>458</v>
      </c>
      <c r="B459" s="32"/>
      <c r="C459" s="32" t="b">
        <f>_xlfn.XLOOKUP(Table6101112131415[[#This Row],[Category No]],Table8[Category No],Table8[Chapter List],FALSE)</f>
        <v>0</v>
      </c>
      <c r="D459" s="34"/>
      <c r="E459" s="34"/>
      <c r="F459" s="34"/>
    </row>
    <row r="460" spans="1:6" x14ac:dyDescent="0.3">
      <c r="A460" s="32">
        <v>459</v>
      </c>
      <c r="B460" s="32"/>
      <c r="C460" s="32" t="b">
        <f>_xlfn.XLOOKUP(Table6101112131415[[#This Row],[Category No]],Table8[Category No],Table8[Chapter List],FALSE)</f>
        <v>0</v>
      </c>
      <c r="D460" s="34"/>
      <c r="E460" s="34"/>
      <c r="F460" s="34"/>
    </row>
    <row r="461" spans="1:6" x14ac:dyDescent="0.3">
      <c r="A461" s="32">
        <v>460</v>
      </c>
      <c r="B461" s="32"/>
      <c r="C461" s="32" t="b">
        <f>_xlfn.XLOOKUP(Table6101112131415[[#This Row],[Category No]],Table8[Category No],Table8[Chapter List],FALSE)</f>
        <v>0</v>
      </c>
      <c r="D461" s="34"/>
      <c r="E461" s="34"/>
      <c r="F461" s="34"/>
    </row>
    <row r="462" spans="1:6" x14ac:dyDescent="0.3">
      <c r="A462" s="32">
        <v>461</v>
      </c>
      <c r="B462" s="32"/>
      <c r="C462" s="32" t="b">
        <f>_xlfn.XLOOKUP(Table6101112131415[[#This Row],[Category No]],Table8[Category No],Table8[Chapter List],FALSE)</f>
        <v>0</v>
      </c>
      <c r="D462" s="34"/>
      <c r="E462" s="34"/>
      <c r="F462" s="34"/>
    </row>
    <row r="463" spans="1:6" x14ac:dyDescent="0.3">
      <c r="A463" s="32">
        <v>462</v>
      </c>
      <c r="B463" s="32"/>
      <c r="C463" s="32" t="b">
        <f>_xlfn.XLOOKUP(Table6101112131415[[#This Row],[Category No]],Table8[Category No],Table8[Chapter List],FALSE)</f>
        <v>0</v>
      </c>
      <c r="D463" s="34"/>
      <c r="E463" s="34"/>
      <c r="F463" s="34"/>
    </row>
    <row r="464" spans="1:6" x14ac:dyDescent="0.3">
      <c r="A464" s="32">
        <v>463</v>
      </c>
      <c r="B464" s="32"/>
      <c r="C464" s="32" t="b">
        <f>_xlfn.XLOOKUP(Table6101112131415[[#This Row],[Category No]],Table8[Category No],Table8[Chapter List],FALSE)</f>
        <v>0</v>
      </c>
      <c r="D464" s="34"/>
      <c r="E464" s="34"/>
      <c r="F464" s="34"/>
    </row>
    <row r="465" spans="1:6" x14ac:dyDescent="0.3">
      <c r="A465" s="32">
        <v>464</v>
      </c>
      <c r="B465" s="32"/>
      <c r="C465" s="32" t="b">
        <f>_xlfn.XLOOKUP(Table6101112131415[[#This Row],[Category No]],Table8[Category No],Table8[Chapter List],FALSE)</f>
        <v>0</v>
      </c>
      <c r="D465" s="34"/>
      <c r="E465" s="34"/>
      <c r="F465" s="34"/>
    </row>
    <row r="466" spans="1:6" x14ac:dyDescent="0.3">
      <c r="A466" s="32">
        <v>465</v>
      </c>
      <c r="B466" s="32"/>
      <c r="C466" s="32" t="b">
        <f>_xlfn.XLOOKUP(Table6101112131415[[#This Row],[Category No]],Table8[Category No],Table8[Chapter List],FALSE)</f>
        <v>0</v>
      </c>
      <c r="D466" s="34"/>
      <c r="E466" s="34"/>
      <c r="F466" s="34"/>
    </row>
    <row r="467" spans="1:6" x14ac:dyDescent="0.3">
      <c r="A467" s="32">
        <v>466</v>
      </c>
      <c r="B467" s="32"/>
      <c r="C467" s="32" t="b">
        <f>_xlfn.XLOOKUP(Table6101112131415[[#This Row],[Category No]],Table8[Category No],Table8[Chapter List],FALSE)</f>
        <v>0</v>
      </c>
      <c r="D467" s="34"/>
      <c r="E467" s="34"/>
      <c r="F467" s="34"/>
    </row>
    <row r="468" spans="1:6" x14ac:dyDescent="0.3">
      <c r="A468" s="32">
        <v>467</v>
      </c>
      <c r="B468" s="32"/>
      <c r="C468" s="32" t="b">
        <f>_xlfn.XLOOKUP(Table6101112131415[[#This Row],[Category No]],Table8[Category No],Table8[Chapter List],FALSE)</f>
        <v>0</v>
      </c>
      <c r="D468" s="34"/>
      <c r="E468" s="34"/>
      <c r="F468" s="34"/>
    </row>
    <row r="469" spans="1:6" x14ac:dyDescent="0.3">
      <c r="A469" s="32">
        <v>468</v>
      </c>
      <c r="B469" s="32"/>
      <c r="C469" s="32" t="b">
        <f>_xlfn.XLOOKUP(Table6101112131415[[#This Row],[Category No]],Table8[Category No],Table8[Chapter List],FALSE)</f>
        <v>0</v>
      </c>
      <c r="D469" s="34"/>
      <c r="E469" s="34"/>
      <c r="F469" s="34"/>
    </row>
    <row r="470" spans="1:6" x14ac:dyDescent="0.3">
      <c r="A470" s="32">
        <v>469</v>
      </c>
      <c r="B470" s="32"/>
      <c r="C470" s="32" t="b">
        <f>_xlfn.XLOOKUP(Table6101112131415[[#This Row],[Category No]],Table8[Category No],Table8[Chapter List],FALSE)</f>
        <v>0</v>
      </c>
      <c r="D470" s="34"/>
      <c r="E470" s="34"/>
      <c r="F470" s="34"/>
    </row>
    <row r="471" spans="1:6" x14ac:dyDescent="0.3">
      <c r="A471" s="32">
        <v>470</v>
      </c>
      <c r="B471" s="32"/>
      <c r="C471" s="32" t="b">
        <f>_xlfn.XLOOKUP(Table6101112131415[[#This Row],[Category No]],Table8[Category No],Table8[Chapter List],FALSE)</f>
        <v>0</v>
      </c>
      <c r="D471" s="34"/>
      <c r="E471" s="34"/>
      <c r="F471" s="34"/>
    </row>
    <row r="472" spans="1:6" x14ac:dyDescent="0.3">
      <c r="A472" s="32">
        <v>471</v>
      </c>
      <c r="B472" s="32"/>
      <c r="C472" s="32" t="b">
        <f>_xlfn.XLOOKUP(Table6101112131415[[#This Row],[Category No]],Table8[Category No],Table8[Chapter List],FALSE)</f>
        <v>0</v>
      </c>
      <c r="D472" s="34"/>
      <c r="E472" s="34"/>
      <c r="F472" s="34"/>
    </row>
    <row r="473" spans="1:6" x14ac:dyDescent="0.3">
      <c r="A473" s="32">
        <v>472</v>
      </c>
      <c r="B473" s="32"/>
      <c r="C473" s="32" t="b">
        <f>_xlfn.XLOOKUP(Table6101112131415[[#This Row],[Category No]],Table8[Category No],Table8[Chapter List],FALSE)</f>
        <v>0</v>
      </c>
      <c r="D473" s="34"/>
      <c r="E473" s="34"/>
      <c r="F473" s="34"/>
    </row>
    <row r="474" spans="1:6" x14ac:dyDescent="0.3">
      <c r="A474" s="32">
        <v>473</v>
      </c>
      <c r="B474" s="32"/>
      <c r="C474" s="32" t="b">
        <f>_xlfn.XLOOKUP(Table6101112131415[[#This Row],[Category No]],Table8[Category No],Table8[Chapter List],FALSE)</f>
        <v>0</v>
      </c>
      <c r="D474" s="34"/>
      <c r="E474" s="34"/>
      <c r="F474" s="34"/>
    </row>
    <row r="475" spans="1:6" x14ac:dyDescent="0.3">
      <c r="A475" s="32">
        <v>474</v>
      </c>
      <c r="B475" s="32"/>
      <c r="C475" s="32" t="b">
        <f>_xlfn.XLOOKUP(Table6101112131415[[#This Row],[Category No]],Table8[Category No],Table8[Chapter List],FALSE)</f>
        <v>0</v>
      </c>
      <c r="D475" s="34"/>
      <c r="E475" s="34"/>
      <c r="F475" s="34"/>
    </row>
    <row r="476" spans="1:6" x14ac:dyDescent="0.3">
      <c r="A476" s="32">
        <v>475</v>
      </c>
      <c r="B476" s="32"/>
      <c r="C476" s="32" t="b">
        <f>_xlfn.XLOOKUP(Table6101112131415[[#This Row],[Category No]],Table8[Category No],Table8[Chapter List],FALSE)</f>
        <v>0</v>
      </c>
      <c r="D476" s="34"/>
      <c r="E476" s="34"/>
      <c r="F476" s="34"/>
    </row>
    <row r="477" spans="1:6" x14ac:dyDescent="0.3">
      <c r="A477" s="32">
        <v>476</v>
      </c>
      <c r="B477" s="32"/>
      <c r="C477" s="32" t="b">
        <f>_xlfn.XLOOKUP(Table6101112131415[[#This Row],[Category No]],Table8[Category No],Table8[Chapter List],FALSE)</f>
        <v>0</v>
      </c>
      <c r="D477" s="34"/>
      <c r="E477" s="34"/>
      <c r="F477" s="34"/>
    </row>
    <row r="478" spans="1:6" x14ac:dyDescent="0.3">
      <c r="A478" s="32">
        <v>477</v>
      </c>
      <c r="B478" s="32"/>
      <c r="C478" s="32" t="b">
        <f>_xlfn.XLOOKUP(Table6101112131415[[#This Row],[Category No]],Table8[Category No],Table8[Chapter List],FALSE)</f>
        <v>0</v>
      </c>
      <c r="D478" s="34"/>
      <c r="E478" s="34"/>
      <c r="F478" s="34"/>
    </row>
    <row r="479" spans="1:6" x14ac:dyDescent="0.3">
      <c r="A479" s="32">
        <v>478</v>
      </c>
      <c r="B479" s="32"/>
      <c r="C479" s="32" t="b">
        <f>_xlfn.XLOOKUP(Table6101112131415[[#This Row],[Category No]],Table8[Category No],Table8[Chapter List],FALSE)</f>
        <v>0</v>
      </c>
      <c r="D479" s="34"/>
      <c r="E479" s="34"/>
      <c r="F479" s="34"/>
    </row>
    <row r="480" spans="1:6" x14ac:dyDescent="0.3">
      <c r="A480" s="32">
        <v>479</v>
      </c>
      <c r="B480" s="32"/>
      <c r="C480" s="32" t="b">
        <f>_xlfn.XLOOKUP(Table6101112131415[[#This Row],[Category No]],Table8[Category No],Table8[Chapter List],FALSE)</f>
        <v>0</v>
      </c>
      <c r="D480" s="34"/>
      <c r="E480" s="34"/>
      <c r="F480" s="34"/>
    </row>
    <row r="481" spans="1:6" x14ac:dyDescent="0.3">
      <c r="A481" s="32">
        <v>480</v>
      </c>
      <c r="B481" s="32"/>
      <c r="C481" s="32" t="b">
        <f>_xlfn.XLOOKUP(Table6101112131415[[#This Row],[Category No]],Table8[Category No],Table8[Chapter List],FALSE)</f>
        <v>0</v>
      </c>
      <c r="D481" s="34"/>
      <c r="E481" s="34"/>
      <c r="F481" s="34"/>
    </row>
    <row r="482" spans="1:6" x14ac:dyDescent="0.3">
      <c r="A482" s="32">
        <v>481</v>
      </c>
      <c r="B482" s="32"/>
      <c r="C482" s="32" t="b">
        <f>_xlfn.XLOOKUP(Table6101112131415[[#This Row],[Category No]],Table8[Category No],Table8[Chapter List],FALSE)</f>
        <v>0</v>
      </c>
      <c r="D482" s="34"/>
      <c r="E482" s="34"/>
      <c r="F482" s="34"/>
    </row>
    <row r="483" spans="1:6" x14ac:dyDescent="0.3">
      <c r="A483" s="32">
        <v>482</v>
      </c>
      <c r="B483" s="32"/>
      <c r="C483" s="32" t="b">
        <f>_xlfn.XLOOKUP(Table6101112131415[[#This Row],[Category No]],Table8[Category No],Table8[Chapter List],FALSE)</f>
        <v>0</v>
      </c>
      <c r="D483" s="34"/>
      <c r="E483" s="34"/>
      <c r="F483" s="34"/>
    </row>
    <row r="484" spans="1:6" x14ac:dyDescent="0.3">
      <c r="A484" s="32">
        <v>483</v>
      </c>
      <c r="B484" s="32"/>
      <c r="C484" s="32" t="b">
        <f>_xlfn.XLOOKUP(Table6101112131415[[#This Row],[Category No]],Table8[Category No],Table8[Chapter List],FALSE)</f>
        <v>0</v>
      </c>
      <c r="D484" s="34"/>
      <c r="E484" s="34"/>
      <c r="F484" s="34"/>
    </row>
    <row r="485" spans="1:6" x14ac:dyDescent="0.3">
      <c r="A485" s="32">
        <v>484</v>
      </c>
      <c r="B485" s="32"/>
      <c r="C485" s="32" t="b">
        <f>_xlfn.XLOOKUP(Table6101112131415[[#This Row],[Category No]],Table8[Category No],Table8[Chapter List],FALSE)</f>
        <v>0</v>
      </c>
      <c r="D485" s="34"/>
      <c r="E485" s="34"/>
      <c r="F485" s="34"/>
    </row>
    <row r="486" spans="1:6" x14ac:dyDescent="0.3">
      <c r="A486" s="32">
        <v>485</v>
      </c>
      <c r="B486" s="32"/>
      <c r="C486" s="32" t="b">
        <f>_xlfn.XLOOKUP(Table6101112131415[[#This Row],[Category No]],Table8[Category No],Table8[Chapter List],FALSE)</f>
        <v>0</v>
      </c>
      <c r="D486" s="34"/>
      <c r="E486" s="34"/>
      <c r="F486" s="34"/>
    </row>
    <row r="487" spans="1:6" x14ac:dyDescent="0.3">
      <c r="A487" s="32">
        <v>486</v>
      </c>
      <c r="B487" s="32"/>
      <c r="C487" s="32" t="b">
        <f>_xlfn.XLOOKUP(Table6101112131415[[#This Row],[Category No]],Table8[Category No],Table8[Chapter List],FALSE)</f>
        <v>0</v>
      </c>
      <c r="D487" s="34"/>
      <c r="E487" s="34"/>
      <c r="F487" s="34"/>
    </row>
    <row r="488" spans="1:6" x14ac:dyDescent="0.3">
      <c r="A488" s="32">
        <v>487</v>
      </c>
      <c r="B488" s="32"/>
      <c r="C488" s="32" t="b">
        <f>_xlfn.XLOOKUP(Table6101112131415[[#This Row],[Category No]],Table8[Category No],Table8[Chapter List],FALSE)</f>
        <v>0</v>
      </c>
      <c r="D488" s="34"/>
      <c r="E488" s="34"/>
      <c r="F488" s="34"/>
    </row>
    <row r="489" spans="1:6" x14ac:dyDescent="0.3">
      <c r="A489" s="32">
        <v>488</v>
      </c>
      <c r="B489" s="32"/>
      <c r="C489" s="32" t="b">
        <f>_xlfn.XLOOKUP(Table6101112131415[[#This Row],[Category No]],Table8[Category No],Table8[Chapter List],FALSE)</f>
        <v>0</v>
      </c>
      <c r="D489" s="34"/>
      <c r="E489" s="34"/>
      <c r="F489" s="34"/>
    </row>
    <row r="490" spans="1:6" x14ac:dyDescent="0.3">
      <c r="A490" s="32">
        <v>489</v>
      </c>
      <c r="B490" s="32"/>
      <c r="C490" s="32" t="b">
        <f>_xlfn.XLOOKUP(Table6101112131415[[#This Row],[Category No]],Table8[Category No],Table8[Chapter List],FALSE)</f>
        <v>0</v>
      </c>
      <c r="D490" s="34"/>
      <c r="E490" s="34"/>
      <c r="F490" s="34"/>
    </row>
    <row r="491" spans="1:6" x14ac:dyDescent="0.3">
      <c r="A491" s="32">
        <v>490</v>
      </c>
      <c r="B491" s="32"/>
      <c r="C491" s="32" t="b">
        <f>_xlfn.XLOOKUP(Table6101112131415[[#This Row],[Category No]],Table8[Category No],Table8[Chapter List],FALSE)</f>
        <v>0</v>
      </c>
      <c r="D491" s="34"/>
      <c r="E491" s="34"/>
      <c r="F491" s="34"/>
    </row>
    <row r="492" spans="1:6" x14ac:dyDescent="0.3">
      <c r="A492" s="32">
        <v>491</v>
      </c>
      <c r="B492" s="32"/>
      <c r="C492" s="32" t="b">
        <f>_xlfn.XLOOKUP(Table6101112131415[[#This Row],[Category No]],Table8[Category No],Table8[Chapter List],FALSE)</f>
        <v>0</v>
      </c>
      <c r="D492" s="34"/>
      <c r="E492" s="34"/>
      <c r="F492" s="34"/>
    </row>
    <row r="493" spans="1:6" x14ac:dyDescent="0.3">
      <c r="A493" s="32">
        <v>492</v>
      </c>
      <c r="B493" s="32"/>
      <c r="C493" s="32" t="b">
        <f>_xlfn.XLOOKUP(Table6101112131415[[#This Row],[Category No]],Table8[Category No],Table8[Chapter List],FALSE)</f>
        <v>0</v>
      </c>
      <c r="D493" s="34"/>
      <c r="E493" s="34"/>
      <c r="F493" s="34"/>
    </row>
    <row r="494" spans="1:6" x14ac:dyDescent="0.3">
      <c r="A494" s="32">
        <v>493</v>
      </c>
      <c r="B494" s="32"/>
      <c r="C494" s="32" t="b">
        <f>_xlfn.XLOOKUP(Table6101112131415[[#This Row],[Category No]],Table8[Category No],Table8[Chapter List],FALSE)</f>
        <v>0</v>
      </c>
      <c r="D494" s="34"/>
      <c r="E494" s="34"/>
      <c r="F494" s="34"/>
    </row>
    <row r="495" spans="1:6" x14ac:dyDescent="0.3">
      <c r="A495" s="32">
        <v>494</v>
      </c>
      <c r="B495" s="32"/>
      <c r="C495" s="32" t="b">
        <f>_xlfn.XLOOKUP(Table6101112131415[[#This Row],[Category No]],Table8[Category No],Table8[Chapter List],FALSE)</f>
        <v>0</v>
      </c>
      <c r="D495" s="34"/>
      <c r="E495" s="34"/>
      <c r="F495" s="34"/>
    </row>
    <row r="496" spans="1:6" x14ac:dyDescent="0.3">
      <c r="A496" s="32">
        <v>495</v>
      </c>
      <c r="B496" s="32"/>
      <c r="C496" s="32" t="b">
        <f>_xlfn.XLOOKUP(Table6101112131415[[#This Row],[Category No]],Table8[Category No],Table8[Chapter List],FALSE)</f>
        <v>0</v>
      </c>
      <c r="D496" s="34"/>
      <c r="E496" s="34"/>
      <c r="F496" s="34"/>
    </row>
    <row r="497" spans="1:6" x14ac:dyDescent="0.3">
      <c r="A497" s="32">
        <v>496</v>
      </c>
      <c r="B497" s="32"/>
      <c r="C497" s="32" t="b">
        <f>_xlfn.XLOOKUP(Table6101112131415[[#This Row],[Category No]],Table8[Category No],Table8[Chapter List],FALSE)</f>
        <v>0</v>
      </c>
      <c r="D497" s="34"/>
      <c r="E497" s="34"/>
      <c r="F497" s="34"/>
    </row>
    <row r="498" spans="1:6" x14ac:dyDescent="0.3">
      <c r="A498" s="32">
        <v>497</v>
      </c>
      <c r="B498" s="32"/>
      <c r="C498" s="32" t="b">
        <f>_xlfn.XLOOKUP(Table6101112131415[[#This Row],[Category No]],Table8[Category No],Table8[Chapter List],FALSE)</f>
        <v>0</v>
      </c>
      <c r="D498" s="34"/>
      <c r="E498" s="34"/>
      <c r="F498" s="34"/>
    </row>
    <row r="499" spans="1:6" x14ac:dyDescent="0.3">
      <c r="A499" s="32">
        <v>498</v>
      </c>
      <c r="B499" s="32"/>
      <c r="C499" s="32" t="b">
        <f>_xlfn.XLOOKUP(Table6101112131415[[#This Row],[Category No]],Table8[Category No],Table8[Chapter List],FALSE)</f>
        <v>0</v>
      </c>
      <c r="D499" s="34"/>
      <c r="E499" s="34"/>
      <c r="F499" s="34"/>
    </row>
    <row r="500" spans="1:6" x14ac:dyDescent="0.3">
      <c r="A500" s="32">
        <v>499</v>
      </c>
      <c r="B500" s="32"/>
      <c r="C500" s="32" t="b">
        <f>_xlfn.XLOOKUP(Table6101112131415[[#This Row],[Category No]],Table8[Category No],Table8[Chapter List],FALSE)</f>
        <v>0</v>
      </c>
      <c r="D500" s="34"/>
      <c r="E500" s="34"/>
      <c r="F500" s="34"/>
    </row>
    <row r="501" spans="1:6" x14ac:dyDescent="0.3">
      <c r="A501" s="32">
        <v>500</v>
      </c>
      <c r="B501" s="32"/>
      <c r="C501" s="32" t="b">
        <f>_xlfn.XLOOKUP(Table6101112131415[[#This Row],[Category No]],Table8[Category No],Table8[Chapter List],FALSE)</f>
        <v>0</v>
      </c>
      <c r="D501" s="34"/>
      <c r="E501" s="34"/>
      <c r="F501" s="34"/>
    </row>
    <row r="502" spans="1:6" x14ac:dyDescent="0.3">
      <c r="A502" s="32">
        <v>501</v>
      </c>
      <c r="B502" s="32"/>
      <c r="C502" s="32" t="b">
        <f>_xlfn.XLOOKUP(Table6101112131415[[#This Row],[Category No]],Table8[Category No],Table8[Chapter List],FALSE)</f>
        <v>0</v>
      </c>
      <c r="D502" s="34"/>
      <c r="E502" s="34"/>
      <c r="F502" s="34"/>
    </row>
    <row r="503" spans="1:6" x14ac:dyDescent="0.3">
      <c r="A503" s="32">
        <v>502</v>
      </c>
      <c r="B503" s="32"/>
      <c r="C503" s="32" t="b">
        <f>_xlfn.XLOOKUP(Table6101112131415[[#This Row],[Category No]],Table8[Category No],Table8[Chapter List],FALSE)</f>
        <v>0</v>
      </c>
      <c r="D503" s="34"/>
      <c r="E503" s="34"/>
      <c r="F503" s="34"/>
    </row>
    <row r="504" spans="1:6" x14ac:dyDescent="0.3">
      <c r="A504" s="32">
        <v>503</v>
      </c>
      <c r="B504" s="32"/>
      <c r="C504" s="32" t="b">
        <f>_xlfn.XLOOKUP(Table6101112131415[[#This Row],[Category No]],Table8[Category No],Table8[Chapter List],FALSE)</f>
        <v>0</v>
      </c>
      <c r="D504" s="34"/>
      <c r="E504" s="34"/>
      <c r="F504" s="34"/>
    </row>
    <row r="505" spans="1:6" x14ac:dyDescent="0.3">
      <c r="A505" s="32">
        <v>504</v>
      </c>
      <c r="B505" s="32"/>
      <c r="C505" s="32" t="b">
        <f>_xlfn.XLOOKUP(Table6101112131415[[#This Row],[Category No]],Table8[Category No],Table8[Chapter List],FALSE)</f>
        <v>0</v>
      </c>
      <c r="D505" s="34"/>
      <c r="E505" s="34"/>
      <c r="F505" s="34"/>
    </row>
    <row r="506" spans="1:6" x14ac:dyDescent="0.3">
      <c r="A506" s="32">
        <v>505</v>
      </c>
      <c r="B506" s="32"/>
      <c r="C506" s="32" t="b">
        <f>_xlfn.XLOOKUP(Table6101112131415[[#This Row],[Category No]],Table8[Category No],Table8[Chapter List],FALSE)</f>
        <v>0</v>
      </c>
      <c r="D506" s="34"/>
      <c r="E506" s="34"/>
      <c r="F506" s="34"/>
    </row>
    <row r="507" spans="1:6" x14ac:dyDescent="0.3">
      <c r="A507" s="32">
        <v>506</v>
      </c>
      <c r="B507" s="32"/>
      <c r="C507" s="32" t="b">
        <f>_xlfn.XLOOKUP(Table6101112131415[[#This Row],[Category No]],Table8[Category No],Table8[Chapter List],FALSE)</f>
        <v>0</v>
      </c>
      <c r="D507" s="34"/>
      <c r="E507" s="34"/>
      <c r="F507" s="34"/>
    </row>
    <row r="508" spans="1:6" x14ac:dyDescent="0.3">
      <c r="A508" s="32">
        <v>507</v>
      </c>
      <c r="B508" s="32"/>
      <c r="C508" s="32" t="b">
        <f>_xlfn.XLOOKUP(Table6101112131415[[#This Row],[Category No]],Table8[Category No],Table8[Chapter List],FALSE)</f>
        <v>0</v>
      </c>
      <c r="D508" s="34"/>
      <c r="E508" s="34"/>
      <c r="F508" s="34"/>
    </row>
    <row r="509" spans="1:6" x14ac:dyDescent="0.3">
      <c r="A509" s="32">
        <v>508</v>
      </c>
      <c r="B509" s="32"/>
      <c r="C509" s="32" t="b">
        <f>_xlfn.XLOOKUP(Table6101112131415[[#This Row],[Category No]],Table8[Category No],Table8[Chapter List],FALSE)</f>
        <v>0</v>
      </c>
      <c r="D509" s="34"/>
      <c r="E509" s="34"/>
      <c r="F509" s="34"/>
    </row>
    <row r="510" spans="1:6" x14ac:dyDescent="0.3">
      <c r="A510" s="32">
        <v>509</v>
      </c>
      <c r="B510" s="32"/>
      <c r="C510" s="32" t="b">
        <f>_xlfn.XLOOKUP(Table6101112131415[[#This Row],[Category No]],Table8[Category No],Table8[Chapter List],FALSE)</f>
        <v>0</v>
      </c>
      <c r="D510" s="34"/>
      <c r="E510" s="34"/>
      <c r="F510" s="34"/>
    </row>
    <row r="511" spans="1:6" x14ac:dyDescent="0.3">
      <c r="A511" s="32">
        <v>510</v>
      </c>
      <c r="B511" s="32"/>
      <c r="C511" s="32" t="b">
        <f>_xlfn.XLOOKUP(Table6101112131415[[#This Row],[Category No]],Table8[Category No],Table8[Chapter List],FALSE)</f>
        <v>0</v>
      </c>
      <c r="D511" s="34"/>
      <c r="E511" s="34"/>
      <c r="F511" s="34"/>
    </row>
    <row r="512" spans="1:6" x14ac:dyDescent="0.3">
      <c r="A512" s="32">
        <v>511</v>
      </c>
      <c r="B512" s="32"/>
      <c r="C512" s="32" t="b">
        <f>_xlfn.XLOOKUP(Table6101112131415[[#This Row],[Category No]],Table8[Category No],Table8[Chapter List],FALSE)</f>
        <v>0</v>
      </c>
      <c r="D512" s="34"/>
      <c r="E512" s="34"/>
      <c r="F512" s="34"/>
    </row>
    <row r="513" spans="1:6" x14ac:dyDescent="0.3">
      <c r="A513" s="32">
        <v>512</v>
      </c>
      <c r="B513" s="32"/>
      <c r="C513" s="32" t="b">
        <f>_xlfn.XLOOKUP(Table6101112131415[[#This Row],[Category No]],Table8[Category No],Table8[Chapter List],FALSE)</f>
        <v>0</v>
      </c>
      <c r="D513" s="34"/>
      <c r="E513" s="34"/>
      <c r="F513" s="34"/>
    </row>
    <row r="514" spans="1:6" x14ac:dyDescent="0.3">
      <c r="A514" s="32">
        <v>513</v>
      </c>
      <c r="B514" s="32"/>
      <c r="C514" s="32" t="b">
        <f>_xlfn.XLOOKUP(Table6101112131415[[#This Row],[Category No]],Table8[Category No],Table8[Chapter List],FALSE)</f>
        <v>0</v>
      </c>
      <c r="D514" s="34"/>
      <c r="E514" s="34"/>
      <c r="F514" s="34"/>
    </row>
    <row r="515" spans="1:6" x14ac:dyDescent="0.3">
      <c r="A515" s="32">
        <v>514</v>
      </c>
      <c r="B515" s="32"/>
      <c r="C515" s="32" t="b">
        <f>_xlfn.XLOOKUP(Table6101112131415[[#This Row],[Category No]],Table8[Category No],Table8[Chapter List],FALSE)</f>
        <v>0</v>
      </c>
      <c r="D515" s="34"/>
      <c r="E515" s="34"/>
      <c r="F515" s="34"/>
    </row>
    <row r="516" spans="1:6" x14ac:dyDescent="0.3">
      <c r="A516" s="32">
        <v>515</v>
      </c>
      <c r="B516" s="32"/>
      <c r="C516" s="32" t="b">
        <f>_xlfn.XLOOKUP(Table6101112131415[[#This Row],[Category No]],Table8[Category No],Table8[Chapter List],FALSE)</f>
        <v>0</v>
      </c>
      <c r="D516" s="34"/>
      <c r="E516" s="34"/>
      <c r="F516" s="34"/>
    </row>
    <row r="517" spans="1:6" x14ac:dyDescent="0.3">
      <c r="A517" s="32">
        <v>516</v>
      </c>
      <c r="B517" s="32"/>
      <c r="C517" s="32" t="b">
        <f>_xlfn.XLOOKUP(Table6101112131415[[#This Row],[Category No]],Table8[Category No],Table8[Chapter List],FALSE)</f>
        <v>0</v>
      </c>
      <c r="D517" s="34"/>
      <c r="E517" s="34"/>
      <c r="F517" s="34"/>
    </row>
    <row r="518" spans="1:6" x14ac:dyDescent="0.3">
      <c r="A518" s="32">
        <v>517</v>
      </c>
      <c r="B518" s="32"/>
      <c r="C518" s="32" t="b">
        <f>_xlfn.XLOOKUP(Table6101112131415[[#This Row],[Category No]],Table8[Category No],Table8[Chapter List],FALSE)</f>
        <v>0</v>
      </c>
      <c r="D518" s="34"/>
      <c r="E518" s="34"/>
      <c r="F518" s="34"/>
    </row>
    <row r="519" spans="1:6" x14ac:dyDescent="0.3">
      <c r="A519" s="32">
        <v>518</v>
      </c>
      <c r="B519" s="32"/>
      <c r="C519" s="32" t="b">
        <f>_xlfn.XLOOKUP(Table6101112131415[[#This Row],[Category No]],Table8[Category No],Table8[Chapter List],FALSE)</f>
        <v>0</v>
      </c>
      <c r="D519" s="34"/>
      <c r="E519" s="34"/>
      <c r="F519" s="34"/>
    </row>
    <row r="520" spans="1:6" x14ac:dyDescent="0.3">
      <c r="A520" s="32">
        <v>519</v>
      </c>
      <c r="B520" s="32"/>
      <c r="C520" s="32" t="b">
        <f>_xlfn.XLOOKUP(Table6101112131415[[#This Row],[Category No]],Table8[Category No],Table8[Chapter List],FALSE)</f>
        <v>0</v>
      </c>
      <c r="D520" s="34"/>
      <c r="E520" s="34"/>
      <c r="F520" s="34"/>
    </row>
    <row r="521" spans="1:6" x14ac:dyDescent="0.3">
      <c r="A521" s="32">
        <v>520</v>
      </c>
      <c r="B521" s="32"/>
      <c r="C521" s="32" t="b">
        <f>_xlfn.XLOOKUP(Table6101112131415[[#This Row],[Category No]],Table8[Category No],Table8[Chapter List],FALSE)</f>
        <v>0</v>
      </c>
      <c r="D521" s="34"/>
      <c r="E521" s="34"/>
      <c r="F521" s="34"/>
    </row>
    <row r="522" spans="1:6" x14ac:dyDescent="0.3">
      <c r="A522" s="32">
        <v>521</v>
      </c>
      <c r="B522" s="32"/>
      <c r="C522" s="32" t="b">
        <f>_xlfn.XLOOKUP(Table6101112131415[[#This Row],[Category No]],Table8[Category No],Table8[Chapter List],FALSE)</f>
        <v>0</v>
      </c>
      <c r="D522" s="34"/>
      <c r="E522" s="34"/>
      <c r="F522" s="34"/>
    </row>
    <row r="523" spans="1:6" x14ac:dyDescent="0.3">
      <c r="A523" s="32">
        <v>522</v>
      </c>
      <c r="B523" s="32"/>
      <c r="C523" s="32" t="b">
        <f>_xlfn.XLOOKUP(Table6101112131415[[#This Row],[Category No]],Table8[Category No],Table8[Chapter List],FALSE)</f>
        <v>0</v>
      </c>
      <c r="D523" s="34"/>
      <c r="E523" s="34"/>
      <c r="F523" s="34"/>
    </row>
    <row r="524" spans="1:6" x14ac:dyDescent="0.3">
      <c r="A524" s="32">
        <v>523</v>
      </c>
      <c r="B524" s="32"/>
      <c r="C524" s="32" t="b">
        <f>_xlfn.XLOOKUP(Table6101112131415[[#This Row],[Category No]],Table8[Category No],Table8[Chapter List],FALSE)</f>
        <v>0</v>
      </c>
      <c r="D524" s="34"/>
      <c r="E524" s="34"/>
      <c r="F524" s="34"/>
    </row>
    <row r="525" spans="1:6" x14ac:dyDescent="0.3">
      <c r="A525" s="32">
        <v>524</v>
      </c>
      <c r="B525" s="32"/>
      <c r="C525" s="32" t="b">
        <f>_xlfn.XLOOKUP(Table6101112131415[[#This Row],[Category No]],Table8[Category No],Table8[Chapter List],FALSE)</f>
        <v>0</v>
      </c>
      <c r="D525" s="34"/>
      <c r="E525" s="34"/>
      <c r="F525" s="34"/>
    </row>
    <row r="526" spans="1:6" x14ac:dyDescent="0.3">
      <c r="A526" s="32">
        <v>525</v>
      </c>
      <c r="B526" s="32"/>
      <c r="C526" s="32" t="b">
        <f>_xlfn.XLOOKUP(Table6101112131415[[#This Row],[Category No]],Table8[Category No],Table8[Chapter List],FALSE)</f>
        <v>0</v>
      </c>
      <c r="D526" s="34"/>
      <c r="E526" s="34"/>
      <c r="F526" s="34"/>
    </row>
    <row r="527" spans="1:6" x14ac:dyDescent="0.3">
      <c r="A527" s="32">
        <v>526</v>
      </c>
      <c r="B527" s="32"/>
      <c r="C527" s="32" t="b">
        <f>_xlfn.XLOOKUP(Table6101112131415[[#This Row],[Category No]],Table8[Category No],Table8[Chapter List],FALSE)</f>
        <v>0</v>
      </c>
      <c r="D527" s="34"/>
      <c r="E527" s="34"/>
      <c r="F527" s="34"/>
    </row>
    <row r="528" spans="1:6" x14ac:dyDescent="0.3">
      <c r="A528" s="32">
        <v>527</v>
      </c>
      <c r="B528" s="32"/>
      <c r="C528" s="32" t="b">
        <f>_xlfn.XLOOKUP(Table6101112131415[[#This Row],[Category No]],Table8[Category No],Table8[Chapter List],FALSE)</f>
        <v>0</v>
      </c>
      <c r="D528" s="34"/>
      <c r="E528" s="34"/>
      <c r="F528" s="34"/>
    </row>
    <row r="529" spans="1:6" x14ac:dyDescent="0.3">
      <c r="A529" s="32">
        <v>528</v>
      </c>
      <c r="B529" s="32"/>
      <c r="C529" s="32" t="b">
        <f>_xlfn.XLOOKUP(Table6101112131415[[#This Row],[Category No]],Table8[Category No],Table8[Chapter List],FALSE)</f>
        <v>0</v>
      </c>
      <c r="D529" s="34"/>
      <c r="E529" s="34"/>
      <c r="F529" s="34"/>
    </row>
    <row r="530" spans="1:6" x14ac:dyDescent="0.3">
      <c r="A530" s="32">
        <v>529</v>
      </c>
      <c r="B530" s="32"/>
      <c r="C530" s="32" t="b">
        <f>_xlfn.XLOOKUP(Table6101112131415[[#This Row],[Category No]],Table8[Category No],Table8[Chapter List],FALSE)</f>
        <v>0</v>
      </c>
      <c r="D530" s="34"/>
      <c r="E530" s="34"/>
      <c r="F530" s="34"/>
    </row>
    <row r="531" spans="1:6" x14ac:dyDescent="0.3">
      <c r="A531" s="32">
        <v>530</v>
      </c>
      <c r="B531" s="32"/>
      <c r="C531" s="32" t="b">
        <f>_xlfn.XLOOKUP(Table6101112131415[[#This Row],[Category No]],Table8[Category No],Table8[Chapter List],FALSE)</f>
        <v>0</v>
      </c>
      <c r="D531" s="34"/>
      <c r="E531" s="34"/>
      <c r="F531" s="34"/>
    </row>
    <row r="532" spans="1:6" x14ac:dyDescent="0.3">
      <c r="A532" s="32">
        <v>531</v>
      </c>
      <c r="B532" s="32"/>
      <c r="C532" s="32" t="b">
        <f>_xlfn.XLOOKUP(Table6101112131415[[#This Row],[Category No]],Table8[Category No],Table8[Chapter List],FALSE)</f>
        <v>0</v>
      </c>
      <c r="D532" s="34"/>
      <c r="E532" s="34"/>
      <c r="F532" s="34"/>
    </row>
    <row r="533" spans="1:6" x14ac:dyDescent="0.3">
      <c r="A533" s="32">
        <v>532</v>
      </c>
      <c r="B533" s="32"/>
      <c r="C533" s="32" t="b">
        <f>_xlfn.XLOOKUP(Table6101112131415[[#This Row],[Category No]],Table8[Category No],Table8[Chapter List],FALSE)</f>
        <v>0</v>
      </c>
      <c r="D533" s="34"/>
      <c r="E533" s="34"/>
      <c r="F533" s="34"/>
    </row>
    <row r="534" spans="1:6" x14ac:dyDescent="0.3">
      <c r="A534" s="32">
        <v>533</v>
      </c>
      <c r="B534" s="32"/>
      <c r="C534" s="32" t="b">
        <f>_xlfn.XLOOKUP(Table6101112131415[[#This Row],[Category No]],Table8[Category No],Table8[Chapter List],FALSE)</f>
        <v>0</v>
      </c>
      <c r="D534" s="34"/>
      <c r="E534" s="34"/>
      <c r="F534" s="34"/>
    </row>
    <row r="535" spans="1:6" x14ac:dyDescent="0.3">
      <c r="A535" s="32">
        <v>534</v>
      </c>
      <c r="B535" s="32"/>
      <c r="C535" s="32" t="b">
        <f>_xlfn.XLOOKUP(Table6101112131415[[#This Row],[Category No]],Table8[Category No],Table8[Chapter List],FALSE)</f>
        <v>0</v>
      </c>
      <c r="D535" s="34"/>
      <c r="E535" s="34"/>
      <c r="F535" s="34"/>
    </row>
    <row r="536" spans="1:6" x14ac:dyDescent="0.3">
      <c r="A536" s="32">
        <v>535</v>
      </c>
      <c r="B536" s="32"/>
      <c r="C536" s="32" t="b">
        <f>_xlfn.XLOOKUP(Table6101112131415[[#This Row],[Category No]],Table8[Category No],Table8[Chapter List],FALSE)</f>
        <v>0</v>
      </c>
      <c r="D536" s="34"/>
      <c r="E536" s="34"/>
      <c r="F536" s="34"/>
    </row>
    <row r="537" spans="1:6" x14ac:dyDescent="0.3">
      <c r="A537" s="32">
        <v>536</v>
      </c>
      <c r="B537" s="32"/>
      <c r="C537" s="32" t="b">
        <f>_xlfn.XLOOKUP(Table6101112131415[[#This Row],[Category No]],Table8[Category No],Table8[Chapter List],FALSE)</f>
        <v>0</v>
      </c>
      <c r="D537" s="34"/>
      <c r="E537" s="34"/>
      <c r="F537" s="34"/>
    </row>
    <row r="538" spans="1:6" x14ac:dyDescent="0.3">
      <c r="A538" s="32">
        <v>537</v>
      </c>
      <c r="B538" s="32"/>
      <c r="C538" s="32" t="b">
        <f>_xlfn.XLOOKUP(Table6101112131415[[#This Row],[Category No]],Table8[Category No],Table8[Chapter List],FALSE)</f>
        <v>0</v>
      </c>
      <c r="D538" s="34"/>
      <c r="E538" s="34"/>
      <c r="F538" s="34"/>
    </row>
    <row r="539" spans="1:6" x14ac:dyDescent="0.3">
      <c r="A539" s="32">
        <v>538</v>
      </c>
      <c r="B539" s="32"/>
      <c r="C539" s="32" t="b">
        <f>_xlfn.XLOOKUP(Table6101112131415[[#This Row],[Category No]],Table8[Category No],Table8[Chapter List],FALSE)</f>
        <v>0</v>
      </c>
      <c r="D539" s="34"/>
      <c r="E539" s="34"/>
      <c r="F539" s="34"/>
    </row>
    <row r="540" spans="1:6" x14ac:dyDescent="0.3">
      <c r="A540" s="32">
        <v>539</v>
      </c>
      <c r="B540" s="32"/>
      <c r="C540" s="32" t="b">
        <f>_xlfn.XLOOKUP(Table6101112131415[[#This Row],[Category No]],Table8[Category No],Table8[Chapter List],FALSE)</f>
        <v>0</v>
      </c>
      <c r="D540" s="34"/>
      <c r="E540" s="34"/>
      <c r="F540" s="34"/>
    </row>
    <row r="541" spans="1:6" x14ac:dyDescent="0.3">
      <c r="A541" s="32">
        <v>540</v>
      </c>
      <c r="B541" s="32"/>
      <c r="C541" s="32" t="b">
        <f>_xlfn.XLOOKUP(Table6101112131415[[#This Row],[Category No]],Table8[Category No],Table8[Chapter List],FALSE)</f>
        <v>0</v>
      </c>
      <c r="D541" s="34"/>
      <c r="E541" s="34"/>
      <c r="F541" s="34"/>
    </row>
    <row r="542" spans="1:6" x14ac:dyDescent="0.3">
      <c r="A542" s="32">
        <v>541</v>
      </c>
      <c r="B542" s="32"/>
      <c r="C542" s="32" t="b">
        <f>_xlfn.XLOOKUP(Table6101112131415[[#This Row],[Category No]],Table8[Category No],Table8[Chapter List],FALSE)</f>
        <v>0</v>
      </c>
      <c r="D542" s="34"/>
      <c r="E542" s="34"/>
      <c r="F542" s="34"/>
    </row>
    <row r="543" spans="1:6" x14ac:dyDescent="0.3">
      <c r="A543" s="32">
        <v>542</v>
      </c>
      <c r="B543" s="32"/>
      <c r="C543" s="32" t="b">
        <f>_xlfn.XLOOKUP(Table6101112131415[[#This Row],[Category No]],Table8[Category No],Table8[Chapter List],FALSE)</f>
        <v>0</v>
      </c>
      <c r="D543" s="34"/>
      <c r="E543" s="34"/>
      <c r="F543" s="34"/>
    </row>
    <row r="544" spans="1:6" x14ac:dyDescent="0.3">
      <c r="A544" s="32">
        <v>543</v>
      </c>
      <c r="B544" s="32"/>
      <c r="C544" s="32" t="b">
        <f>_xlfn.XLOOKUP(Table6101112131415[[#This Row],[Category No]],Table8[Category No],Table8[Chapter List],FALSE)</f>
        <v>0</v>
      </c>
      <c r="D544" s="34"/>
      <c r="E544" s="34"/>
      <c r="F544" s="34"/>
    </row>
    <row r="545" spans="1:6" x14ac:dyDescent="0.3">
      <c r="A545" s="32">
        <v>544</v>
      </c>
      <c r="B545" s="32"/>
      <c r="C545" s="32" t="b">
        <f>_xlfn.XLOOKUP(Table6101112131415[[#This Row],[Category No]],Table8[Category No],Table8[Chapter List],FALSE)</f>
        <v>0</v>
      </c>
      <c r="D545" s="34"/>
      <c r="E545" s="34"/>
      <c r="F545" s="34"/>
    </row>
    <row r="546" spans="1:6" x14ac:dyDescent="0.3">
      <c r="A546" s="32">
        <v>545</v>
      </c>
      <c r="B546" s="32"/>
      <c r="C546" s="32" t="b">
        <f>_xlfn.XLOOKUP(Table6101112131415[[#This Row],[Category No]],Table8[Category No],Table8[Chapter List],FALSE)</f>
        <v>0</v>
      </c>
      <c r="D546" s="34"/>
      <c r="E546" s="34"/>
      <c r="F546" s="34"/>
    </row>
    <row r="547" spans="1:6" x14ac:dyDescent="0.3">
      <c r="A547" s="32">
        <v>546</v>
      </c>
      <c r="B547" s="32"/>
      <c r="C547" s="32" t="b">
        <f>_xlfn.XLOOKUP(Table6101112131415[[#This Row],[Category No]],Table8[Category No],Table8[Chapter List],FALSE)</f>
        <v>0</v>
      </c>
      <c r="D547" s="34"/>
      <c r="E547" s="34"/>
      <c r="F547" s="34"/>
    </row>
    <row r="548" spans="1:6" x14ac:dyDescent="0.3">
      <c r="A548" s="32">
        <v>547</v>
      </c>
      <c r="B548" s="32"/>
      <c r="C548" s="32" t="b">
        <f>_xlfn.XLOOKUP(Table6101112131415[[#This Row],[Category No]],Table8[Category No],Table8[Chapter List],FALSE)</f>
        <v>0</v>
      </c>
      <c r="D548" s="34"/>
      <c r="E548" s="34"/>
      <c r="F548" s="34"/>
    </row>
    <row r="549" spans="1:6" x14ac:dyDescent="0.3">
      <c r="A549" s="32">
        <v>548</v>
      </c>
      <c r="B549" s="32"/>
      <c r="C549" s="32" t="b">
        <f>_xlfn.XLOOKUP(Table6101112131415[[#This Row],[Category No]],Table8[Category No],Table8[Chapter List],FALSE)</f>
        <v>0</v>
      </c>
      <c r="D549" s="34"/>
      <c r="E549" s="34"/>
      <c r="F549" s="34"/>
    </row>
    <row r="550" spans="1:6" x14ac:dyDescent="0.3">
      <c r="A550" s="32">
        <v>549</v>
      </c>
      <c r="B550" s="32"/>
      <c r="C550" s="32" t="b">
        <f>_xlfn.XLOOKUP(Table6101112131415[[#This Row],[Category No]],Table8[Category No],Table8[Chapter List],FALSE)</f>
        <v>0</v>
      </c>
      <c r="D550" s="34"/>
      <c r="E550" s="34"/>
      <c r="F550" s="34"/>
    </row>
    <row r="551" spans="1:6" x14ac:dyDescent="0.3">
      <c r="A551" s="32">
        <v>550</v>
      </c>
      <c r="B551" s="32"/>
      <c r="C551" s="32" t="b">
        <f>_xlfn.XLOOKUP(Table6101112131415[[#This Row],[Category No]],Table8[Category No],Table8[Chapter List],FALSE)</f>
        <v>0</v>
      </c>
      <c r="D551" s="34"/>
      <c r="E551" s="34"/>
      <c r="F551" s="34"/>
    </row>
    <row r="552" spans="1:6" x14ac:dyDescent="0.3">
      <c r="A552" s="32">
        <v>551</v>
      </c>
      <c r="B552" s="32"/>
      <c r="C552" s="32" t="b">
        <f>_xlfn.XLOOKUP(Table6101112131415[[#This Row],[Category No]],Table8[Category No],Table8[Chapter List],FALSE)</f>
        <v>0</v>
      </c>
      <c r="D552" s="34"/>
      <c r="E552" s="34"/>
      <c r="F552" s="34"/>
    </row>
    <row r="553" spans="1:6" x14ac:dyDescent="0.3">
      <c r="A553" s="32">
        <v>552</v>
      </c>
      <c r="B553" s="32"/>
      <c r="C553" s="32" t="b">
        <f>_xlfn.XLOOKUP(Table6101112131415[[#This Row],[Category No]],Table8[Category No],Table8[Chapter List],FALSE)</f>
        <v>0</v>
      </c>
      <c r="D553" s="34"/>
      <c r="E553" s="34"/>
      <c r="F553" s="34"/>
    </row>
    <row r="554" spans="1:6" x14ac:dyDescent="0.3">
      <c r="A554" s="32">
        <v>553</v>
      </c>
      <c r="B554" s="32"/>
      <c r="C554" s="32" t="b">
        <f>_xlfn.XLOOKUP(Table6101112131415[[#This Row],[Category No]],Table8[Category No],Table8[Chapter List],FALSE)</f>
        <v>0</v>
      </c>
      <c r="D554" s="34"/>
      <c r="E554" s="34"/>
      <c r="F554" s="34"/>
    </row>
    <row r="555" spans="1:6" x14ac:dyDescent="0.3">
      <c r="A555" s="32">
        <v>554</v>
      </c>
      <c r="B555" s="32"/>
      <c r="C555" s="32" t="b">
        <f>_xlfn.XLOOKUP(Table6101112131415[[#This Row],[Category No]],Table8[Category No],Table8[Chapter List],FALSE)</f>
        <v>0</v>
      </c>
      <c r="D555" s="34"/>
      <c r="E555" s="34"/>
      <c r="F555" s="34"/>
    </row>
    <row r="556" spans="1:6" x14ac:dyDescent="0.3">
      <c r="A556" s="32">
        <v>555</v>
      </c>
      <c r="B556" s="32"/>
      <c r="C556" s="32" t="b">
        <f>_xlfn.XLOOKUP(Table6101112131415[[#This Row],[Category No]],Table8[Category No],Table8[Chapter List],FALSE)</f>
        <v>0</v>
      </c>
      <c r="D556" s="34"/>
      <c r="E556" s="34"/>
      <c r="F556" s="34"/>
    </row>
    <row r="557" spans="1:6" x14ac:dyDescent="0.3">
      <c r="A557" s="32">
        <v>556</v>
      </c>
      <c r="B557" s="32"/>
      <c r="C557" s="32" t="b">
        <f>_xlfn.XLOOKUP(Table6101112131415[[#This Row],[Category No]],Table8[Category No],Table8[Chapter List],FALSE)</f>
        <v>0</v>
      </c>
      <c r="D557" s="34"/>
      <c r="E557" s="34"/>
      <c r="F557" s="34"/>
    </row>
    <row r="558" spans="1:6" x14ac:dyDescent="0.3">
      <c r="A558" s="32">
        <v>557</v>
      </c>
      <c r="B558" s="32"/>
      <c r="C558" s="32" t="b">
        <f>_xlfn.XLOOKUP(Table6101112131415[[#This Row],[Category No]],Table8[Category No],Table8[Chapter List],FALSE)</f>
        <v>0</v>
      </c>
      <c r="D558" s="34"/>
      <c r="E558" s="34"/>
      <c r="F558" s="34"/>
    </row>
    <row r="559" spans="1:6" x14ac:dyDescent="0.3">
      <c r="A559" s="32">
        <v>558</v>
      </c>
      <c r="B559" s="32"/>
      <c r="C559" s="32" t="b">
        <f>_xlfn.XLOOKUP(Table6101112131415[[#This Row],[Category No]],Table8[Category No],Table8[Chapter List],FALSE)</f>
        <v>0</v>
      </c>
      <c r="D559" s="34"/>
      <c r="E559" s="34"/>
      <c r="F559" s="34"/>
    </row>
    <row r="560" spans="1:6" x14ac:dyDescent="0.3">
      <c r="A560" s="32">
        <v>559</v>
      </c>
      <c r="B560" s="32"/>
      <c r="C560" s="32" t="b">
        <f>_xlfn.XLOOKUP(Table6101112131415[[#This Row],[Category No]],Table8[Category No],Table8[Chapter List],FALSE)</f>
        <v>0</v>
      </c>
      <c r="D560" s="34"/>
      <c r="E560" s="34"/>
      <c r="F560" s="34"/>
    </row>
    <row r="561" spans="1:6" x14ac:dyDescent="0.3">
      <c r="A561" s="32">
        <v>560</v>
      </c>
      <c r="B561" s="32"/>
      <c r="C561" s="32" t="b">
        <f>_xlfn.XLOOKUP(Table6101112131415[[#This Row],[Category No]],Table8[Category No],Table8[Chapter List],FALSE)</f>
        <v>0</v>
      </c>
      <c r="D561" s="34"/>
      <c r="E561" s="34"/>
      <c r="F561" s="34"/>
    </row>
    <row r="562" spans="1:6" x14ac:dyDescent="0.3">
      <c r="A562" s="32">
        <v>561</v>
      </c>
      <c r="B562" s="32"/>
      <c r="C562" s="32" t="b">
        <f>_xlfn.XLOOKUP(Table6101112131415[[#This Row],[Category No]],Table8[Category No],Table8[Chapter List],FALSE)</f>
        <v>0</v>
      </c>
      <c r="D562" s="34"/>
      <c r="E562" s="34"/>
      <c r="F562" s="34"/>
    </row>
    <row r="563" spans="1:6" x14ac:dyDescent="0.3">
      <c r="A563" s="32">
        <v>562</v>
      </c>
      <c r="B563" s="32"/>
      <c r="C563" s="32" t="b">
        <f>_xlfn.XLOOKUP(Table6101112131415[[#This Row],[Category No]],Table8[Category No],Table8[Chapter List],FALSE)</f>
        <v>0</v>
      </c>
      <c r="D563" s="34"/>
      <c r="E563" s="34"/>
      <c r="F563" s="34"/>
    </row>
    <row r="564" spans="1:6" x14ac:dyDescent="0.3">
      <c r="A564" s="32">
        <v>563</v>
      </c>
      <c r="B564" s="32"/>
      <c r="C564" s="32" t="b">
        <f>_xlfn.XLOOKUP(Table6101112131415[[#This Row],[Category No]],Table8[Category No],Table8[Chapter List],FALSE)</f>
        <v>0</v>
      </c>
      <c r="D564" s="34"/>
      <c r="E564" s="34"/>
      <c r="F564" s="34"/>
    </row>
    <row r="565" spans="1:6" x14ac:dyDescent="0.3">
      <c r="A565" s="32">
        <v>564</v>
      </c>
      <c r="B565" s="32"/>
      <c r="C565" s="32" t="b">
        <f>_xlfn.XLOOKUP(Table6101112131415[[#This Row],[Category No]],Table8[Category No],Table8[Chapter List],FALSE)</f>
        <v>0</v>
      </c>
      <c r="D565" s="34"/>
      <c r="E565" s="34"/>
      <c r="F565" s="34"/>
    </row>
    <row r="566" spans="1:6" x14ac:dyDescent="0.3">
      <c r="A566" s="32">
        <v>565</v>
      </c>
      <c r="B566" s="32"/>
      <c r="C566" s="32" t="b">
        <f>_xlfn.XLOOKUP(Table6101112131415[[#This Row],[Category No]],Table8[Category No],Table8[Chapter List],FALSE)</f>
        <v>0</v>
      </c>
      <c r="D566" s="34"/>
      <c r="E566" s="34"/>
      <c r="F566" s="34"/>
    </row>
    <row r="567" spans="1:6" x14ac:dyDescent="0.3">
      <c r="A567" s="32">
        <v>566</v>
      </c>
      <c r="B567" s="32"/>
      <c r="C567" s="32" t="b">
        <f>_xlfn.XLOOKUP(Table6101112131415[[#This Row],[Category No]],Table8[Category No],Table8[Chapter List],FALSE)</f>
        <v>0</v>
      </c>
      <c r="D567" s="34"/>
      <c r="E567" s="34"/>
      <c r="F567" s="34"/>
    </row>
    <row r="568" spans="1:6" x14ac:dyDescent="0.3">
      <c r="A568" s="32">
        <v>567</v>
      </c>
      <c r="B568" s="32"/>
      <c r="C568" s="32" t="b">
        <f>_xlfn.XLOOKUP(Table6101112131415[[#This Row],[Category No]],Table8[Category No],Table8[Chapter List],FALSE)</f>
        <v>0</v>
      </c>
      <c r="D568" s="34"/>
      <c r="E568" s="34"/>
      <c r="F568" s="34"/>
    </row>
    <row r="569" spans="1:6" x14ac:dyDescent="0.3">
      <c r="A569" s="32">
        <v>568</v>
      </c>
      <c r="B569" s="32"/>
      <c r="C569" s="32" t="b">
        <f>_xlfn.XLOOKUP(Table6101112131415[[#This Row],[Category No]],Table8[Category No],Table8[Chapter List],FALSE)</f>
        <v>0</v>
      </c>
      <c r="D569" s="34"/>
      <c r="E569" s="34"/>
      <c r="F569" s="34"/>
    </row>
    <row r="570" spans="1:6" x14ac:dyDescent="0.3">
      <c r="A570" s="32">
        <v>569</v>
      </c>
      <c r="B570" s="32"/>
      <c r="C570" s="32" t="b">
        <f>_xlfn.XLOOKUP(Table6101112131415[[#This Row],[Category No]],Table8[Category No],Table8[Chapter List],FALSE)</f>
        <v>0</v>
      </c>
      <c r="D570" s="34"/>
      <c r="E570" s="34"/>
      <c r="F570" s="34"/>
    </row>
    <row r="571" spans="1:6" x14ac:dyDescent="0.3">
      <c r="A571" s="32">
        <v>570</v>
      </c>
      <c r="B571" s="32"/>
      <c r="C571" s="32" t="b">
        <f>_xlfn.XLOOKUP(Table6101112131415[[#This Row],[Category No]],Table8[Category No],Table8[Chapter List],FALSE)</f>
        <v>0</v>
      </c>
      <c r="D571" s="34"/>
      <c r="E571" s="34"/>
      <c r="F571" s="34"/>
    </row>
    <row r="572" spans="1:6" x14ac:dyDescent="0.3">
      <c r="A572" s="32">
        <v>571</v>
      </c>
      <c r="B572" s="32"/>
      <c r="C572" s="32" t="b">
        <f>_xlfn.XLOOKUP(Table6101112131415[[#This Row],[Category No]],Table8[Category No],Table8[Chapter List],FALSE)</f>
        <v>0</v>
      </c>
      <c r="D572" s="34"/>
      <c r="E572" s="34"/>
      <c r="F572" s="34"/>
    </row>
    <row r="573" spans="1:6" x14ac:dyDescent="0.3">
      <c r="A573" s="32">
        <v>572</v>
      </c>
      <c r="B573" s="32"/>
      <c r="C573" s="32" t="b">
        <f>_xlfn.XLOOKUP(Table6101112131415[[#This Row],[Category No]],Table8[Category No],Table8[Chapter List],FALSE)</f>
        <v>0</v>
      </c>
      <c r="D573" s="34"/>
      <c r="E573" s="34"/>
      <c r="F573" s="34"/>
    </row>
    <row r="574" spans="1:6" x14ac:dyDescent="0.3">
      <c r="A574" s="32">
        <v>573</v>
      </c>
      <c r="B574" s="32"/>
      <c r="C574" s="32" t="b">
        <f>_xlfn.XLOOKUP(Table6101112131415[[#This Row],[Category No]],Table8[Category No],Table8[Chapter List],FALSE)</f>
        <v>0</v>
      </c>
      <c r="D574" s="34"/>
      <c r="E574" s="34"/>
      <c r="F574" s="34"/>
    </row>
    <row r="575" spans="1:6" x14ac:dyDescent="0.3">
      <c r="A575" s="32">
        <v>574</v>
      </c>
      <c r="B575" s="32"/>
      <c r="C575" s="32" t="b">
        <f>_xlfn.XLOOKUP(Table6101112131415[[#This Row],[Category No]],Table8[Category No],Table8[Chapter List],FALSE)</f>
        <v>0</v>
      </c>
      <c r="D575" s="34"/>
      <c r="E575" s="34"/>
      <c r="F575" s="34"/>
    </row>
    <row r="576" spans="1:6" x14ac:dyDescent="0.3">
      <c r="A576" s="32">
        <v>575</v>
      </c>
      <c r="B576" s="32"/>
      <c r="C576" s="32" t="b">
        <f>_xlfn.XLOOKUP(Table6101112131415[[#This Row],[Category No]],Table8[Category No],Table8[Chapter List],FALSE)</f>
        <v>0</v>
      </c>
      <c r="D576" s="34"/>
      <c r="E576" s="34"/>
      <c r="F576" s="34"/>
    </row>
    <row r="577" spans="1:6" x14ac:dyDescent="0.3">
      <c r="A577" s="32">
        <v>576</v>
      </c>
      <c r="B577" s="32"/>
      <c r="C577" s="32" t="b">
        <f>_xlfn.XLOOKUP(Table6101112131415[[#This Row],[Category No]],Table8[Category No],Table8[Chapter List],FALSE)</f>
        <v>0</v>
      </c>
      <c r="D577" s="34"/>
      <c r="E577" s="34"/>
      <c r="F577" s="34"/>
    </row>
    <row r="578" spans="1:6" x14ac:dyDescent="0.3">
      <c r="A578" s="32">
        <v>577</v>
      </c>
      <c r="B578" s="32"/>
      <c r="C578" s="32" t="b">
        <f>_xlfn.XLOOKUP(Table6101112131415[[#This Row],[Category No]],Table8[Category No],Table8[Chapter List],FALSE)</f>
        <v>0</v>
      </c>
      <c r="D578" s="34"/>
      <c r="E578" s="34"/>
      <c r="F578" s="34"/>
    </row>
    <row r="579" spans="1:6" x14ac:dyDescent="0.3">
      <c r="A579" s="32">
        <v>578</v>
      </c>
      <c r="B579" s="32"/>
      <c r="C579" s="32" t="b">
        <f>_xlfn.XLOOKUP(Table6101112131415[[#This Row],[Category No]],Table8[Category No],Table8[Chapter List],FALSE)</f>
        <v>0</v>
      </c>
      <c r="D579" s="34"/>
      <c r="E579" s="34"/>
      <c r="F579" s="34"/>
    </row>
    <row r="580" spans="1:6" x14ac:dyDescent="0.3">
      <c r="A580" s="32">
        <v>579</v>
      </c>
      <c r="B580" s="32"/>
      <c r="C580" s="32" t="b">
        <f>_xlfn.XLOOKUP(Table6101112131415[[#This Row],[Category No]],Table8[Category No],Table8[Chapter List],FALSE)</f>
        <v>0</v>
      </c>
      <c r="D580" s="34"/>
      <c r="E580" s="34"/>
      <c r="F580" s="34"/>
    </row>
    <row r="581" spans="1:6" x14ac:dyDescent="0.3">
      <c r="A581" s="32">
        <v>580</v>
      </c>
      <c r="B581" s="32"/>
      <c r="C581" s="32" t="b">
        <f>_xlfn.XLOOKUP(Table6101112131415[[#This Row],[Category No]],Table8[Category No],Table8[Chapter List],FALSE)</f>
        <v>0</v>
      </c>
      <c r="D581" s="34"/>
      <c r="E581" s="34"/>
      <c r="F581" s="34"/>
    </row>
    <row r="582" spans="1:6" x14ac:dyDescent="0.3">
      <c r="A582" s="32">
        <v>581</v>
      </c>
      <c r="B582" s="32"/>
      <c r="C582" s="32" t="b">
        <f>_xlfn.XLOOKUP(Table6101112131415[[#This Row],[Category No]],Table8[Category No],Table8[Chapter List],FALSE)</f>
        <v>0</v>
      </c>
      <c r="D582" s="34"/>
      <c r="E582" s="34"/>
      <c r="F582" s="34"/>
    </row>
    <row r="583" spans="1:6" x14ac:dyDescent="0.3">
      <c r="A583" s="32">
        <v>582</v>
      </c>
      <c r="B583" s="32"/>
      <c r="C583" s="32" t="b">
        <f>_xlfn.XLOOKUP(Table6101112131415[[#This Row],[Category No]],Table8[Category No],Table8[Chapter List],FALSE)</f>
        <v>0</v>
      </c>
      <c r="D583" s="34"/>
      <c r="E583" s="34"/>
      <c r="F583" s="34"/>
    </row>
    <row r="584" spans="1:6" x14ac:dyDescent="0.3">
      <c r="A584" s="32">
        <v>583</v>
      </c>
      <c r="B584" s="32"/>
      <c r="C584" s="32" t="b">
        <f>_xlfn.XLOOKUP(Table6101112131415[[#This Row],[Category No]],Table8[Category No],Table8[Chapter List],FALSE)</f>
        <v>0</v>
      </c>
      <c r="D584" s="34"/>
      <c r="E584" s="34"/>
      <c r="F584" s="34"/>
    </row>
    <row r="585" spans="1:6" x14ac:dyDescent="0.3">
      <c r="A585" s="32">
        <v>584</v>
      </c>
      <c r="B585" s="32"/>
      <c r="C585" s="32" t="b">
        <f>_xlfn.XLOOKUP(Table6101112131415[[#This Row],[Category No]],Table8[Category No],Table8[Chapter List],FALSE)</f>
        <v>0</v>
      </c>
      <c r="D585" s="34"/>
      <c r="E585" s="34"/>
      <c r="F585" s="34"/>
    </row>
    <row r="586" spans="1:6" x14ac:dyDescent="0.3">
      <c r="A586" s="32">
        <v>585</v>
      </c>
      <c r="B586" s="32"/>
      <c r="C586" s="32" t="b">
        <f>_xlfn.XLOOKUP(Table6101112131415[[#This Row],[Category No]],Table8[Category No],Table8[Chapter List],FALSE)</f>
        <v>0</v>
      </c>
      <c r="D586" s="34"/>
      <c r="E586" s="34"/>
      <c r="F586" s="34"/>
    </row>
    <row r="587" spans="1:6" x14ac:dyDescent="0.3">
      <c r="A587" s="32">
        <v>586</v>
      </c>
      <c r="B587" s="32"/>
      <c r="C587" s="32" t="b">
        <f>_xlfn.XLOOKUP(Table6101112131415[[#This Row],[Category No]],Table8[Category No],Table8[Chapter List],FALSE)</f>
        <v>0</v>
      </c>
      <c r="D587" s="34"/>
      <c r="E587" s="34"/>
      <c r="F587" s="34"/>
    </row>
    <row r="588" spans="1:6" x14ac:dyDescent="0.3">
      <c r="A588" s="32">
        <v>587</v>
      </c>
      <c r="B588" s="32"/>
      <c r="C588" s="32" t="b">
        <f>_xlfn.XLOOKUP(Table6101112131415[[#This Row],[Category No]],Table8[Category No],Table8[Chapter List],FALSE)</f>
        <v>0</v>
      </c>
      <c r="D588" s="34"/>
      <c r="E588" s="34"/>
      <c r="F588" s="34"/>
    </row>
    <row r="589" spans="1:6" x14ac:dyDescent="0.3">
      <c r="A589" s="32">
        <v>588</v>
      </c>
      <c r="B589" s="32"/>
      <c r="C589" s="32" t="b">
        <f>_xlfn.XLOOKUP(Table6101112131415[[#This Row],[Category No]],Table8[Category No],Table8[Chapter List],FALSE)</f>
        <v>0</v>
      </c>
      <c r="D589" s="34"/>
      <c r="E589" s="34"/>
      <c r="F589" s="34"/>
    </row>
    <row r="590" spans="1:6" x14ac:dyDescent="0.3">
      <c r="A590" s="32">
        <v>589</v>
      </c>
      <c r="B590" s="32"/>
      <c r="C590" s="32" t="b">
        <f>_xlfn.XLOOKUP(Table6101112131415[[#This Row],[Category No]],Table8[Category No],Table8[Chapter List],FALSE)</f>
        <v>0</v>
      </c>
      <c r="D590" s="34"/>
      <c r="E590" s="34"/>
      <c r="F590" s="34"/>
    </row>
    <row r="591" spans="1:6" x14ac:dyDescent="0.3">
      <c r="A591" s="32">
        <v>590</v>
      </c>
      <c r="B591" s="32"/>
      <c r="C591" s="32" t="b">
        <f>_xlfn.XLOOKUP(Table6101112131415[[#This Row],[Category No]],Table8[Category No],Table8[Chapter List],FALSE)</f>
        <v>0</v>
      </c>
      <c r="D591" s="34"/>
      <c r="E591" s="34"/>
      <c r="F591" s="34"/>
    </row>
    <row r="592" spans="1:6" x14ac:dyDescent="0.3">
      <c r="A592" s="32">
        <v>591</v>
      </c>
      <c r="B592" s="32"/>
      <c r="C592" s="32" t="b">
        <f>_xlfn.XLOOKUP(Table6101112131415[[#This Row],[Category No]],Table8[Category No],Table8[Chapter List],FALSE)</f>
        <v>0</v>
      </c>
      <c r="D592" s="34"/>
      <c r="E592" s="34"/>
      <c r="F592" s="34"/>
    </row>
    <row r="593" spans="1:6" x14ac:dyDescent="0.3">
      <c r="A593" s="32">
        <v>592</v>
      </c>
      <c r="B593" s="32"/>
      <c r="C593" s="32" t="b">
        <f>_xlfn.XLOOKUP(Table6101112131415[[#This Row],[Category No]],Table8[Category No],Table8[Chapter List],FALSE)</f>
        <v>0</v>
      </c>
      <c r="D593" s="34"/>
      <c r="E593" s="34"/>
      <c r="F593" s="34"/>
    </row>
    <row r="594" spans="1:6" x14ac:dyDescent="0.3">
      <c r="A594" s="32">
        <v>593</v>
      </c>
      <c r="B594" s="32"/>
      <c r="C594" s="32" t="b">
        <f>_xlfn.XLOOKUP(Table6101112131415[[#This Row],[Category No]],Table8[Category No],Table8[Chapter List],FALSE)</f>
        <v>0</v>
      </c>
      <c r="D594" s="34"/>
      <c r="E594" s="34"/>
      <c r="F594" s="34"/>
    </row>
    <row r="595" spans="1:6" x14ac:dyDescent="0.3">
      <c r="A595" s="32">
        <v>594</v>
      </c>
      <c r="B595" s="32"/>
      <c r="C595" s="32" t="b">
        <f>_xlfn.XLOOKUP(Table6101112131415[[#This Row],[Category No]],Table8[Category No],Table8[Chapter List],FALSE)</f>
        <v>0</v>
      </c>
      <c r="D595" s="34"/>
      <c r="E595" s="34"/>
      <c r="F595" s="34"/>
    </row>
    <row r="596" spans="1:6" x14ac:dyDescent="0.3">
      <c r="A596" s="32">
        <v>595</v>
      </c>
      <c r="B596" s="32"/>
      <c r="C596" s="32" t="b">
        <f>_xlfn.XLOOKUP(Table6101112131415[[#This Row],[Category No]],Table8[Category No],Table8[Chapter List],FALSE)</f>
        <v>0</v>
      </c>
      <c r="D596" s="34"/>
      <c r="E596" s="34"/>
      <c r="F596" s="34"/>
    </row>
    <row r="597" spans="1:6" x14ac:dyDescent="0.3">
      <c r="A597" s="32">
        <v>596</v>
      </c>
      <c r="B597" s="32"/>
      <c r="C597" s="32" t="b">
        <f>_xlfn.XLOOKUP(Table6101112131415[[#This Row],[Category No]],Table8[Category No],Table8[Chapter List],FALSE)</f>
        <v>0</v>
      </c>
      <c r="D597" s="34"/>
      <c r="E597" s="34"/>
      <c r="F597" s="34"/>
    </row>
    <row r="598" spans="1:6" x14ac:dyDescent="0.3">
      <c r="A598" s="32">
        <v>597</v>
      </c>
      <c r="B598" s="32"/>
      <c r="C598" s="32" t="b">
        <f>_xlfn.XLOOKUP(Table6101112131415[[#This Row],[Category No]],Table8[Category No],Table8[Chapter List],FALSE)</f>
        <v>0</v>
      </c>
      <c r="D598" s="34"/>
      <c r="E598" s="34"/>
      <c r="F598" s="34"/>
    </row>
    <row r="599" spans="1:6" x14ac:dyDescent="0.3">
      <c r="A599" s="32">
        <v>598</v>
      </c>
      <c r="B599" s="32"/>
      <c r="C599" s="32" t="b">
        <f>_xlfn.XLOOKUP(Table6101112131415[[#This Row],[Category No]],Table8[Category No],Table8[Chapter List],FALSE)</f>
        <v>0</v>
      </c>
      <c r="D599" s="34"/>
      <c r="E599" s="34"/>
      <c r="F599" s="34"/>
    </row>
    <row r="600" spans="1:6" x14ac:dyDescent="0.3">
      <c r="A600" s="32">
        <v>599</v>
      </c>
      <c r="B600" s="32"/>
      <c r="C600" s="32" t="b">
        <f>_xlfn.XLOOKUP(Table6101112131415[[#This Row],[Category No]],Table8[Category No],Table8[Chapter List],FALSE)</f>
        <v>0</v>
      </c>
      <c r="D600" s="34"/>
      <c r="E600" s="34"/>
      <c r="F600" s="34"/>
    </row>
    <row r="601" spans="1:6" x14ac:dyDescent="0.3">
      <c r="A601" s="32">
        <v>600</v>
      </c>
      <c r="B601" s="32"/>
      <c r="C601" s="32" t="b">
        <f>_xlfn.XLOOKUP(Table6101112131415[[#This Row],[Category No]],Table8[Category No],Table8[Chapter List],FALSE)</f>
        <v>0</v>
      </c>
      <c r="D601" s="34"/>
      <c r="E601" s="34"/>
      <c r="F601" s="34"/>
    </row>
    <row r="602" spans="1:6" x14ac:dyDescent="0.3">
      <c r="A602" s="32">
        <v>601</v>
      </c>
      <c r="B602" s="32"/>
      <c r="C602" s="32" t="b">
        <f>_xlfn.XLOOKUP(Table6101112131415[[#This Row],[Category No]],Table8[Category No],Table8[Chapter List],FALSE)</f>
        <v>0</v>
      </c>
      <c r="D602" s="34"/>
      <c r="E602" s="34"/>
      <c r="F602" s="34"/>
    </row>
    <row r="603" spans="1:6" x14ac:dyDescent="0.3">
      <c r="A603" s="32">
        <v>602</v>
      </c>
      <c r="B603" s="32"/>
      <c r="C603" s="32" t="b">
        <f>_xlfn.XLOOKUP(Table6101112131415[[#This Row],[Category No]],Table8[Category No],Table8[Chapter List],FALSE)</f>
        <v>0</v>
      </c>
      <c r="D603" s="34"/>
      <c r="E603" s="34"/>
      <c r="F603" s="34"/>
    </row>
    <row r="604" spans="1:6" x14ac:dyDescent="0.3">
      <c r="A604" s="32">
        <v>603</v>
      </c>
      <c r="B604" s="32"/>
      <c r="C604" s="32" t="b">
        <f>_xlfn.XLOOKUP(Table6101112131415[[#This Row],[Category No]],Table8[Category No],Table8[Chapter List],FALSE)</f>
        <v>0</v>
      </c>
      <c r="D604" s="34"/>
      <c r="E604" s="34"/>
      <c r="F604" s="34"/>
    </row>
    <row r="605" spans="1:6" x14ac:dyDescent="0.3">
      <c r="A605" s="32">
        <v>604</v>
      </c>
      <c r="B605" s="32"/>
      <c r="C605" s="32" t="b">
        <f>_xlfn.XLOOKUP(Table6101112131415[[#This Row],[Category No]],Table8[Category No],Table8[Chapter List],FALSE)</f>
        <v>0</v>
      </c>
      <c r="D605" s="34"/>
      <c r="E605" s="34"/>
      <c r="F605" s="34"/>
    </row>
    <row r="606" spans="1:6" x14ac:dyDescent="0.3">
      <c r="A606" s="32">
        <v>605</v>
      </c>
      <c r="B606" s="32"/>
      <c r="C606" s="32" t="b">
        <f>_xlfn.XLOOKUP(Table6101112131415[[#This Row],[Category No]],Table8[Category No],Table8[Chapter List],FALSE)</f>
        <v>0</v>
      </c>
      <c r="D606" s="34"/>
      <c r="E606" s="34"/>
      <c r="F606" s="34"/>
    </row>
    <row r="607" spans="1:6" x14ac:dyDescent="0.3">
      <c r="A607" s="32">
        <v>606</v>
      </c>
      <c r="B607" s="32"/>
      <c r="C607" s="32" t="b">
        <f>_xlfn.XLOOKUP(Table6101112131415[[#This Row],[Category No]],Table8[Category No],Table8[Chapter List],FALSE)</f>
        <v>0</v>
      </c>
      <c r="D607" s="34"/>
      <c r="E607" s="34"/>
      <c r="F607" s="34"/>
    </row>
    <row r="608" spans="1:6" x14ac:dyDescent="0.3">
      <c r="A608" s="32">
        <v>607</v>
      </c>
      <c r="B608" s="32"/>
      <c r="C608" s="32" t="b">
        <f>_xlfn.XLOOKUP(Table6101112131415[[#This Row],[Category No]],Table8[Category No],Table8[Chapter List],FALSE)</f>
        <v>0</v>
      </c>
      <c r="D608" s="34"/>
      <c r="E608" s="34"/>
      <c r="F608" s="34"/>
    </row>
    <row r="609" spans="1:6" x14ac:dyDescent="0.3">
      <c r="A609" s="32">
        <v>608</v>
      </c>
      <c r="B609" s="32"/>
      <c r="C609" s="32" t="b">
        <f>_xlfn.XLOOKUP(Table6101112131415[[#This Row],[Category No]],Table8[Category No],Table8[Chapter List],FALSE)</f>
        <v>0</v>
      </c>
      <c r="D609" s="34"/>
      <c r="E609" s="34"/>
      <c r="F609" s="34"/>
    </row>
    <row r="610" spans="1:6" x14ac:dyDescent="0.3">
      <c r="A610" s="32">
        <v>609</v>
      </c>
      <c r="B610" s="32"/>
      <c r="C610" s="32" t="b">
        <f>_xlfn.XLOOKUP(Table6101112131415[[#This Row],[Category No]],Table8[Category No],Table8[Chapter List],FALSE)</f>
        <v>0</v>
      </c>
      <c r="D610" s="34"/>
      <c r="E610" s="34"/>
      <c r="F610" s="34"/>
    </row>
    <row r="611" spans="1:6" x14ac:dyDescent="0.3">
      <c r="A611" s="32">
        <v>610</v>
      </c>
      <c r="B611" s="32"/>
      <c r="C611" s="32" t="b">
        <f>_xlfn.XLOOKUP(Table6101112131415[[#This Row],[Category No]],Table8[Category No],Table8[Chapter List],FALSE)</f>
        <v>0</v>
      </c>
      <c r="D611" s="34"/>
      <c r="E611" s="34"/>
      <c r="F611" s="34"/>
    </row>
    <row r="612" spans="1:6" x14ac:dyDescent="0.3">
      <c r="A612" s="32">
        <v>611</v>
      </c>
      <c r="B612" s="32"/>
      <c r="C612" s="32" t="b">
        <f>_xlfn.XLOOKUP(Table6101112131415[[#This Row],[Category No]],Table8[Category No],Table8[Chapter List],FALSE)</f>
        <v>0</v>
      </c>
      <c r="D612" s="34"/>
      <c r="E612" s="34"/>
      <c r="F612" s="34"/>
    </row>
    <row r="613" spans="1:6" x14ac:dyDescent="0.3">
      <c r="A613" s="32">
        <v>612</v>
      </c>
      <c r="B613" s="32"/>
      <c r="C613" s="32" t="b">
        <f>_xlfn.XLOOKUP(Table6101112131415[[#This Row],[Category No]],Table8[Category No],Table8[Chapter List],FALSE)</f>
        <v>0</v>
      </c>
      <c r="D613" s="34"/>
      <c r="E613" s="34"/>
      <c r="F613" s="34"/>
    </row>
    <row r="614" spans="1:6" x14ac:dyDescent="0.3">
      <c r="A614" s="32">
        <v>613</v>
      </c>
      <c r="B614" s="32"/>
      <c r="C614" s="32" t="b">
        <f>_xlfn.XLOOKUP(Table6101112131415[[#This Row],[Category No]],Table8[Category No],Table8[Chapter List],FALSE)</f>
        <v>0</v>
      </c>
      <c r="D614" s="34"/>
      <c r="E614" s="34"/>
      <c r="F614" s="34"/>
    </row>
    <row r="615" spans="1:6" x14ac:dyDescent="0.3">
      <c r="A615" s="32">
        <v>614</v>
      </c>
      <c r="B615" s="32"/>
      <c r="C615" s="32" t="b">
        <f>_xlfn.XLOOKUP(Table6101112131415[[#This Row],[Category No]],Table8[Category No],Table8[Chapter List],FALSE)</f>
        <v>0</v>
      </c>
      <c r="D615" s="34"/>
      <c r="E615" s="34"/>
      <c r="F615" s="34"/>
    </row>
    <row r="616" spans="1:6" x14ac:dyDescent="0.3">
      <c r="A616" s="32">
        <v>615</v>
      </c>
      <c r="B616" s="32"/>
      <c r="C616" s="32" t="b">
        <f>_xlfn.XLOOKUP(Table6101112131415[[#This Row],[Category No]],Table8[Category No],Table8[Chapter List],FALSE)</f>
        <v>0</v>
      </c>
      <c r="D616" s="34"/>
      <c r="E616" s="34"/>
      <c r="F616" s="34"/>
    </row>
    <row r="617" spans="1:6" x14ac:dyDescent="0.3">
      <c r="A617" s="32">
        <v>616</v>
      </c>
      <c r="B617" s="32"/>
      <c r="C617" s="32" t="b">
        <f>_xlfn.XLOOKUP(Table6101112131415[[#This Row],[Category No]],Table8[Category No],Table8[Chapter List],FALSE)</f>
        <v>0</v>
      </c>
      <c r="D617" s="34"/>
      <c r="E617" s="34"/>
      <c r="F617" s="34"/>
    </row>
    <row r="618" spans="1:6" x14ac:dyDescent="0.3">
      <c r="A618" s="32">
        <v>617</v>
      </c>
      <c r="B618" s="32"/>
      <c r="C618" s="32" t="b">
        <f>_xlfn.XLOOKUP(Table6101112131415[[#This Row],[Category No]],Table8[Category No],Table8[Chapter List],FALSE)</f>
        <v>0</v>
      </c>
      <c r="D618" s="34"/>
      <c r="E618" s="34"/>
      <c r="F618" s="34"/>
    </row>
    <row r="619" spans="1:6" x14ac:dyDescent="0.3">
      <c r="A619" s="32">
        <v>618</v>
      </c>
      <c r="B619" s="32"/>
      <c r="C619" s="32" t="b">
        <f>_xlfn.XLOOKUP(Table6101112131415[[#This Row],[Category No]],Table8[Category No],Table8[Chapter List],FALSE)</f>
        <v>0</v>
      </c>
      <c r="D619" s="34"/>
      <c r="E619" s="34"/>
      <c r="F619" s="34"/>
    </row>
    <row r="620" spans="1:6" x14ac:dyDescent="0.3">
      <c r="A620" s="32">
        <v>619</v>
      </c>
      <c r="B620" s="32"/>
      <c r="C620" s="32" t="b">
        <f>_xlfn.XLOOKUP(Table6101112131415[[#This Row],[Category No]],Table8[Category No],Table8[Chapter List],FALSE)</f>
        <v>0</v>
      </c>
      <c r="D620" s="34"/>
      <c r="E620" s="34"/>
      <c r="F620" s="34"/>
    </row>
    <row r="621" spans="1:6" x14ac:dyDescent="0.3">
      <c r="A621" s="32">
        <v>620</v>
      </c>
      <c r="B621" s="32"/>
      <c r="C621" s="32" t="b">
        <f>_xlfn.XLOOKUP(Table6101112131415[[#This Row],[Category No]],Table8[Category No],Table8[Chapter List],FALSE)</f>
        <v>0</v>
      </c>
      <c r="D621" s="34"/>
      <c r="E621" s="34"/>
      <c r="F621" s="34"/>
    </row>
    <row r="622" spans="1:6" x14ac:dyDescent="0.3">
      <c r="A622" s="32">
        <v>621</v>
      </c>
      <c r="B622" s="32"/>
      <c r="C622" s="32" t="b">
        <f>_xlfn.XLOOKUP(Table6101112131415[[#This Row],[Category No]],Table8[Category No],Table8[Chapter List],FALSE)</f>
        <v>0</v>
      </c>
      <c r="D622" s="34"/>
      <c r="E622" s="34"/>
      <c r="F622" s="34"/>
    </row>
    <row r="623" spans="1:6" x14ac:dyDescent="0.3">
      <c r="A623" s="32">
        <v>622</v>
      </c>
      <c r="B623" s="32"/>
      <c r="C623" s="32" t="b">
        <f>_xlfn.XLOOKUP(Table6101112131415[[#This Row],[Category No]],Table8[Category No],Table8[Chapter List],FALSE)</f>
        <v>0</v>
      </c>
      <c r="D623" s="34"/>
      <c r="E623" s="34"/>
      <c r="F623" s="34"/>
    </row>
    <row r="624" spans="1:6" x14ac:dyDescent="0.3">
      <c r="A624" s="32">
        <v>623</v>
      </c>
      <c r="B624" s="32"/>
      <c r="C624" s="32" t="b">
        <f>_xlfn.XLOOKUP(Table6101112131415[[#This Row],[Category No]],Table8[Category No],Table8[Chapter List],FALSE)</f>
        <v>0</v>
      </c>
      <c r="D624" s="34"/>
      <c r="E624" s="34"/>
      <c r="F624" s="34"/>
    </row>
    <row r="625" spans="1:6" x14ac:dyDescent="0.3">
      <c r="A625" s="32">
        <v>624</v>
      </c>
      <c r="B625" s="32"/>
      <c r="C625" s="32" t="b">
        <f>_xlfn.XLOOKUP(Table6101112131415[[#This Row],[Category No]],Table8[Category No],Table8[Chapter List],FALSE)</f>
        <v>0</v>
      </c>
      <c r="D625" s="34"/>
      <c r="E625" s="34"/>
      <c r="F625" s="34"/>
    </row>
    <row r="626" spans="1:6" x14ac:dyDescent="0.3">
      <c r="A626" s="32">
        <v>625</v>
      </c>
      <c r="B626" s="32"/>
      <c r="C626" s="32" t="b">
        <f>_xlfn.XLOOKUP(Table6101112131415[[#This Row],[Category No]],Table8[Category No],Table8[Chapter List],FALSE)</f>
        <v>0</v>
      </c>
      <c r="D626" s="34"/>
      <c r="E626" s="34"/>
      <c r="F626" s="34"/>
    </row>
    <row r="627" spans="1:6" x14ac:dyDescent="0.3">
      <c r="A627" s="32">
        <v>626</v>
      </c>
      <c r="B627" s="32"/>
      <c r="C627" s="32" t="b">
        <f>_xlfn.XLOOKUP(Table6101112131415[[#This Row],[Category No]],Table8[Category No],Table8[Chapter List],FALSE)</f>
        <v>0</v>
      </c>
      <c r="D627" s="34"/>
      <c r="E627" s="34"/>
      <c r="F627" s="34"/>
    </row>
    <row r="628" spans="1:6" x14ac:dyDescent="0.3">
      <c r="A628" s="32">
        <v>627</v>
      </c>
      <c r="B628" s="32"/>
      <c r="C628" s="32" t="b">
        <f>_xlfn.XLOOKUP(Table6101112131415[[#This Row],[Category No]],Table8[Category No],Table8[Chapter List],FALSE)</f>
        <v>0</v>
      </c>
      <c r="D628" s="34"/>
      <c r="E628" s="34"/>
      <c r="F628" s="34"/>
    </row>
    <row r="629" spans="1:6" x14ac:dyDescent="0.3">
      <c r="A629" s="32">
        <v>628</v>
      </c>
      <c r="B629" s="32"/>
      <c r="C629" s="32" t="b">
        <f>_xlfn.XLOOKUP(Table6101112131415[[#This Row],[Category No]],Table8[Category No],Table8[Chapter List],FALSE)</f>
        <v>0</v>
      </c>
      <c r="D629" s="34"/>
      <c r="E629" s="34"/>
      <c r="F629" s="34"/>
    </row>
    <row r="630" spans="1:6" x14ac:dyDescent="0.3">
      <c r="A630" s="32">
        <v>629</v>
      </c>
      <c r="B630" s="32"/>
      <c r="C630" s="32" t="b">
        <f>_xlfn.XLOOKUP(Table6101112131415[[#This Row],[Category No]],Table8[Category No],Table8[Chapter List],FALSE)</f>
        <v>0</v>
      </c>
      <c r="D630" s="34"/>
      <c r="E630" s="34"/>
      <c r="F630" s="34"/>
    </row>
    <row r="631" spans="1:6" x14ac:dyDescent="0.3">
      <c r="A631" s="32">
        <v>630</v>
      </c>
      <c r="B631" s="32"/>
      <c r="C631" s="32" t="b">
        <f>_xlfn.XLOOKUP(Table6101112131415[[#This Row],[Category No]],Table8[Category No],Table8[Chapter List],FALSE)</f>
        <v>0</v>
      </c>
      <c r="D631" s="34"/>
      <c r="E631" s="34"/>
      <c r="F631" s="34"/>
    </row>
    <row r="632" spans="1:6" x14ac:dyDescent="0.3">
      <c r="A632" s="32">
        <v>631</v>
      </c>
      <c r="B632" s="32"/>
      <c r="C632" s="32" t="b">
        <f>_xlfn.XLOOKUP(Table6101112131415[[#This Row],[Category No]],Table8[Category No],Table8[Chapter List],FALSE)</f>
        <v>0</v>
      </c>
      <c r="D632" s="34"/>
      <c r="E632" s="34"/>
      <c r="F632" s="34"/>
    </row>
    <row r="633" spans="1:6" x14ac:dyDescent="0.3">
      <c r="A633" s="32">
        <v>632</v>
      </c>
      <c r="B633" s="32"/>
      <c r="C633" s="32" t="b">
        <f>_xlfn.XLOOKUP(Table6101112131415[[#This Row],[Category No]],Table8[Category No],Table8[Chapter List],FALSE)</f>
        <v>0</v>
      </c>
      <c r="D633" s="34"/>
      <c r="E633" s="34"/>
      <c r="F633" s="34"/>
    </row>
    <row r="634" spans="1:6" x14ac:dyDescent="0.3">
      <c r="A634" s="32">
        <v>633</v>
      </c>
      <c r="B634" s="32"/>
      <c r="C634" s="32" t="b">
        <f>_xlfn.XLOOKUP(Table6101112131415[[#This Row],[Category No]],Table8[Category No],Table8[Chapter List],FALSE)</f>
        <v>0</v>
      </c>
      <c r="D634" s="34"/>
      <c r="E634" s="34"/>
      <c r="F634" s="34"/>
    </row>
    <row r="635" spans="1:6" x14ac:dyDescent="0.3">
      <c r="A635" s="32">
        <v>634</v>
      </c>
      <c r="B635" s="32"/>
      <c r="C635" s="32" t="b">
        <f>_xlfn.XLOOKUP(Table6101112131415[[#This Row],[Category No]],Table8[Category No],Table8[Chapter List],FALSE)</f>
        <v>0</v>
      </c>
      <c r="D635" s="34"/>
      <c r="E635" s="34"/>
      <c r="F635" s="34"/>
    </row>
    <row r="636" spans="1:6" x14ac:dyDescent="0.3">
      <c r="A636" s="32">
        <v>635</v>
      </c>
      <c r="B636" s="32"/>
      <c r="C636" s="32" t="b">
        <f>_xlfn.XLOOKUP(Table6101112131415[[#This Row],[Category No]],Table8[Category No],Table8[Chapter List],FALSE)</f>
        <v>0</v>
      </c>
      <c r="D636" s="34"/>
      <c r="E636" s="34"/>
      <c r="F636" s="34"/>
    </row>
    <row r="637" spans="1:6" x14ac:dyDescent="0.3">
      <c r="A637" s="32">
        <v>636</v>
      </c>
      <c r="B637" s="32"/>
      <c r="C637" s="32" t="b">
        <f>_xlfn.XLOOKUP(Table6101112131415[[#This Row],[Category No]],Table8[Category No],Table8[Chapter List],FALSE)</f>
        <v>0</v>
      </c>
      <c r="D637" s="34"/>
      <c r="E637" s="34"/>
      <c r="F637" s="34"/>
    </row>
    <row r="638" spans="1:6" x14ac:dyDescent="0.3">
      <c r="A638" s="32">
        <v>637</v>
      </c>
      <c r="B638" s="32"/>
      <c r="C638" s="32" t="b">
        <f>_xlfn.XLOOKUP(Table6101112131415[[#This Row],[Category No]],Table8[Category No],Table8[Chapter List],FALSE)</f>
        <v>0</v>
      </c>
      <c r="D638" s="34"/>
      <c r="E638" s="34"/>
      <c r="F638" s="34"/>
    </row>
    <row r="639" spans="1:6" x14ac:dyDescent="0.3">
      <c r="A639" s="32">
        <v>638</v>
      </c>
      <c r="B639" s="32"/>
      <c r="C639" s="32" t="b">
        <f>_xlfn.XLOOKUP(Table6101112131415[[#This Row],[Category No]],Table8[Category No],Table8[Chapter List],FALSE)</f>
        <v>0</v>
      </c>
      <c r="D639" s="34"/>
      <c r="E639" s="34"/>
      <c r="F639" s="34"/>
    </row>
    <row r="640" spans="1:6" x14ac:dyDescent="0.3">
      <c r="A640" s="32">
        <v>639</v>
      </c>
      <c r="B640" s="32"/>
      <c r="C640" s="32" t="b">
        <f>_xlfn.XLOOKUP(Table6101112131415[[#This Row],[Category No]],Table8[Category No],Table8[Chapter List],FALSE)</f>
        <v>0</v>
      </c>
      <c r="D640" s="34"/>
      <c r="E640" s="34"/>
      <c r="F640" s="34"/>
    </row>
    <row r="641" spans="1:6" x14ac:dyDescent="0.3">
      <c r="A641" s="32">
        <v>640</v>
      </c>
      <c r="B641" s="32"/>
      <c r="C641" s="32" t="b">
        <f>_xlfn.XLOOKUP(Table6101112131415[[#This Row],[Category No]],Table8[Category No],Table8[Chapter List],FALSE)</f>
        <v>0</v>
      </c>
      <c r="D641" s="34"/>
      <c r="E641" s="34"/>
      <c r="F641" s="34"/>
    </row>
    <row r="642" spans="1:6" x14ac:dyDescent="0.3">
      <c r="A642" s="32">
        <v>641</v>
      </c>
      <c r="B642" s="32"/>
      <c r="C642" s="32" t="b">
        <f>_xlfn.XLOOKUP(Table6101112131415[[#This Row],[Category No]],Table8[Category No],Table8[Chapter List],FALSE)</f>
        <v>0</v>
      </c>
      <c r="D642" s="34"/>
      <c r="E642" s="34"/>
      <c r="F642" s="34"/>
    </row>
    <row r="643" spans="1:6" x14ac:dyDescent="0.3">
      <c r="A643" s="32">
        <v>642</v>
      </c>
      <c r="B643" s="32"/>
      <c r="C643" s="32" t="b">
        <f>_xlfn.XLOOKUP(Table6101112131415[[#This Row],[Category No]],Table8[Category No],Table8[Chapter List],FALSE)</f>
        <v>0</v>
      </c>
      <c r="D643" s="34"/>
      <c r="E643" s="34"/>
      <c r="F643" s="34"/>
    </row>
    <row r="644" spans="1:6" x14ac:dyDescent="0.3">
      <c r="A644" s="32">
        <v>643</v>
      </c>
      <c r="B644" s="32"/>
      <c r="C644" s="32" t="b">
        <f>_xlfn.XLOOKUP(Table6101112131415[[#This Row],[Category No]],Table8[Category No],Table8[Chapter List],FALSE)</f>
        <v>0</v>
      </c>
      <c r="D644" s="34"/>
      <c r="E644" s="34"/>
      <c r="F644" s="34"/>
    </row>
    <row r="645" spans="1:6" x14ac:dyDescent="0.3">
      <c r="A645" s="32">
        <v>644</v>
      </c>
      <c r="B645" s="32"/>
      <c r="C645" s="32" t="b">
        <f>_xlfn.XLOOKUP(Table6101112131415[[#This Row],[Category No]],Table8[Category No],Table8[Chapter List],FALSE)</f>
        <v>0</v>
      </c>
      <c r="D645" s="34"/>
      <c r="E645" s="34"/>
      <c r="F645" s="34"/>
    </row>
    <row r="646" spans="1:6" x14ac:dyDescent="0.3">
      <c r="A646" s="32">
        <v>645</v>
      </c>
      <c r="B646" s="32"/>
      <c r="C646" s="32" t="b">
        <f>_xlfn.XLOOKUP(Table6101112131415[[#This Row],[Category No]],Table8[Category No],Table8[Chapter List],FALSE)</f>
        <v>0</v>
      </c>
      <c r="D646" s="34"/>
      <c r="E646" s="34"/>
      <c r="F646" s="34"/>
    </row>
    <row r="647" spans="1:6" x14ac:dyDescent="0.3">
      <c r="A647" s="32">
        <v>646</v>
      </c>
      <c r="B647" s="32"/>
      <c r="C647" s="32" t="b">
        <f>_xlfn.XLOOKUP(Table6101112131415[[#This Row],[Category No]],Table8[Category No],Table8[Chapter List],FALSE)</f>
        <v>0</v>
      </c>
      <c r="D647" s="34"/>
      <c r="E647" s="34"/>
      <c r="F647" s="34"/>
    </row>
    <row r="648" spans="1:6" x14ac:dyDescent="0.3">
      <c r="A648" s="32">
        <v>647</v>
      </c>
      <c r="B648" s="32"/>
      <c r="C648" s="32" t="b">
        <f>_xlfn.XLOOKUP(Table6101112131415[[#This Row],[Category No]],Table8[Category No],Table8[Chapter List],FALSE)</f>
        <v>0</v>
      </c>
      <c r="D648" s="34"/>
      <c r="E648" s="34"/>
      <c r="F648" s="34"/>
    </row>
    <row r="649" spans="1:6" x14ac:dyDescent="0.3">
      <c r="A649" s="32">
        <v>648</v>
      </c>
      <c r="B649" s="32"/>
      <c r="C649" s="32" t="b">
        <f>_xlfn.XLOOKUP(Table6101112131415[[#This Row],[Category No]],Table8[Category No],Table8[Chapter List],FALSE)</f>
        <v>0</v>
      </c>
      <c r="D649" s="34"/>
      <c r="E649" s="34"/>
      <c r="F649" s="34"/>
    </row>
    <row r="650" spans="1:6" x14ac:dyDescent="0.3">
      <c r="A650" s="32">
        <v>649</v>
      </c>
      <c r="B650" s="32"/>
      <c r="C650" s="32" t="b">
        <f>_xlfn.XLOOKUP(Table6101112131415[[#This Row],[Category No]],Table8[Category No],Table8[Chapter List],FALSE)</f>
        <v>0</v>
      </c>
      <c r="D650" s="34"/>
      <c r="E650" s="34"/>
      <c r="F650" s="34"/>
    </row>
    <row r="651" spans="1:6" x14ac:dyDescent="0.3">
      <c r="A651" s="32">
        <v>650</v>
      </c>
      <c r="B651" s="32"/>
      <c r="C651" s="32" t="b">
        <f>_xlfn.XLOOKUP(Table6101112131415[[#This Row],[Category No]],Table8[Category No],Table8[Chapter List],FALSE)</f>
        <v>0</v>
      </c>
      <c r="D651" s="34"/>
      <c r="E651" s="34"/>
      <c r="F651" s="34"/>
    </row>
    <row r="652" spans="1:6" x14ac:dyDescent="0.3">
      <c r="A652" s="32">
        <v>651</v>
      </c>
      <c r="B652" s="32"/>
      <c r="C652" s="32" t="b">
        <f>_xlfn.XLOOKUP(Table6101112131415[[#This Row],[Category No]],Table8[Category No],Table8[Chapter List],FALSE)</f>
        <v>0</v>
      </c>
      <c r="D652" s="34"/>
      <c r="E652" s="34"/>
      <c r="F652" s="34"/>
    </row>
    <row r="653" spans="1:6" x14ac:dyDescent="0.3">
      <c r="A653" s="32">
        <v>652</v>
      </c>
      <c r="B653" s="32"/>
      <c r="C653" s="32" t="b">
        <f>_xlfn.XLOOKUP(Table6101112131415[[#This Row],[Category No]],Table8[Category No],Table8[Chapter List],FALSE)</f>
        <v>0</v>
      </c>
      <c r="D653" s="34"/>
      <c r="E653" s="34"/>
      <c r="F653" s="34"/>
    </row>
    <row r="654" spans="1:6" x14ac:dyDescent="0.3">
      <c r="A654" s="32">
        <v>653</v>
      </c>
      <c r="B654" s="32"/>
      <c r="C654" s="32" t="b">
        <f>_xlfn.XLOOKUP(Table6101112131415[[#This Row],[Category No]],Table8[Category No],Table8[Chapter List],FALSE)</f>
        <v>0</v>
      </c>
      <c r="D654" s="34"/>
      <c r="E654" s="34"/>
      <c r="F654" s="34"/>
    </row>
    <row r="655" spans="1:6" x14ac:dyDescent="0.3">
      <c r="A655" s="32">
        <v>654</v>
      </c>
      <c r="B655" s="32"/>
      <c r="C655" s="32" t="b">
        <f>_xlfn.XLOOKUP(Table6101112131415[[#This Row],[Category No]],Table8[Category No],Table8[Chapter List],FALSE)</f>
        <v>0</v>
      </c>
      <c r="D655" s="34"/>
      <c r="E655" s="34"/>
      <c r="F655" s="34"/>
    </row>
    <row r="656" spans="1:6" x14ac:dyDescent="0.3">
      <c r="A656" s="32">
        <v>655</v>
      </c>
      <c r="B656" s="32"/>
      <c r="C656" s="32" t="b">
        <f>_xlfn.XLOOKUP(Table6101112131415[[#This Row],[Category No]],Table8[Category No],Table8[Chapter List],FALSE)</f>
        <v>0</v>
      </c>
      <c r="D656" s="34"/>
      <c r="E656" s="34"/>
      <c r="F656" s="34"/>
    </row>
    <row r="657" spans="1:6" x14ac:dyDescent="0.3">
      <c r="A657" s="32">
        <v>656</v>
      </c>
      <c r="B657" s="32"/>
      <c r="C657" s="32" t="b">
        <f>_xlfn.XLOOKUP(Table6101112131415[[#This Row],[Category No]],Table8[Category No],Table8[Chapter List],FALSE)</f>
        <v>0</v>
      </c>
      <c r="D657" s="34"/>
      <c r="E657" s="34"/>
      <c r="F657" s="34"/>
    </row>
    <row r="658" spans="1:6" x14ac:dyDescent="0.3">
      <c r="A658" s="32">
        <v>657</v>
      </c>
      <c r="B658" s="32"/>
      <c r="C658" s="32" t="b">
        <f>_xlfn.XLOOKUP(Table6101112131415[[#This Row],[Category No]],Table8[Category No],Table8[Chapter List],FALSE)</f>
        <v>0</v>
      </c>
      <c r="D658" s="34"/>
      <c r="E658" s="34"/>
      <c r="F658" s="34"/>
    </row>
    <row r="659" spans="1:6" x14ac:dyDescent="0.3">
      <c r="A659" s="32">
        <v>658</v>
      </c>
      <c r="B659" s="32"/>
      <c r="C659" s="32" t="b">
        <f>_xlfn.XLOOKUP(Table6101112131415[[#This Row],[Category No]],Table8[Category No],Table8[Chapter List],FALSE)</f>
        <v>0</v>
      </c>
      <c r="D659" s="34"/>
      <c r="E659" s="34"/>
      <c r="F659" s="34"/>
    </row>
    <row r="660" spans="1:6" x14ac:dyDescent="0.3">
      <c r="A660" s="32">
        <v>659</v>
      </c>
      <c r="B660" s="32"/>
      <c r="C660" s="32" t="b">
        <f>_xlfn.XLOOKUP(Table6101112131415[[#This Row],[Category No]],Table8[Category No],Table8[Chapter List],FALSE)</f>
        <v>0</v>
      </c>
      <c r="D660" s="34"/>
      <c r="E660" s="34"/>
      <c r="F660" s="34"/>
    </row>
    <row r="661" spans="1:6" x14ac:dyDescent="0.3">
      <c r="A661" s="32">
        <v>660</v>
      </c>
      <c r="B661" s="32"/>
      <c r="C661" s="32" t="b">
        <f>_xlfn.XLOOKUP(Table6101112131415[[#This Row],[Category No]],Table8[Category No],Table8[Chapter List],FALSE)</f>
        <v>0</v>
      </c>
      <c r="D661" s="34"/>
      <c r="E661" s="34"/>
      <c r="F661" s="34"/>
    </row>
    <row r="662" spans="1:6" x14ac:dyDescent="0.3">
      <c r="A662" s="32">
        <v>661</v>
      </c>
      <c r="B662" s="32"/>
      <c r="C662" s="32" t="b">
        <f>_xlfn.XLOOKUP(Table6101112131415[[#This Row],[Category No]],Table8[Category No],Table8[Chapter List],FALSE)</f>
        <v>0</v>
      </c>
      <c r="D662" s="34"/>
      <c r="E662" s="34"/>
      <c r="F662" s="34"/>
    </row>
    <row r="663" spans="1:6" x14ac:dyDescent="0.3">
      <c r="A663" s="32">
        <v>662</v>
      </c>
      <c r="B663" s="32"/>
      <c r="C663" s="32" t="b">
        <f>_xlfn.XLOOKUP(Table6101112131415[[#This Row],[Category No]],Table8[Category No],Table8[Chapter List],FALSE)</f>
        <v>0</v>
      </c>
      <c r="D663" s="34"/>
      <c r="E663" s="34"/>
      <c r="F663" s="34"/>
    </row>
    <row r="664" spans="1:6" x14ac:dyDescent="0.3">
      <c r="A664" s="32">
        <v>663</v>
      </c>
      <c r="B664" s="32"/>
      <c r="C664" s="32" t="b">
        <f>_xlfn.XLOOKUP(Table6101112131415[[#This Row],[Category No]],Table8[Category No],Table8[Chapter List],FALSE)</f>
        <v>0</v>
      </c>
      <c r="D664" s="34"/>
      <c r="E664" s="34"/>
      <c r="F664" s="34"/>
    </row>
    <row r="665" spans="1:6" x14ac:dyDescent="0.3">
      <c r="A665" s="32">
        <v>664</v>
      </c>
      <c r="B665" s="32"/>
      <c r="C665" s="32" t="b">
        <f>_xlfn.XLOOKUP(Table6101112131415[[#This Row],[Category No]],Table8[Category No],Table8[Chapter List],FALSE)</f>
        <v>0</v>
      </c>
      <c r="D665" s="34"/>
      <c r="E665" s="34"/>
      <c r="F665" s="34"/>
    </row>
    <row r="666" spans="1:6" x14ac:dyDescent="0.3">
      <c r="A666" s="32">
        <v>665</v>
      </c>
      <c r="B666" s="32"/>
      <c r="C666" s="32" t="b">
        <f>_xlfn.XLOOKUP(Table6101112131415[[#This Row],[Category No]],Table8[Category No],Table8[Chapter List],FALSE)</f>
        <v>0</v>
      </c>
      <c r="D666" s="34"/>
      <c r="E666" s="34"/>
      <c r="F666" s="34"/>
    </row>
    <row r="667" spans="1:6" x14ac:dyDescent="0.3">
      <c r="A667" s="32">
        <v>666</v>
      </c>
      <c r="B667" s="32"/>
      <c r="C667" s="32" t="b">
        <f>_xlfn.XLOOKUP(Table6101112131415[[#This Row],[Category No]],Table8[Category No],Table8[Chapter List],FALSE)</f>
        <v>0</v>
      </c>
      <c r="D667" s="34"/>
      <c r="E667" s="34"/>
      <c r="F667" s="34"/>
    </row>
    <row r="668" spans="1:6" x14ac:dyDescent="0.3">
      <c r="A668" s="32">
        <v>667</v>
      </c>
      <c r="B668" s="32"/>
      <c r="C668" s="32" t="b">
        <f>_xlfn.XLOOKUP(Table6101112131415[[#This Row],[Category No]],Table8[Category No],Table8[Chapter List],FALSE)</f>
        <v>0</v>
      </c>
      <c r="D668" s="34"/>
      <c r="E668" s="34"/>
      <c r="F668" s="34"/>
    </row>
    <row r="669" spans="1:6" x14ac:dyDescent="0.3">
      <c r="A669" s="32">
        <v>668</v>
      </c>
      <c r="B669" s="32"/>
      <c r="C669" s="32" t="b">
        <f>_xlfn.XLOOKUP(Table6101112131415[[#This Row],[Category No]],Table8[Category No],Table8[Chapter List],FALSE)</f>
        <v>0</v>
      </c>
      <c r="D669" s="34"/>
      <c r="E669" s="34"/>
      <c r="F669" s="34"/>
    </row>
    <row r="670" spans="1:6" x14ac:dyDescent="0.3">
      <c r="A670" s="32">
        <v>669</v>
      </c>
      <c r="B670" s="32"/>
      <c r="C670" s="32" t="b">
        <f>_xlfn.XLOOKUP(Table6101112131415[[#This Row],[Category No]],Table8[Category No],Table8[Chapter List],FALSE)</f>
        <v>0</v>
      </c>
      <c r="D670" s="34"/>
      <c r="E670" s="34"/>
      <c r="F670" s="34"/>
    </row>
    <row r="671" spans="1:6" x14ac:dyDescent="0.3">
      <c r="A671" s="32">
        <v>670</v>
      </c>
      <c r="B671" s="32"/>
      <c r="C671" s="32" t="b">
        <f>_xlfn.XLOOKUP(Table6101112131415[[#This Row],[Category No]],Table8[Category No],Table8[Chapter List],FALSE)</f>
        <v>0</v>
      </c>
      <c r="D671" s="34"/>
      <c r="E671" s="34"/>
      <c r="F671" s="34"/>
    </row>
    <row r="672" spans="1:6" x14ac:dyDescent="0.3">
      <c r="A672" s="32">
        <v>671</v>
      </c>
      <c r="B672" s="32"/>
      <c r="C672" s="32" t="b">
        <f>_xlfn.XLOOKUP(Table6101112131415[[#This Row],[Category No]],Table8[Category No],Table8[Chapter List],FALSE)</f>
        <v>0</v>
      </c>
      <c r="D672" s="34"/>
      <c r="E672" s="34"/>
      <c r="F672" s="34"/>
    </row>
    <row r="673" spans="1:6" x14ac:dyDescent="0.3">
      <c r="A673" s="32">
        <v>672</v>
      </c>
      <c r="B673" s="32"/>
      <c r="C673" s="32" t="b">
        <f>_xlfn.XLOOKUP(Table6101112131415[[#This Row],[Category No]],Table8[Category No],Table8[Chapter List],FALSE)</f>
        <v>0</v>
      </c>
      <c r="D673" s="34"/>
      <c r="E673" s="34"/>
      <c r="F673" s="34"/>
    </row>
    <row r="674" spans="1:6" x14ac:dyDescent="0.3">
      <c r="A674" s="32">
        <v>673</v>
      </c>
      <c r="B674" s="32"/>
      <c r="C674" s="32" t="b">
        <f>_xlfn.XLOOKUP(Table6101112131415[[#This Row],[Category No]],Table8[Category No],Table8[Chapter List],FALSE)</f>
        <v>0</v>
      </c>
      <c r="D674" s="34"/>
      <c r="E674" s="34"/>
      <c r="F674" s="34"/>
    </row>
    <row r="675" spans="1:6" x14ac:dyDescent="0.3">
      <c r="A675" s="32">
        <v>674</v>
      </c>
      <c r="B675" s="32"/>
      <c r="C675" s="32" t="b">
        <f>_xlfn.XLOOKUP(Table6101112131415[[#This Row],[Category No]],Table8[Category No],Table8[Chapter List],FALSE)</f>
        <v>0</v>
      </c>
      <c r="D675" s="34"/>
      <c r="E675" s="34"/>
      <c r="F675" s="34"/>
    </row>
    <row r="676" spans="1:6" x14ac:dyDescent="0.3">
      <c r="A676" s="32">
        <v>675</v>
      </c>
      <c r="B676" s="32"/>
      <c r="C676" s="32" t="b">
        <f>_xlfn.XLOOKUP(Table6101112131415[[#This Row],[Category No]],Table8[Category No],Table8[Chapter List],FALSE)</f>
        <v>0</v>
      </c>
      <c r="D676" s="34"/>
      <c r="E676" s="34"/>
      <c r="F676" s="34"/>
    </row>
    <row r="677" spans="1:6" x14ac:dyDescent="0.3">
      <c r="A677" s="32">
        <v>676</v>
      </c>
      <c r="B677" s="32"/>
      <c r="C677" s="32" t="b">
        <f>_xlfn.XLOOKUP(Table6101112131415[[#This Row],[Category No]],Table8[Category No],Table8[Chapter List],FALSE)</f>
        <v>0</v>
      </c>
      <c r="D677" s="34"/>
      <c r="E677" s="34"/>
      <c r="F677" s="34"/>
    </row>
    <row r="678" spans="1:6" x14ac:dyDescent="0.3">
      <c r="A678" s="32">
        <v>677</v>
      </c>
      <c r="B678" s="32"/>
      <c r="C678" s="32" t="b">
        <f>_xlfn.XLOOKUP(Table6101112131415[[#This Row],[Category No]],Table8[Category No],Table8[Chapter List],FALSE)</f>
        <v>0</v>
      </c>
      <c r="D678" s="34"/>
      <c r="E678" s="34"/>
      <c r="F678" s="34"/>
    </row>
    <row r="679" spans="1:6" x14ac:dyDescent="0.3">
      <c r="A679" s="32">
        <v>678</v>
      </c>
      <c r="B679" s="32"/>
      <c r="C679" s="32" t="b">
        <f>_xlfn.XLOOKUP(Table6101112131415[[#This Row],[Category No]],Table8[Category No],Table8[Chapter List],FALSE)</f>
        <v>0</v>
      </c>
      <c r="D679" s="34"/>
      <c r="E679" s="34"/>
      <c r="F679" s="34"/>
    </row>
    <row r="680" spans="1:6" x14ac:dyDescent="0.3">
      <c r="A680" s="32">
        <v>679</v>
      </c>
      <c r="B680" s="32"/>
      <c r="C680" s="32" t="b">
        <f>_xlfn.XLOOKUP(Table6101112131415[[#This Row],[Category No]],Table8[Category No],Table8[Chapter List],FALSE)</f>
        <v>0</v>
      </c>
      <c r="D680" s="34"/>
      <c r="E680" s="34"/>
      <c r="F680" s="34"/>
    </row>
    <row r="681" spans="1:6" x14ac:dyDescent="0.3">
      <c r="A681" s="32">
        <v>680</v>
      </c>
      <c r="B681" s="32"/>
      <c r="C681" s="32" t="b">
        <f>_xlfn.XLOOKUP(Table6101112131415[[#This Row],[Category No]],Table8[Category No],Table8[Chapter List],FALSE)</f>
        <v>0</v>
      </c>
      <c r="D681" s="34"/>
      <c r="E681" s="34"/>
      <c r="F681" s="34"/>
    </row>
    <row r="682" spans="1:6" x14ac:dyDescent="0.3">
      <c r="A682" s="32">
        <v>681</v>
      </c>
      <c r="B682" s="32"/>
      <c r="C682" s="32" t="b">
        <f>_xlfn.XLOOKUP(Table6101112131415[[#This Row],[Category No]],Table8[Category No],Table8[Chapter List],FALSE)</f>
        <v>0</v>
      </c>
      <c r="D682" s="34"/>
      <c r="E682" s="34"/>
      <c r="F682" s="34"/>
    </row>
    <row r="683" spans="1:6" x14ac:dyDescent="0.3">
      <c r="A683" s="32">
        <v>682</v>
      </c>
      <c r="B683" s="32"/>
      <c r="C683" s="32" t="b">
        <f>_xlfn.XLOOKUP(Table6101112131415[[#This Row],[Category No]],Table8[Category No],Table8[Chapter List],FALSE)</f>
        <v>0</v>
      </c>
      <c r="D683" s="34"/>
      <c r="E683" s="34"/>
      <c r="F683" s="34"/>
    </row>
    <row r="684" spans="1:6" x14ac:dyDescent="0.3">
      <c r="A684" s="32">
        <v>683</v>
      </c>
      <c r="B684" s="32"/>
      <c r="C684" s="32" t="b">
        <f>_xlfn.XLOOKUP(Table6101112131415[[#This Row],[Category No]],Table8[Category No],Table8[Chapter List],FALSE)</f>
        <v>0</v>
      </c>
      <c r="D684" s="34"/>
      <c r="E684" s="34"/>
      <c r="F684" s="34"/>
    </row>
    <row r="685" spans="1:6" x14ac:dyDescent="0.3">
      <c r="A685" s="32">
        <v>684</v>
      </c>
      <c r="B685" s="32"/>
      <c r="C685" s="32" t="b">
        <f>_xlfn.XLOOKUP(Table6101112131415[[#This Row],[Category No]],Table8[Category No],Table8[Chapter List],FALSE)</f>
        <v>0</v>
      </c>
      <c r="D685" s="34"/>
      <c r="E685" s="34"/>
      <c r="F685" s="34"/>
    </row>
    <row r="686" spans="1:6" x14ac:dyDescent="0.3">
      <c r="A686" s="32">
        <v>685</v>
      </c>
      <c r="B686" s="32"/>
      <c r="C686" s="32" t="b">
        <f>_xlfn.XLOOKUP(Table6101112131415[[#This Row],[Category No]],Table8[Category No],Table8[Chapter List],FALSE)</f>
        <v>0</v>
      </c>
      <c r="D686" s="34"/>
      <c r="E686" s="34"/>
      <c r="F686" s="34"/>
    </row>
    <row r="687" spans="1:6" x14ac:dyDescent="0.3">
      <c r="A687" s="32">
        <v>686</v>
      </c>
      <c r="B687" s="32"/>
      <c r="C687" s="32" t="b">
        <f>_xlfn.XLOOKUP(Table6101112131415[[#This Row],[Category No]],Table8[Category No],Table8[Chapter List],FALSE)</f>
        <v>0</v>
      </c>
      <c r="D687" s="34"/>
      <c r="E687" s="34"/>
      <c r="F687" s="34"/>
    </row>
    <row r="688" spans="1:6" x14ac:dyDescent="0.3">
      <c r="A688" s="32">
        <v>687</v>
      </c>
      <c r="B688" s="32"/>
      <c r="C688" s="32" t="b">
        <f>_xlfn.XLOOKUP(Table6101112131415[[#This Row],[Category No]],Table8[Category No],Table8[Chapter List],FALSE)</f>
        <v>0</v>
      </c>
      <c r="D688" s="34"/>
      <c r="E688" s="34"/>
      <c r="F688" s="34"/>
    </row>
    <row r="689" spans="1:6" x14ac:dyDescent="0.3">
      <c r="A689" s="32">
        <v>688</v>
      </c>
      <c r="B689" s="32"/>
      <c r="C689" s="32" t="b">
        <f>_xlfn.XLOOKUP(Table6101112131415[[#This Row],[Category No]],Table8[Category No],Table8[Chapter List],FALSE)</f>
        <v>0</v>
      </c>
      <c r="D689" s="34"/>
      <c r="E689" s="34"/>
      <c r="F689" s="34"/>
    </row>
    <row r="690" spans="1:6" x14ac:dyDescent="0.3">
      <c r="A690" s="32">
        <v>689</v>
      </c>
      <c r="B690" s="32"/>
      <c r="C690" s="32" t="b">
        <f>_xlfn.XLOOKUP(Table6101112131415[[#This Row],[Category No]],Table8[Category No],Table8[Chapter List],FALSE)</f>
        <v>0</v>
      </c>
      <c r="D690" s="34"/>
      <c r="E690" s="34"/>
      <c r="F690" s="34"/>
    </row>
    <row r="691" spans="1:6" x14ac:dyDescent="0.3">
      <c r="A691" s="32">
        <v>690</v>
      </c>
      <c r="B691" s="32"/>
      <c r="C691" s="32" t="b">
        <f>_xlfn.XLOOKUP(Table6101112131415[[#This Row],[Category No]],Table8[Category No],Table8[Chapter List],FALSE)</f>
        <v>0</v>
      </c>
      <c r="D691" s="34"/>
      <c r="E691" s="34"/>
      <c r="F691" s="34"/>
    </row>
    <row r="692" spans="1:6" x14ac:dyDescent="0.3">
      <c r="A692" s="32">
        <v>691</v>
      </c>
      <c r="B692" s="32"/>
      <c r="C692" s="32" t="b">
        <f>_xlfn.XLOOKUP(Table6101112131415[[#This Row],[Category No]],Table8[Category No],Table8[Chapter List],FALSE)</f>
        <v>0</v>
      </c>
      <c r="D692" s="34"/>
      <c r="E692" s="34"/>
      <c r="F692" s="34"/>
    </row>
    <row r="693" spans="1:6" x14ac:dyDescent="0.3">
      <c r="A693" s="32">
        <v>692</v>
      </c>
      <c r="B693" s="32"/>
      <c r="C693" s="32" t="b">
        <f>_xlfn.XLOOKUP(Table6101112131415[[#This Row],[Category No]],Table8[Category No],Table8[Chapter List],FALSE)</f>
        <v>0</v>
      </c>
      <c r="D693" s="34"/>
      <c r="E693" s="34"/>
      <c r="F693" s="34"/>
    </row>
    <row r="694" spans="1:6" x14ac:dyDescent="0.3">
      <c r="A694" s="32">
        <v>693</v>
      </c>
      <c r="B694" s="32"/>
      <c r="C694" s="32" t="b">
        <f>_xlfn.XLOOKUP(Table6101112131415[[#This Row],[Category No]],Table8[Category No],Table8[Chapter List],FALSE)</f>
        <v>0</v>
      </c>
      <c r="D694" s="34"/>
      <c r="E694" s="34"/>
      <c r="F694" s="34"/>
    </row>
    <row r="695" spans="1:6" x14ac:dyDescent="0.3">
      <c r="A695" s="32">
        <v>694</v>
      </c>
      <c r="B695" s="32"/>
      <c r="C695" s="32" t="b">
        <f>_xlfn.XLOOKUP(Table6101112131415[[#This Row],[Category No]],Table8[Category No],Table8[Chapter List],FALSE)</f>
        <v>0</v>
      </c>
      <c r="D695" s="34"/>
      <c r="E695" s="34"/>
      <c r="F695" s="34"/>
    </row>
    <row r="696" spans="1:6" x14ac:dyDescent="0.3">
      <c r="A696" s="32">
        <v>695</v>
      </c>
      <c r="B696" s="32"/>
      <c r="C696" s="32" t="b">
        <f>_xlfn.XLOOKUP(Table6101112131415[[#This Row],[Category No]],Table8[Category No],Table8[Chapter List],FALSE)</f>
        <v>0</v>
      </c>
      <c r="D696" s="34"/>
      <c r="E696" s="34"/>
      <c r="F696" s="34"/>
    </row>
    <row r="697" spans="1:6" x14ac:dyDescent="0.3">
      <c r="A697" s="32">
        <v>696</v>
      </c>
      <c r="B697" s="32"/>
      <c r="C697" s="32" t="b">
        <f>_xlfn.XLOOKUP(Table6101112131415[[#This Row],[Category No]],Table8[Category No],Table8[Chapter List],FALSE)</f>
        <v>0</v>
      </c>
      <c r="D697" s="34"/>
      <c r="E697" s="34"/>
      <c r="F697" s="34"/>
    </row>
    <row r="698" spans="1:6" x14ac:dyDescent="0.3">
      <c r="A698" s="32">
        <v>697</v>
      </c>
      <c r="B698" s="32"/>
      <c r="C698" s="32" t="b">
        <f>_xlfn.XLOOKUP(Table6101112131415[[#This Row],[Category No]],Table8[Category No],Table8[Chapter List],FALSE)</f>
        <v>0</v>
      </c>
      <c r="D698" s="34"/>
      <c r="E698" s="34"/>
      <c r="F698" s="34"/>
    </row>
    <row r="699" spans="1:6" x14ac:dyDescent="0.3">
      <c r="A699" s="32">
        <v>698</v>
      </c>
      <c r="B699" s="32"/>
      <c r="C699" s="32" t="b">
        <f>_xlfn.XLOOKUP(Table6101112131415[[#This Row],[Category No]],Table8[Category No],Table8[Chapter List],FALSE)</f>
        <v>0</v>
      </c>
      <c r="D699" s="34"/>
      <c r="E699" s="34"/>
      <c r="F699" s="34"/>
    </row>
    <row r="700" spans="1:6" x14ac:dyDescent="0.3">
      <c r="A700" s="32">
        <v>699</v>
      </c>
      <c r="B700" s="32"/>
      <c r="C700" s="32" t="b">
        <f>_xlfn.XLOOKUP(Table6101112131415[[#This Row],[Category No]],Table8[Category No],Table8[Chapter List],FALSE)</f>
        <v>0</v>
      </c>
      <c r="D700" s="34"/>
      <c r="E700" s="34"/>
      <c r="F700" s="34"/>
    </row>
    <row r="701" spans="1:6" x14ac:dyDescent="0.3">
      <c r="A701" s="32">
        <v>700</v>
      </c>
      <c r="B701" s="32"/>
      <c r="C701" s="32" t="b">
        <f>_xlfn.XLOOKUP(Table6101112131415[[#This Row],[Category No]],Table8[Category No],Table8[Chapter List],FALSE)</f>
        <v>0</v>
      </c>
      <c r="D701" s="34"/>
      <c r="E701" s="34"/>
      <c r="F701" s="34"/>
    </row>
    <row r="702" spans="1:6" x14ac:dyDescent="0.3">
      <c r="A702" s="32">
        <v>701</v>
      </c>
      <c r="B702" s="32"/>
      <c r="C702" s="32" t="b">
        <f>_xlfn.XLOOKUP(Table6101112131415[[#This Row],[Category No]],Table8[Category No],Table8[Chapter List],FALSE)</f>
        <v>0</v>
      </c>
      <c r="D702" s="34"/>
      <c r="E702" s="34"/>
      <c r="F702" s="34"/>
    </row>
    <row r="703" spans="1:6" x14ac:dyDescent="0.3">
      <c r="A703" s="32">
        <v>702</v>
      </c>
      <c r="B703" s="32"/>
      <c r="C703" s="32" t="b">
        <f>_xlfn.XLOOKUP(Table6101112131415[[#This Row],[Category No]],Table8[Category No],Table8[Chapter List],FALSE)</f>
        <v>0</v>
      </c>
      <c r="D703" s="34"/>
      <c r="E703" s="34"/>
      <c r="F703" s="34"/>
    </row>
    <row r="704" spans="1:6" x14ac:dyDescent="0.3">
      <c r="A704" s="32">
        <v>703</v>
      </c>
      <c r="B704" s="32"/>
      <c r="C704" s="32" t="b">
        <f>_xlfn.XLOOKUP(Table6101112131415[[#This Row],[Category No]],Table8[Category No],Table8[Chapter List],FALSE)</f>
        <v>0</v>
      </c>
      <c r="D704" s="34"/>
      <c r="E704" s="34"/>
      <c r="F704" s="34"/>
    </row>
    <row r="705" spans="1:6" x14ac:dyDescent="0.3">
      <c r="A705" s="32">
        <v>704</v>
      </c>
      <c r="B705" s="32"/>
      <c r="C705" s="32" t="b">
        <f>_xlfn.XLOOKUP(Table6101112131415[[#This Row],[Category No]],Table8[Category No],Table8[Chapter List],FALSE)</f>
        <v>0</v>
      </c>
      <c r="D705" s="34"/>
      <c r="E705" s="34"/>
      <c r="F705" s="34"/>
    </row>
    <row r="706" spans="1:6" x14ac:dyDescent="0.3">
      <c r="A706" s="32">
        <v>705</v>
      </c>
      <c r="B706" s="32"/>
      <c r="C706" s="32" t="b">
        <f>_xlfn.XLOOKUP(Table6101112131415[[#This Row],[Category No]],Table8[Category No],Table8[Chapter List],FALSE)</f>
        <v>0</v>
      </c>
      <c r="D706" s="34"/>
      <c r="E706" s="34"/>
      <c r="F706" s="34"/>
    </row>
    <row r="707" spans="1:6" x14ac:dyDescent="0.3">
      <c r="A707" s="32">
        <v>706</v>
      </c>
      <c r="B707" s="32"/>
      <c r="C707" s="32" t="b">
        <f>_xlfn.XLOOKUP(Table6101112131415[[#This Row],[Category No]],Table8[Category No],Table8[Chapter List],FALSE)</f>
        <v>0</v>
      </c>
      <c r="D707" s="34"/>
      <c r="E707" s="34"/>
      <c r="F707" s="34"/>
    </row>
    <row r="708" spans="1:6" x14ac:dyDescent="0.3">
      <c r="A708" s="32">
        <v>707</v>
      </c>
      <c r="B708" s="32"/>
      <c r="C708" s="32" t="b">
        <f>_xlfn.XLOOKUP(Table6101112131415[[#This Row],[Category No]],Table8[Category No],Table8[Chapter List],FALSE)</f>
        <v>0</v>
      </c>
      <c r="D708" s="34"/>
      <c r="E708" s="34"/>
      <c r="F708" s="34"/>
    </row>
    <row r="709" spans="1:6" x14ac:dyDescent="0.3">
      <c r="A709" s="32">
        <v>708</v>
      </c>
      <c r="B709" s="32"/>
      <c r="C709" s="32" t="b">
        <f>_xlfn.XLOOKUP(Table6101112131415[[#This Row],[Category No]],Table8[Category No],Table8[Chapter List],FALSE)</f>
        <v>0</v>
      </c>
      <c r="D709" s="34"/>
      <c r="E709" s="34"/>
      <c r="F709" s="34"/>
    </row>
    <row r="710" spans="1:6" x14ac:dyDescent="0.3">
      <c r="A710" s="32">
        <v>709</v>
      </c>
      <c r="B710" s="32"/>
      <c r="C710" s="32" t="b">
        <f>_xlfn.XLOOKUP(Table6101112131415[[#This Row],[Category No]],Table8[Category No],Table8[Chapter List],FALSE)</f>
        <v>0</v>
      </c>
      <c r="D710" s="34"/>
      <c r="E710" s="34"/>
      <c r="F710" s="34"/>
    </row>
    <row r="711" spans="1:6" x14ac:dyDescent="0.3">
      <c r="A711" s="32">
        <v>710</v>
      </c>
      <c r="B711" s="32"/>
      <c r="C711" s="32" t="b">
        <f>_xlfn.XLOOKUP(Table6101112131415[[#This Row],[Category No]],Table8[Category No],Table8[Chapter List],FALSE)</f>
        <v>0</v>
      </c>
      <c r="D711" s="34"/>
      <c r="E711" s="34"/>
      <c r="F711" s="34"/>
    </row>
    <row r="712" spans="1:6" x14ac:dyDescent="0.3">
      <c r="A712" s="32">
        <v>711</v>
      </c>
      <c r="B712" s="32"/>
      <c r="C712" s="32" t="b">
        <f>_xlfn.XLOOKUP(Table6101112131415[[#This Row],[Category No]],Table8[Category No],Table8[Chapter List],FALSE)</f>
        <v>0</v>
      </c>
      <c r="D712" s="34"/>
      <c r="E712" s="34"/>
      <c r="F712" s="34"/>
    </row>
    <row r="713" spans="1:6" x14ac:dyDescent="0.3">
      <c r="A713" s="32">
        <v>712</v>
      </c>
      <c r="B713" s="32"/>
      <c r="C713" s="32" t="b">
        <f>_xlfn.XLOOKUP(Table6101112131415[[#This Row],[Category No]],Table8[Category No],Table8[Chapter List],FALSE)</f>
        <v>0</v>
      </c>
      <c r="D713" s="34"/>
      <c r="E713" s="34"/>
      <c r="F713" s="34"/>
    </row>
    <row r="714" spans="1:6" x14ac:dyDescent="0.3">
      <c r="A714" s="32">
        <v>713</v>
      </c>
      <c r="B714" s="32"/>
      <c r="C714" s="32" t="b">
        <f>_xlfn.XLOOKUP(Table6101112131415[[#This Row],[Category No]],Table8[Category No],Table8[Chapter List],FALSE)</f>
        <v>0</v>
      </c>
      <c r="D714" s="34"/>
      <c r="E714" s="34"/>
      <c r="F714" s="34"/>
    </row>
    <row r="715" spans="1:6" x14ac:dyDescent="0.3">
      <c r="A715" s="32">
        <v>714</v>
      </c>
      <c r="B715" s="32"/>
      <c r="C715" s="32" t="b">
        <f>_xlfn.XLOOKUP(Table6101112131415[[#This Row],[Category No]],Table8[Category No],Table8[Chapter List],FALSE)</f>
        <v>0</v>
      </c>
      <c r="D715" s="34"/>
      <c r="E715" s="34"/>
      <c r="F715" s="34"/>
    </row>
    <row r="716" spans="1:6" x14ac:dyDescent="0.3">
      <c r="A716" s="32">
        <v>715</v>
      </c>
      <c r="B716" s="32"/>
      <c r="C716" s="32" t="b">
        <f>_xlfn.XLOOKUP(Table6101112131415[[#This Row],[Category No]],Table8[Category No],Table8[Chapter List],FALSE)</f>
        <v>0</v>
      </c>
      <c r="D716" s="34"/>
      <c r="E716" s="34"/>
      <c r="F716" s="34"/>
    </row>
    <row r="717" spans="1:6" x14ac:dyDescent="0.3">
      <c r="A717" s="32">
        <v>716</v>
      </c>
      <c r="B717" s="32"/>
      <c r="C717" s="32" t="b">
        <f>_xlfn.XLOOKUP(Table6101112131415[[#This Row],[Category No]],Table8[Category No],Table8[Chapter List],FALSE)</f>
        <v>0</v>
      </c>
      <c r="D717" s="34"/>
      <c r="E717" s="34"/>
      <c r="F717" s="34"/>
    </row>
    <row r="718" spans="1:6" x14ac:dyDescent="0.3">
      <c r="A718" s="32">
        <v>717</v>
      </c>
      <c r="B718" s="32"/>
      <c r="C718" s="32" t="b">
        <f>_xlfn.XLOOKUP(Table6101112131415[[#This Row],[Category No]],Table8[Category No],Table8[Chapter List],FALSE)</f>
        <v>0</v>
      </c>
      <c r="D718" s="34"/>
      <c r="E718" s="34"/>
      <c r="F718" s="34"/>
    </row>
    <row r="719" spans="1:6" x14ac:dyDescent="0.3">
      <c r="A719" s="32">
        <v>718</v>
      </c>
      <c r="B719" s="32"/>
      <c r="C719" s="32" t="b">
        <f>_xlfn.XLOOKUP(Table6101112131415[[#This Row],[Category No]],Table8[Category No],Table8[Chapter List],FALSE)</f>
        <v>0</v>
      </c>
      <c r="D719" s="34"/>
      <c r="E719" s="34"/>
      <c r="F719" s="34"/>
    </row>
    <row r="720" spans="1:6" x14ac:dyDescent="0.3">
      <c r="A720" s="32">
        <v>719</v>
      </c>
      <c r="B720" s="32"/>
      <c r="C720" s="32" t="b">
        <f>_xlfn.XLOOKUP(Table6101112131415[[#This Row],[Category No]],Table8[Category No],Table8[Chapter List],FALSE)</f>
        <v>0</v>
      </c>
      <c r="D720" s="34"/>
      <c r="E720" s="34"/>
      <c r="F720" s="34"/>
    </row>
    <row r="721" spans="1:6" x14ac:dyDescent="0.3">
      <c r="A721" s="32">
        <v>720</v>
      </c>
      <c r="B721" s="32"/>
      <c r="C721" s="32" t="b">
        <f>_xlfn.XLOOKUP(Table6101112131415[[#This Row],[Category No]],Table8[Category No],Table8[Chapter List],FALSE)</f>
        <v>0</v>
      </c>
      <c r="D721" s="34"/>
      <c r="E721" s="34"/>
      <c r="F721" s="34"/>
    </row>
    <row r="722" spans="1:6" x14ac:dyDescent="0.3">
      <c r="A722" s="32">
        <v>721</v>
      </c>
      <c r="B722" s="32"/>
      <c r="C722" s="32" t="b">
        <f>_xlfn.XLOOKUP(Table6101112131415[[#This Row],[Category No]],Table8[Category No],Table8[Chapter List],FALSE)</f>
        <v>0</v>
      </c>
      <c r="D722" s="34"/>
      <c r="E722" s="34"/>
      <c r="F722" s="34"/>
    </row>
    <row r="723" spans="1:6" x14ac:dyDescent="0.3">
      <c r="A723" s="32">
        <v>722</v>
      </c>
      <c r="B723" s="32"/>
      <c r="C723" s="32" t="b">
        <f>_xlfn.XLOOKUP(Table6101112131415[[#This Row],[Category No]],Table8[Category No],Table8[Chapter List],FALSE)</f>
        <v>0</v>
      </c>
      <c r="D723" s="34"/>
      <c r="E723" s="34"/>
      <c r="F723" s="34"/>
    </row>
    <row r="724" spans="1:6" x14ac:dyDescent="0.3">
      <c r="A724" s="32">
        <v>723</v>
      </c>
      <c r="B724" s="32"/>
      <c r="C724" s="32" t="b">
        <f>_xlfn.XLOOKUP(Table6101112131415[[#This Row],[Category No]],Table8[Category No],Table8[Chapter List],FALSE)</f>
        <v>0</v>
      </c>
      <c r="D724" s="34"/>
      <c r="E724" s="34"/>
      <c r="F724" s="34"/>
    </row>
    <row r="725" spans="1:6" x14ac:dyDescent="0.3">
      <c r="A725" s="32">
        <v>724</v>
      </c>
      <c r="B725" s="32"/>
      <c r="C725" s="32" t="b">
        <f>_xlfn.XLOOKUP(Table6101112131415[[#This Row],[Category No]],Table8[Category No],Table8[Chapter List],FALSE)</f>
        <v>0</v>
      </c>
      <c r="D725" s="34"/>
      <c r="E725" s="34"/>
      <c r="F725" s="34"/>
    </row>
    <row r="726" spans="1:6" x14ac:dyDescent="0.3">
      <c r="A726" s="32">
        <v>725</v>
      </c>
      <c r="B726" s="32"/>
      <c r="C726" s="32" t="b">
        <f>_xlfn.XLOOKUP(Table6101112131415[[#This Row],[Category No]],Table8[Category No],Table8[Chapter List],FALSE)</f>
        <v>0</v>
      </c>
      <c r="D726" s="34"/>
      <c r="E726" s="34"/>
      <c r="F726" s="34"/>
    </row>
    <row r="727" spans="1:6" x14ac:dyDescent="0.3">
      <c r="A727" s="32">
        <v>726</v>
      </c>
      <c r="B727" s="32"/>
      <c r="C727" s="32" t="b">
        <f>_xlfn.XLOOKUP(Table6101112131415[[#This Row],[Category No]],Table8[Category No],Table8[Chapter List],FALSE)</f>
        <v>0</v>
      </c>
      <c r="D727" s="34"/>
      <c r="E727" s="34"/>
      <c r="F727" s="34"/>
    </row>
    <row r="728" spans="1:6" x14ac:dyDescent="0.3">
      <c r="A728" s="32">
        <v>727</v>
      </c>
      <c r="B728" s="32"/>
      <c r="C728" s="32" t="b">
        <f>_xlfn.XLOOKUP(Table6101112131415[[#This Row],[Category No]],Table8[Category No],Table8[Chapter List],FALSE)</f>
        <v>0</v>
      </c>
      <c r="D728" s="34"/>
      <c r="E728" s="34"/>
      <c r="F728" s="34"/>
    </row>
    <row r="729" spans="1:6" x14ac:dyDescent="0.3">
      <c r="A729" s="32">
        <v>728</v>
      </c>
      <c r="B729" s="32"/>
      <c r="C729" s="32" t="b">
        <f>_xlfn.XLOOKUP(Table6101112131415[[#This Row],[Category No]],Table8[Category No],Table8[Chapter List],FALSE)</f>
        <v>0</v>
      </c>
      <c r="D729" s="34"/>
      <c r="E729" s="34"/>
      <c r="F729" s="34"/>
    </row>
    <row r="730" spans="1:6" x14ac:dyDescent="0.3">
      <c r="A730" s="32">
        <v>729</v>
      </c>
      <c r="B730" s="32"/>
      <c r="C730" s="32" t="b">
        <f>_xlfn.XLOOKUP(Table6101112131415[[#This Row],[Category No]],Table8[Category No],Table8[Chapter List],FALSE)</f>
        <v>0</v>
      </c>
      <c r="D730" s="34"/>
      <c r="E730" s="34"/>
      <c r="F730" s="34"/>
    </row>
    <row r="731" spans="1:6" x14ac:dyDescent="0.3">
      <c r="A731" s="32">
        <v>730</v>
      </c>
      <c r="B731" s="32"/>
      <c r="C731" s="32" t="b">
        <f>_xlfn.XLOOKUP(Table6101112131415[[#This Row],[Category No]],Table8[Category No],Table8[Chapter List],FALSE)</f>
        <v>0</v>
      </c>
      <c r="D731" s="34"/>
      <c r="E731" s="34"/>
      <c r="F731" s="34"/>
    </row>
    <row r="732" spans="1:6" x14ac:dyDescent="0.3">
      <c r="A732" s="32">
        <v>731</v>
      </c>
      <c r="B732" s="32"/>
      <c r="C732" s="32" t="b">
        <f>_xlfn.XLOOKUP(Table6101112131415[[#This Row],[Category No]],Table8[Category No],Table8[Chapter List],FALSE)</f>
        <v>0</v>
      </c>
      <c r="D732" s="34"/>
      <c r="E732" s="34"/>
      <c r="F732" s="34"/>
    </row>
    <row r="733" spans="1:6" x14ac:dyDescent="0.3">
      <c r="A733" s="32">
        <v>732</v>
      </c>
      <c r="B733" s="32"/>
      <c r="C733" s="32" t="b">
        <f>_xlfn.XLOOKUP(Table6101112131415[[#This Row],[Category No]],Table8[Category No],Table8[Chapter List],FALSE)</f>
        <v>0</v>
      </c>
      <c r="D733" s="34"/>
      <c r="E733" s="34"/>
      <c r="F733" s="34"/>
    </row>
    <row r="734" spans="1:6" x14ac:dyDescent="0.3">
      <c r="A734" s="32">
        <v>733</v>
      </c>
      <c r="B734" s="32"/>
      <c r="C734" s="32" t="b">
        <f>_xlfn.XLOOKUP(Table6101112131415[[#This Row],[Category No]],Table8[Category No],Table8[Chapter List],FALSE)</f>
        <v>0</v>
      </c>
      <c r="D734" s="34"/>
      <c r="E734" s="34"/>
      <c r="F734" s="34"/>
    </row>
    <row r="735" spans="1:6" x14ac:dyDescent="0.3">
      <c r="A735" s="32">
        <v>734</v>
      </c>
      <c r="B735" s="32"/>
      <c r="C735" s="32" t="b">
        <f>_xlfn.XLOOKUP(Table6101112131415[[#This Row],[Category No]],Table8[Category No],Table8[Chapter List],FALSE)</f>
        <v>0</v>
      </c>
      <c r="D735" s="34"/>
      <c r="E735" s="34"/>
      <c r="F735" s="34"/>
    </row>
    <row r="736" spans="1:6" x14ac:dyDescent="0.3">
      <c r="A736" s="32">
        <v>735</v>
      </c>
      <c r="B736" s="32"/>
      <c r="C736" s="32" t="b">
        <f>_xlfn.XLOOKUP(Table6101112131415[[#This Row],[Category No]],Table8[Category No],Table8[Chapter List],FALSE)</f>
        <v>0</v>
      </c>
      <c r="D736" s="34"/>
      <c r="E736" s="34"/>
      <c r="F736" s="34"/>
    </row>
    <row r="737" spans="1:6" x14ac:dyDescent="0.3">
      <c r="A737" s="32">
        <v>736</v>
      </c>
      <c r="B737" s="32"/>
      <c r="C737" s="32" t="b">
        <f>_xlfn.XLOOKUP(Table6101112131415[[#This Row],[Category No]],Table8[Category No],Table8[Chapter List],FALSE)</f>
        <v>0</v>
      </c>
      <c r="D737" s="34"/>
      <c r="E737" s="34"/>
      <c r="F737" s="34"/>
    </row>
    <row r="738" spans="1:6" x14ac:dyDescent="0.3">
      <c r="A738" s="32">
        <v>737</v>
      </c>
      <c r="B738" s="32"/>
      <c r="C738" s="32" t="b">
        <f>_xlfn.XLOOKUP(Table6101112131415[[#This Row],[Category No]],Table8[Category No],Table8[Chapter List],FALSE)</f>
        <v>0</v>
      </c>
      <c r="D738" s="34"/>
      <c r="E738" s="34"/>
      <c r="F738" s="34"/>
    </row>
    <row r="739" spans="1:6" x14ac:dyDescent="0.3">
      <c r="A739" s="32">
        <v>738</v>
      </c>
      <c r="B739" s="32"/>
      <c r="C739" s="32" t="b">
        <f>_xlfn.XLOOKUP(Table6101112131415[[#This Row],[Category No]],Table8[Category No],Table8[Chapter List],FALSE)</f>
        <v>0</v>
      </c>
      <c r="D739" s="34"/>
      <c r="E739" s="34"/>
      <c r="F739" s="34"/>
    </row>
    <row r="740" spans="1:6" x14ac:dyDescent="0.3">
      <c r="A740" s="32">
        <v>739</v>
      </c>
      <c r="B740" s="32"/>
      <c r="C740" s="32" t="b">
        <f>_xlfn.XLOOKUP(Table6101112131415[[#This Row],[Category No]],Table8[Category No],Table8[Chapter List],FALSE)</f>
        <v>0</v>
      </c>
      <c r="D740" s="34"/>
      <c r="E740" s="34"/>
      <c r="F740" s="34"/>
    </row>
    <row r="741" spans="1:6" x14ac:dyDescent="0.3">
      <c r="A741" s="32">
        <v>740</v>
      </c>
      <c r="B741" s="32"/>
      <c r="C741" s="32" t="b">
        <f>_xlfn.XLOOKUP(Table6101112131415[[#This Row],[Category No]],Table8[Category No],Table8[Chapter List],FALSE)</f>
        <v>0</v>
      </c>
      <c r="D741" s="34"/>
      <c r="E741" s="34"/>
      <c r="F741" s="34"/>
    </row>
    <row r="742" spans="1:6" x14ac:dyDescent="0.3">
      <c r="A742" s="32">
        <v>741</v>
      </c>
      <c r="B742" s="32"/>
      <c r="C742" s="32" t="b">
        <f>_xlfn.XLOOKUP(Table6101112131415[[#This Row],[Category No]],Table8[Category No],Table8[Chapter List],FALSE)</f>
        <v>0</v>
      </c>
      <c r="D742" s="34"/>
      <c r="E742" s="34"/>
      <c r="F742" s="34"/>
    </row>
    <row r="743" spans="1:6" x14ac:dyDescent="0.3">
      <c r="A743" s="32">
        <v>742</v>
      </c>
      <c r="B743" s="32"/>
      <c r="C743" s="32" t="b">
        <f>_xlfn.XLOOKUP(Table6101112131415[[#This Row],[Category No]],Table8[Category No],Table8[Chapter List],FALSE)</f>
        <v>0</v>
      </c>
      <c r="D743" s="34"/>
      <c r="E743" s="34"/>
      <c r="F743" s="34"/>
    </row>
    <row r="744" spans="1:6" x14ac:dyDescent="0.3">
      <c r="A744" s="32">
        <v>743</v>
      </c>
      <c r="B744" s="32"/>
      <c r="C744" s="32" t="b">
        <f>_xlfn.XLOOKUP(Table6101112131415[[#This Row],[Category No]],Table8[Category No],Table8[Chapter List],FALSE)</f>
        <v>0</v>
      </c>
      <c r="D744" s="34"/>
      <c r="E744" s="34"/>
      <c r="F744" s="34"/>
    </row>
    <row r="745" spans="1:6" x14ac:dyDescent="0.3">
      <c r="A745" s="32">
        <v>744</v>
      </c>
      <c r="B745" s="32"/>
      <c r="C745" s="32" t="b">
        <f>_xlfn.XLOOKUP(Table6101112131415[[#This Row],[Category No]],Table8[Category No],Table8[Chapter List],FALSE)</f>
        <v>0</v>
      </c>
      <c r="D745" s="34"/>
      <c r="E745" s="34"/>
      <c r="F745" s="34"/>
    </row>
    <row r="746" spans="1:6" x14ac:dyDescent="0.3">
      <c r="A746" s="32">
        <v>745</v>
      </c>
      <c r="B746" s="32"/>
      <c r="C746" s="32" t="b">
        <f>_xlfn.XLOOKUP(Table6101112131415[[#This Row],[Category No]],Table8[Category No],Table8[Chapter List],FALSE)</f>
        <v>0</v>
      </c>
      <c r="D746" s="34"/>
      <c r="E746" s="34"/>
      <c r="F746" s="34"/>
    </row>
    <row r="747" spans="1:6" x14ac:dyDescent="0.3">
      <c r="A747" s="32">
        <v>746</v>
      </c>
      <c r="B747" s="32"/>
      <c r="C747" s="32" t="b">
        <f>_xlfn.XLOOKUP(Table6101112131415[[#This Row],[Category No]],Table8[Category No],Table8[Chapter List],FALSE)</f>
        <v>0</v>
      </c>
      <c r="D747" s="34"/>
      <c r="E747" s="34"/>
      <c r="F747" s="34"/>
    </row>
    <row r="748" spans="1:6" x14ac:dyDescent="0.3">
      <c r="A748" s="32">
        <v>747</v>
      </c>
      <c r="B748" s="32"/>
      <c r="C748" s="32" t="b">
        <f>_xlfn.XLOOKUP(Table6101112131415[[#This Row],[Category No]],Table8[Category No],Table8[Chapter List],FALSE)</f>
        <v>0</v>
      </c>
      <c r="D748" s="34"/>
      <c r="E748" s="34"/>
      <c r="F748" s="34"/>
    </row>
    <row r="749" spans="1:6" x14ac:dyDescent="0.3">
      <c r="A749" s="32">
        <v>748</v>
      </c>
      <c r="B749" s="32"/>
      <c r="C749" s="32" t="b">
        <f>_xlfn.XLOOKUP(Table6101112131415[[#This Row],[Category No]],Table8[Category No],Table8[Chapter List],FALSE)</f>
        <v>0</v>
      </c>
      <c r="D749" s="34"/>
      <c r="E749" s="34"/>
      <c r="F749" s="34"/>
    </row>
    <row r="750" spans="1:6" x14ac:dyDescent="0.3">
      <c r="A750" s="32">
        <v>749</v>
      </c>
      <c r="B750" s="32"/>
      <c r="C750" s="32" t="b">
        <f>_xlfn.XLOOKUP(Table6101112131415[[#This Row],[Category No]],Table8[Category No],Table8[Chapter List],FALSE)</f>
        <v>0</v>
      </c>
      <c r="D750" s="34"/>
      <c r="E750" s="34"/>
      <c r="F750" s="34"/>
    </row>
    <row r="751" spans="1:6" x14ac:dyDescent="0.3">
      <c r="A751" s="32">
        <v>750</v>
      </c>
      <c r="B751" s="32"/>
      <c r="C751" s="32" t="b">
        <f>_xlfn.XLOOKUP(Table6101112131415[[#This Row],[Category No]],Table8[Category No],Table8[Chapter List],FALSE)</f>
        <v>0</v>
      </c>
      <c r="D751" s="34"/>
      <c r="E751" s="34"/>
      <c r="F751" s="34"/>
    </row>
    <row r="752" spans="1:6" x14ac:dyDescent="0.3">
      <c r="A752" s="32">
        <v>751</v>
      </c>
      <c r="B752" s="32"/>
      <c r="C752" s="32" t="b">
        <f>_xlfn.XLOOKUP(Table6101112131415[[#This Row],[Category No]],Table8[Category No],Table8[Chapter List],FALSE)</f>
        <v>0</v>
      </c>
      <c r="D752" s="34"/>
      <c r="E752" s="34"/>
      <c r="F752" s="34"/>
    </row>
    <row r="753" spans="1:6" x14ac:dyDescent="0.3">
      <c r="A753" s="32">
        <v>752</v>
      </c>
      <c r="B753" s="32"/>
      <c r="C753" s="32" t="b">
        <f>_xlfn.XLOOKUP(Table6101112131415[[#This Row],[Category No]],Table8[Category No],Table8[Chapter List],FALSE)</f>
        <v>0</v>
      </c>
      <c r="D753" s="34"/>
      <c r="E753" s="34"/>
      <c r="F753" s="34"/>
    </row>
    <row r="754" spans="1:6" x14ac:dyDescent="0.3">
      <c r="A754" s="32">
        <v>753</v>
      </c>
      <c r="B754" s="32"/>
      <c r="C754" s="32" t="b">
        <f>_xlfn.XLOOKUP(Table6101112131415[[#This Row],[Category No]],Table8[Category No],Table8[Chapter List],FALSE)</f>
        <v>0</v>
      </c>
      <c r="D754" s="34"/>
      <c r="E754" s="34"/>
      <c r="F754" s="34"/>
    </row>
    <row r="755" spans="1:6" x14ac:dyDescent="0.3">
      <c r="A755" s="32">
        <v>754</v>
      </c>
      <c r="B755" s="32"/>
      <c r="C755" s="32" t="b">
        <f>_xlfn.XLOOKUP(Table6101112131415[[#This Row],[Category No]],Table8[Category No],Table8[Chapter List],FALSE)</f>
        <v>0</v>
      </c>
      <c r="D755" s="34"/>
      <c r="E755" s="34"/>
      <c r="F755" s="34"/>
    </row>
    <row r="756" spans="1:6" x14ac:dyDescent="0.3">
      <c r="A756" s="32">
        <v>755</v>
      </c>
      <c r="B756" s="32"/>
      <c r="C756" s="32" t="b">
        <f>_xlfn.XLOOKUP(Table6101112131415[[#This Row],[Category No]],Table8[Category No],Table8[Chapter List],FALSE)</f>
        <v>0</v>
      </c>
      <c r="D756" s="34"/>
      <c r="E756" s="34"/>
      <c r="F756" s="34"/>
    </row>
    <row r="757" spans="1:6" x14ac:dyDescent="0.3">
      <c r="A757" s="32">
        <v>756</v>
      </c>
      <c r="B757" s="32"/>
      <c r="C757" s="32" t="b">
        <f>_xlfn.XLOOKUP(Table6101112131415[[#This Row],[Category No]],Table8[Category No],Table8[Chapter List],FALSE)</f>
        <v>0</v>
      </c>
      <c r="D757" s="34"/>
      <c r="E757" s="34"/>
      <c r="F757" s="34"/>
    </row>
    <row r="758" spans="1:6" x14ac:dyDescent="0.3">
      <c r="A758" s="32">
        <v>757</v>
      </c>
      <c r="B758" s="32"/>
      <c r="C758" s="32" t="b">
        <f>_xlfn.XLOOKUP(Table6101112131415[[#This Row],[Category No]],Table8[Category No],Table8[Chapter List],FALSE)</f>
        <v>0</v>
      </c>
      <c r="D758" s="34"/>
      <c r="E758" s="34"/>
      <c r="F758" s="34"/>
    </row>
    <row r="759" spans="1:6" x14ac:dyDescent="0.3">
      <c r="A759" s="32">
        <v>758</v>
      </c>
      <c r="B759" s="32"/>
      <c r="C759" s="32" t="b">
        <f>_xlfn.XLOOKUP(Table6101112131415[[#This Row],[Category No]],Table8[Category No],Table8[Chapter List],FALSE)</f>
        <v>0</v>
      </c>
      <c r="D759" s="34"/>
      <c r="E759" s="34"/>
      <c r="F759" s="34"/>
    </row>
    <row r="760" spans="1:6" x14ac:dyDescent="0.3">
      <c r="A760" s="32">
        <v>759</v>
      </c>
      <c r="B760" s="32"/>
      <c r="C760" s="32" t="b">
        <f>_xlfn.XLOOKUP(Table6101112131415[[#This Row],[Category No]],Table8[Category No],Table8[Chapter List],FALSE)</f>
        <v>0</v>
      </c>
      <c r="D760" s="34"/>
      <c r="E760" s="34"/>
      <c r="F760" s="34"/>
    </row>
    <row r="761" spans="1:6" x14ac:dyDescent="0.3">
      <c r="A761" s="32">
        <v>760</v>
      </c>
      <c r="B761" s="32"/>
      <c r="C761" s="32" t="b">
        <f>_xlfn.XLOOKUP(Table6101112131415[[#This Row],[Category No]],Table8[Category No],Table8[Chapter List],FALSE)</f>
        <v>0</v>
      </c>
      <c r="D761" s="34"/>
      <c r="E761" s="34"/>
      <c r="F761" s="34"/>
    </row>
    <row r="762" spans="1:6" x14ac:dyDescent="0.3">
      <c r="A762" s="32">
        <v>761</v>
      </c>
      <c r="B762" s="32"/>
      <c r="C762" s="32" t="b">
        <f>_xlfn.XLOOKUP(Table6101112131415[[#This Row],[Category No]],Table8[Category No],Table8[Chapter List],FALSE)</f>
        <v>0</v>
      </c>
      <c r="D762" s="34"/>
      <c r="E762" s="34"/>
      <c r="F762" s="34"/>
    </row>
    <row r="763" spans="1:6" x14ac:dyDescent="0.3">
      <c r="A763" s="32">
        <v>762</v>
      </c>
      <c r="B763" s="32"/>
      <c r="C763" s="32" t="b">
        <f>_xlfn.XLOOKUP(Table6101112131415[[#This Row],[Category No]],Table8[Category No],Table8[Chapter List],FALSE)</f>
        <v>0</v>
      </c>
      <c r="D763" s="34"/>
      <c r="E763" s="34"/>
      <c r="F763" s="34"/>
    </row>
    <row r="764" spans="1:6" x14ac:dyDescent="0.3">
      <c r="A764" s="32">
        <v>763</v>
      </c>
      <c r="B764" s="32"/>
      <c r="C764" s="32" t="b">
        <f>_xlfn.XLOOKUP(Table6101112131415[[#This Row],[Category No]],Table8[Category No],Table8[Chapter List],FALSE)</f>
        <v>0</v>
      </c>
      <c r="D764" s="34"/>
      <c r="E764" s="34"/>
      <c r="F764" s="34"/>
    </row>
    <row r="765" spans="1:6" x14ac:dyDescent="0.3">
      <c r="A765" s="32">
        <v>764</v>
      </c>
      <c r="B765" s="32"/>
      <c r="C765" s="32" t="b">
        <f>_xlfn.XLOOKUP(Table6101112131415[[#This Row],[Category No]],Table8[Category No],Table8[Chapter List],FALSE)</f>
        <v>0</v>
      </c>
      <c r="D765" s="34"/>
      <c r="E765" s="34"/>
      <c r="F765" s="34"/>
    </row>
    <row r="766" spans="1:6" x14ac:dyDescent="0.3">
      <c r="A766" s="32">
        <v>765</v>
      </c>
      <c r="B766" s="32"/>
      <c r="C766" s="32" t="b">
        <f>_xlfn.XLOOKUP(Table6101112131415[[#This Row],[Category No]],Table8[Category No],Table8[Chapter List],FALSE)</f>
        <v>0</v>
      </c>
      <c r="D766" s="34"/>
      <c r="E766" s="34"/>
      <c r="F766" s="34"/>
    </row>
    <row r="767" spans="1:6" x14ac:dyDescent="0.3">
      <c r="A767" s="32">
        <v>766</v>
      </c>
      <c r="B767" s="32"/>
      <c r="C767" s="32" t="b">
        <f>_xlfn.XLOOKUP(Table6101112131415[[#This Row],[Category No]],Table8[Category No],Table8[Chapter List],FALSE)</f>
        <v>0</v>
      </c>
      <c r="D767" s="34"/>
      <c r="E767" s="34"/>
      <c r="F767" s="34"/>
    </row>
    <row r="768" spans="1:6" x14ac:dyDescent="0.3">
      <c r="A768" s="32">
        <v>767</v>
      </c>
      <c r="B768" s="32"/>
      <c r="C768" s="32" t="b">
        <f>_xlfn.XLOOKUP(Table6101112131415[[#This Row],[Category No]],Table8[Category No],Table8[Chapter List],FALSE)</f>
        <v>0</v>
      </c>
      <c r="D768" s="34"/>
      <c r="E768" s="34"/>
      <c r="F768" s="34"/>
    </row>
    <row r="769" spans="1:6" x14ac:dyDescent="0.3">
      <c r="A769" s="32">
        <v>768</v>
      </c>
      <c r="B769" s="32"/>
      <c r="C769" s="32" t="b">
        <f>_xlfn.XLOOKUP(Table6101112131415[[#This Row],[Category No]],Table8[Category No],Table8[Chapter List],FALSE)</f>
        <v>0</v>
      </c>
      <c r="D769" s="34"/>
      <c r="E769" s="34"/>
      <c r="F769" s="34"/>
    </row>
    <row r="770" spans="1:6" x14ac:dyDescent="0.3">
      <c r="A770" s="32">
        <v>769</v>
      </c>
      <c r="B770" s="32"/>
      <c r="C770" s="32" t="b">
        <f>_xlfn.XLOOKUP(Table6101112131415[[#This Row],[Category No]],Table8[Category No],Table8[Chapter List],FALSE)</f>
        <v>0</v>
      </c>
      <c r="D770" s="34"/>
      <c r="E770" s="34"/>
      <c r="F770" s="34"/>
    </row>
    <row r="771" spans="1:6" x14ac:dyDescent="0.3">
      <c r="A771" s="32">
        <v>770</v>
      </c>
      <c r="B771" s="32"/>
      <c r="C771" s="32" t="b">
        <f>_xlfn.XLOOKUP(Table6101112131415[[#This Row],[Category No]],Table8[Category No],Table8[Chapter List],FALSE)</f>
        <v>0</v>
      </c>
      <c r="D771" s="34"/>
      <c r="E771" s="34"/>
      <c r="F771" s="34"/>
    </row>
    <row r="772" spans="1:6" x14ac:dyDescent="0.3">
      <c r="A772" s="32">
        <v>771</v>
      </c>
      <c r="B772" s="32"/>
      <c r="C772" s="32" t="b">
        <f>_xlfn.XLOOKUP(Table6101112131415[[#This Row],[Category No]],Table8[Category No],Table8[Chapter List],FALSE)</f>
        <v>0</v>
      </c>
      <c r="D772" s="34"/>
      <c r="E772" s="34"/>
      <c r="F772" s="34"/>
    </row>
    <row r="773" spans="1:6" x14ac:dyDescent="0.3">
      <c r="A773" s="32">
        <v>772</v>
      </c>
      <c r="B773" s="32"/>
      <c r="C773" s="32" t="b">
        <f>_xlfn.XLOOKUP(Table6101112131415[[#This Row],[Category No]],Table8[Category No],Table8[Chapter List],FALSE)</f>
        <v>0</v>
      </c>
      <c r="D773" s="34"/>
      <c r="E773" s="34"/>
      <c r="F773" s="34"/>
    </row>
    <row r="774" spans="1:6" x14ac:dyDescent="0.3">
      <c r="A774" s="32">
        <v>773</v>
      </c>
      <c r="B774" s="32"/>
      <c r="C774" s="32" t="b">
        <f>_xlfn.XLOOKUP(Table6101112131415[[#This Row],[Category No]],Table8[Category No],Table8[Chapter List],FALSE)</f>
        <v>0</v>
      </c>
      <c r="D774" s="34"/>
      <c r="E774" s="34"/>
      <c r="F774" s="34"/>
    </row>
    <row r="775" spans="1:6" x14ac:dyDescent="0.3">
      <c r="A775" s="32">
        <v>774</v>
      </c>
      <c r="B775" s="32"/>
      <c r="C775" s="32" t="b">
        <f>_xlfn.XLOOKUP(Table6101112131415[[#This Row],[Category No]],Table8[Category No],Table8[Chapter List],FALSE)</f>
        <v>0</v>
      </c>
      <c r="D775" s="34"/>
      <c r="E775" s="34"/>
      <c r="F775" s="34"/>
    </row>
    <row r="776" spans="1:6" x14ac:dyDescent="0.3">
      <c r="A776" s="32">
        <v>775</v>
      </c>
      <c r="B776" s="32"/>
      <c r="C776" s="32" t="b">
        <f>_xlfn.XLOOKUP(Table6101112131415[[#This Row],[Category No]],Table8[Category No],Table8[Chapter List],FALSE)</f>
        <v>0</v>
      </c>
      <c r="D776" s="34"/>
      <c r="E776" s="34"/>
      <c r="F776" s="34"/>
    </row>
    <row r="777" spans="1:6" x14ac:dyDescent="0.3">
      <c r="A777" s="32">
        <v>776</v>
      </c>
      <c r="B777" s="32"/>
      <c r="C777" s="32" t="b">
        <f>_xlfn.XLOOKUP(Table6101112131415[[#This Row],[Category No]],Table8[Category No],Table8[Chapter List],FALSE)</f>
        <v>0</v>
      </c>
      <c r="D777" s="34"/>
      <c r="E777" s="34"/>
      <c r="F777" s="34"/>
    </row>
    <row r="778" spans="1:6" x14ac:dyDescent="0.3">
      <c r="A778" s="32">
        <v>777</v>
      </c>
      <c r="B778" s="32"/>
      <c r="C778" s="32" t="b">
        <f>_xlfn.XLOOKUP(Table6101112131415[[#This Row],[Category No]],Table8[Category No],Table8[Chapter List],FALSE)</f>
        <v>0</v>
      </c>
      <c r="D778" s="34"/>
      <c r="E778" s="34"/>
      <c r="F778" s="34"/>
    </row>
    <row r="779" spans="1:6" x14ac:dyDescent="0.3">
      <c r="A779" s="32">
        <v>778</v>
      </c>
      <c r="B779" s="32"/>
      <c r="C779" s="32" t="b">
        <f>_xlfn.XLOOKUP(Table6101112131415[[#This Row],[Category No]],Table8[Category No],Table8[Chapter List],FALSE)</f>
        <v>0</v>
      </c>
      <c r="D779" s="34"/>
      <c r="E779" s="34"/>
      <c r="F779" s="34"/>
    </row>
    <row r="780" spans="1:6" x14ac:dyDescent="0.3">
      <c r="A780" s="32">
        <v>779</v>
      </c>
      <c r="B780" s="32"/>
      <c r="C780" s="32" t="b">
        <f>_xlfn.XLOOKUP(Table6101112131415[[#This Row],[Category No]],Table8[Category No],Table8[Chapter List],FALSE)</f>
        <v>0</v>
      </c>
      <c r="D780" s="34"/>
      <c r="E780" s="34"/>
      <c r="F780" s="34"/>
    </row>
    <row r="781" spans="1:6" x14ac:dyDescent="0.3">
      <c r="A781" s="32">
        <v>780</v>
      </c>
      <c r="B781" s="32"/>
      <c r="C781" s="32" t="b">
        <f>_xlfn.XLOOKUP(Table6101112131415[[#This Row],[Category No]],Table8[Category No],Table8[Chapter List],FALSE)</f>
        <v>0</v>
      </c>
      <c r="D781" s="34"/>
      <c r="E781" s="34"/>
      <c r="F781" s="34"/>
    </row>
    <row r="782" spans="1:6" x14ac:dyDescent="0.3">
      <c r="A782" s="32">
        <v>781</v>
      </c>
      <c r="B782" s="32"/>
      <c r="C782" s="32" t="b">
        <f>_xlfn.XLOOKUP(Table6101112131415[[#This Row],[Category No]],Table8[Category No],Table8[Chapter List],FALSE)</f>
        <v>0</v>
      </c>
      <c r="D782" s="34"/>
      <c r="E782" s="34"/>
      <c r="F782" s="34"/>
    </row>
    <row r="783" spans="1:6" x14ac:dyDescent="0.3">
      <c r="A783" s="32">
        <v>782</v>
      </c>
      <c r="B783" s="32"/>
      <c r="C783" s="32" t="b">
        <f>_xlfn.XLOOKUP(Table6101112131415[[#This Row],[Category No]],Table8[Category No],Table8[Chapter List],FALSE)</f>
        <v>0</v>
      </c>
      <c r="D783" s="34"/>
      <c r="E783" s="34"/>
      <c r="F783" s="34"/>
    </row>
    <row r="784" spans="1:6" x14ac:dyDescent="0.3">
      <c r="A784" s="32">
        <v>783</v>
      </c>
      <c r="B784" s="32"/>
      <c r="C784" s="32" t="b">
        <f>_xlfn.XLOOKUP(Table6101112131415[[#This Row],[Category No]],Table8[Category No],Table8[Chapter List],FALSE)</f>
        <v>0</v>
      </c>
      <c r="D784" s="34"/>
      <c r="E784" s="34"/>
      <c r="F784" s="34"/>
    </row>
    <row r="785" spans="1:6" x14ac:dyDescent="0.3">
      <c r="A785" s="32">
        <v>784</v>
      </c>
      <c r="B785" s="32"/>
      <c r="C785" s="32" t="b">
        <f>_xlfn.XLOOKUP(Table6101112131415[[#This Row],[Category No]],Table8[Category No],Table8[Chapter List],FALSE)</f>
        <v>0</v>
      </c>
      <c r="D785" s="34"/>
      <c r="E785" s="34"/>
      <c r="F785" s="34"/>
    </row>
    <row r="786" spans="1:6" x14ac:dyDescent="0.3">
      <c r="A786" s="32">
        <v>785</v>
      </c>
      <c r="B786" s="32"/>
      <c r="C786" s="32" t="b">
        <f>_xlfn.XLOOKUP(Table6101112131415[[#This Row],[Category No]],Table8[Category No],Table8[Chapter List],FALSE)</f>
        <v>0</v>
      </c>
      <c r="D786" s="34"/>
      <c r="E786" s="34"/>
      <c r="F786" s="34"/>
    </row>
    <row r="787" spans="1:6" x14ac:dyDescent="0.3">
      <c r="A787" s="32">
        <v>786</v>
      </c>
      <c r="B787" s="32"/>
      <c r="C787" s="32" t="b">
        <f>_xlfn.XLOOKUP(Table6101112131415[[#This Row],[Category No]],Table8[Category No],Table8[Chapter List],FALSE)</f>
        <v>0</v>
      </c>
      <c r="D787" s="34"/>
      <c r="E787" s="34"/>
      <c r="F787" s="34"/>
    </row>
    <row r="788" spans="1:6" x14ac:dyDescent="0.3">
      <c r="A788" s="32">
        <v>787</v>
      </c>
      <c r="B788" s="32"/>
      <c r="C788" s="32" t="b">
        <f>_xlfn.XLOOKUP(Table6101112131415[[#This Row],[Category No]],Table8[Category No],Table8[Chapter List],FALSE)</f>
        <v>0</v>
      </c>
      <c r="D788" s="34"/>
      <c r="E788" s="34"/>
      <c r="F788" s="34"/>
    </row>
    <row r="789" spans="1:6" x14ac:dyDescent="0.3">
      <c r="A789" s="32">
        <v>788</v>
      </c>
      <c r="B789" s="32"/>
      <c r="C789" s="32" t="b">
        <f>_xlfn.XLOOKUP(Table6101112131415[[#This Row],[Category No]],Table8[Category No],Table8[Chapter List],FALSE)</f>
        <v>0</v>
      </c>
      <c r="D789" s="34"/>
      <c r="E789" s="34"/>
      <c r="F789" s="34"/>
    </row>
    <row r="790" spans="1:6" x14ac:dyDescent="0.3">
      <c r="A790" s="32">
        <v>789</v>
      </c>
      <c r="B790" s="32"/>
      <c r="C790" s="32" t="b">
        <f>_xlfn.XLOOKUP(Table6101112131415[[#This Row],[Category No]],Table8[Category No],Table8[Chapter List],FALSE)</f>
        <v>0</v>
      </c>
      <c r="D790" s="34"/>
      <c r="E790" s="34"/>
      <c r="F790" s="34"/>
    </row>
    <row r="791" spans="1:6" x14ac:dyDescent="0.3">
      <c r="A791" s="32">
        <v>790</v>
      </c>
      <c r="B791" s="32"/>
      <c r="C791" s="32" t="b">
        <f>_xlfn.XLOOKUP(Table6101112131415[[#This Row],[Category No]],Table8[Category No],Table8[Chapter List],FALSE)</f>
        <v>0</v>
      </c>
      <c r="D791" s="34"/>
      <c r="E791" s="34"/>
      <c r="F791" s="34"/>
    </row>
    <row r="792" spans="1:6" x14ac:dyDescent="0.3">
      <c r="A792" s="32">
        <v>791</v>
      </c>
      <c r="B792" s="32"/>
      <c r="C792" s="32" t="b">
        <f>_xlfn.XLOOKUP(Table6101112131415[[#This Row],[Category No]],Table8[Category No],Table8[Chapter List],FALSE)</f>
        <v>0</v>
      </c>
      <c r="D792" s="34"/>
      <c r="E792" s="34"/>
      <c r="F792" s="34"/>
    </row>
    <row r="793" spans="1:6" x14ac:dyDescent="0.3">
      <c r="A793" s="32">
        <v>792</v>
      </c>
      <c r="B793" s="32"/>
      <c r="C793" s="32" t="b">
        <f>_xlfn.XLOOKUP(Table6101112131415[[#This Row],[Category No]],Table8[Category No],Table8[Chapter List],FALSE)</f>
        <v>0</v>
      </c>
      <c r="D793" s="34"/>
      <c r="E793" s="34"/>
      <c r="F793" s="34"/>
    </row>
    <row r="794" spans="1:6" x14ac:dyDescent="0.3">
      <c r="A794" s="32">
        <v>793</v>
      </c>
      <c r="B794" s="32"/>
      <c r="C794" s="32" t="b">
        <f>_xlfn.XLOOKUP(Table6101112131415[[#This Row],[Category No]],Table8[Category No],Table8[Chapter List],FALSE)</f>
        <v>0</v>
      </c>
      <c r="D794" s="34"/>
      <c r="E794" s="34"/>
      <c r="F794" s="34"/>
    </row>
    <row r="795" spans="1:6" x14ac:dyDescent="0.3">
      <c r="A795" s="32">
        <v>794</v>
      </c>
      <c r="B795" s="32"/>
      <c r="C795" s="32" t="b">
        <f>_xlfn.XLOOKUP(Table6101112131415[[#This Row],[Category No]],Table8[Category No],Table8[Chapter List],FALSE)</f>
        <v>0</v>
      </c>
      <c r="D795" s="34"/>
      <c r="E795" s="34"/>
      <c r="F795" s="34"/>
    </row>
    <row r="796" spans="1:6" x14ac:dyDescent="0.3">
      <c r="A796" s="32">
        <v>795</v>
      </c>
      <c r="B796" s="32"/>
      <c r="C796" s="32" t="b">
        <f>_xlfn.XLOOKUP(Table6101112131415[[#This Row],[Category No]],Table8[Category No],Table8[Chapter List],FALSE)</f>
        <v>0</v>
      </c>
      <c r="D796" s="34"/>
      <c r="E796" s="34"/>
      <c r="F796" s="34"/>
    </row>
    <row r="797" spans="1:6" x14ac:dyDescent="0.3">
      <c r="A797" s="32">
        <v>796</v>
      </c>
      <c r="B797" s="32"/>
      <c r="C797" s="32" t="b">
        <f>_xlfn.XLOOKUP(Table6101112131415[[#This Row],[Category No]],Table8[Category No],Table8[Chapter List],FALSE)</f>
        <v>0</v>
      </c>
      <c r="D797" s="34"/>
      <c r="E797" s="34"/>
      <c r="F797" s="34"/>
    </row>
    <row r="798" spans="1:6" x14ac:dyDescent="0.3">
      <c r="A798" s="32">
        <v>797</v>
      </c>
      <c r="B798" s="32"/>
      <c r="C798" s="32" t="b">
        <f>_xlfn.XLOOKUP(Table6101112131415[[#This Row],[Category No]],Table8[Category No],Table8[Chapter List],FALSE)</f>
        <v>0</v>
      </c>
      <c r="D798" s="34"/>
      <c r="E798" s="34"/>
      <c r="F798" s="34"/>
    </row>
    <row r="799" spans="1:6" x14ac:dyDescent="0.3">
      <c r="A799" s="32">
        <v>798</v>
      </c>
      <c r="B799" s="32"/>
      <c r="C799" s="32" t="b">
        <f>_xlfn.XLOOKUP(Table6101112131415[[#This Row],[Category No]],Table8[Category No],Table8[Chapter List],FALSE)</f>
        <v>0</v>
      </c>
      <c r="D799" s="34"/>
      <c r="E799" s="34"/>
      <c r="F799" s="34"/>
    </row>
    <row r="800" spans="1:6" x14ac:dyDescent="0.3">
      <c r="A800" s="32">
        <v>799</v>
      </c>
      <c r="B800" s="32"/>
      <c r="C800" s="32" t="b">
        <f>_xlfn.XLOOKUP(Table6101112131415[[#This Row],[Category No]],Table8[Category No],Table8[Chapter List],FALSE)</f>
        <v>0</v>
      </c>
      <c r="D800" s="34"/>
      <c r="E800" s="34"/>
      <c r="F800" s="34"/>
    </row>
    <row r="801" spans="1:6" x14ac:dyDescent="0.3">
      <c r="A801" s="32">
        <v>800</v>
      </c>
      <c r="B801" s="32"/>
      <c r="C801" s="32" t="b">
        <f>_xlfn.XLOOKUP(Table6101112131415[[#This Row],[Category No]],Table8[Category No],Table8[Chapter List],FALSE)</f>
        <v>0</v>
      </c>
      <c r="D801" s="34"/>
      <c r="E801" s="34"/>
      <c r="F801" s="34"/>
    </row>
    <row r="802" spans="1:6" x14ac:dyDescent="0.3">
      <c r="A802" s="32">
        <v>801</v>
      </c>
      <c r="B802" s="32"/>
      <c r="C802" s="32" t="b">
        <f>_xlfn.XLOOKUP(Table6101112131415[[#This Row],[Category No]],Table8[Category No],Table8[Chapter List],FALSE)</f>
        <v>0</v>
      </c>
      <c r="D802" s="34"/>
      <c r="E802" s="34"/>
      <c r="F802" s="34"/>
    </row>
    <row r="803" spans="1:6" x14ac:dyDescent="0.3">
      <c r="A803" s="32">
        <v>802</v>
      </c>
      <c r="B803" s="32"/>
      <c r="C803" s="32" t="b">
        <f>_xlfn.XLOOKUP(Table6101112131415[[#This Row],[Category No]],Table8[Category No],Table8[Chapter List],FALSE)</f>
        <v>0</v>
      </c>
      <c r="D803" s="34"/>
      <c r="E803" s="34"/>
      <c r="F803" s="34"/>
    </row>
    <row r="804" spans="1:6" x14ac:dyDescent="0.3">
      <c r="A804" s="32">
        <v>803</v>
      </c>
      <c r="B804" s="32"/>
      <c r="C804" s="32" t="b">
        <f>_xlfn.XLOOKUP(Table6101112131415[[#This Row],[Category No]],Table8[Category No],Table8[Chapter List],FALSE)</f>
        <v>0</v>
      </c>
      <c r="D804" s="34"/>
      <c r="E804" s="34"/>
      <c r="F804" s="34"/>
    </row>
    <row r="805" spans="1:6" x14ac:dyDescent="0.3">
      <c r="A805" s="32">
        <v>804</v>
      </c>
      <c r="B805" s="32"/>
      <c r="C805" s="32" t="b">
        <f>_xlfn.XLOOKUP(Table6101112131415[[#This Row],[Category No]],Table8[Category No],Table8[Chapter List],FALSE)</f>
        <v>0</v>
      </c>
      <c r="D805" s="34"/>
      <c r="E805" s="34"/>
      <c r="F805" s="34"/>
    </row>
    <row r="806" spans="1:6" x14ac:dyDescent="0.3">
      <c r="A806" s="32">
        <v>805</v>
      </c>
      <c r="B806" s="32"/>
      <c r="C806" s="32" t="b">
        <f>_xlfn.XLOOKUP(Table6101112131415[[#This Row],[Category No]],Table8[Category No],Table8[Chapter List],FALSE)</f>
        <v>0</v>
      </c>
      <c r="D806" s="34"/>
      <c r="E806" s="34"/>
      <c r="F806" s="34"/>
    </row>
    <row r="807" spans="1:6" x14ac:dyDescent="0.3">
      <c r="A807" s="32">
        <v>806</v>
      </c>
      <c r="B807" s="32"/>
      <c r="C807" s="32" t="b">
        <f>_xlfn.XLOOKUP(Table6101112131415[[#This Row],[Category No]],Table8[Category No],Table8[Chapter List],FALSE)</f>
        <v>0</v>
      </c>
      <c r="D807" s="34"/>
      <c r="E807" s="34"/>
      <c r="F807" s="34"/>
    </row>
    <row r="808" spans="1:6" x14ac:dyDescent="0.3">
      <c r="A808" s="32">
        <v>807</v>
      </c>
      <c r="B808" s="32"/>
      <c r="C808" s="32" t="b">
        <f>_xlfn.XLOOKUP(Table6101112131415[[#This Row],[Category No]],Table8[Category No],Table8[Chapter List],FALSE)</f>
        <v>0</v>
      </c>
      <c r="D808" s="34"/>
      <c r="E808" s="34"/>
      <c r="F808" s="34"/>
    </row>
    <row r="809" spans="1:6" x14ac:dyDescent="0.3">
      <c r="A809" s="32">
        <v>808</v>
      </c>
      <c r="B809" s="32"/>
      <c r="C809" s="32" t="b">
        <f>_xlfn.XLOOKUP(Table6101112131415[[#This Row],[Category No]],Table8[Category No],Table8[Chapter List],FALSE)</f>
        <v>0</v>
      </c>
      <c r="D809" s="34"/>
      <c r="E809" s="34"/>
      <c r="F809" s="34"/>
    </row>
    <row r="810" spans="1:6" x14ac:dyDescent="0.3">
      <c r="A810" s="32">
        <v>809</v>
      </c>
      <c r="B810" s="32"/>
      <c r="C810" s="32" t="b">
        <f>_xlfn.XLOOKUP(Table6101112131415[[#This Row],[Category No]],Table8[Category No],Table8[Chapter List],FALSE)</f>
        <v>0</v>
      </c>
      <c r="D810" s="34"/>
      <c r="E810" s="34"/>
      <c r="F810" s="34"/>
    </row>
    <row r="811" spans="1:6" x14ac:dyDescent="0.3">
      <c r="A811" s="32">
        <v>810</v>
      </c>
      <c r="B811" s="32"/>
      <c r="C811" s="32" t="b">
        <f>_xlfn.XLOOKUP(Table6101112131415[[#This Row],[Category No]],Table8[Category No],Table8[Chapter List],FALSE)</f>
        <v>0</v>
      </c>
      <c r="D811" s="34"/>
      <c r="E811" s="34"/>
      <c r="F811" s="34"/>
    </row>
    <row r="812" spans="1:6" x14ac:dyDescent="0.3">
      <c r="A812" s="32">
        <v>811</v>
      </c>
      <c r="B812" s="32"/>
      <c r="C812" s="32" t="b">
        <f>_xlfn.XLOOKUP(Table6101112131415[[#This Row],[Category No]],Table8[Category No],Table8[Chapter List],FALSE)</f>
        <v>0</v>
      </c>
      <c r="D812" s="34"/>
      <c r="E812" s="34"/>
      <c r="F812" s="34"/>
    </row>
    <row r="813" spans="1:6" x14ac:dyDescent="0.3">
      <c r="A813" s="32">
        <v>812</v>
      </c>
      <c r="B813" s="32"/>
      <c r="C813" s="32" t="b">
        <f>_xlfn.XLOOKUP(Table6101112131415[[#This Row],[Category No]],Table8[Category No],Table8[Chapter List],FALSE)</f>
        <v>0</v>
      </c>
      <c r="D813" s="34"/>
      <c r="E813" s="34"/>
      <c r="F813" s="34"/>
    </row>
    <row r="814" spans="1:6" x14ac:dyDescent="0.3">
      <c r="A814" s="32">
        <v>813</v>
      </c>
      <c r="B814" s="32"/>
      <c r="C814" s="32" t="b">
        <f>_xlfn.XLOOKUP(Table6101112131415[[#This Row],[Category No]],Table8[Category No],Table8[Chapter List],FALSE)</f>
        <v>0</v>
      </c>
      <c r="D814" s="34"/>
      <c r="E814" s="34"/>
      <c r="F814" s="34"/>
    </row>
    <row r="815" spans="1:6" x14ac:dyDescent="0.3">
      <c r="A815" s="32">
        <v>814</v>
      </c>
      <c r="B815" s="32"/>
      <c r="C815" s="32" t="b">
        <f>_xlfn.XLOOKUP(Table6101112131415[[#This Row],[Category No]],Table8[Category No],Table8[Chapter List],FALSE)</f>
        <v>0</v>
      </c>
      <c r="D815" s="34"/>
      <c r="E815" s="34"/>
      <c r="F815" s="34"/>
    </row>
    <row r="816" spans="1:6" x14ac:dyDescent="0.3">
      <c r="A816" s="32">
        <v>815</v>
      </c>
      <c r="B816" s="32"/>
      <c r="C816" s="32" t="b">
        <f>_xlfn.XLOOKUP(Table6101112131415[[#This Row],[Category No]],Table8[Category No],Table8[Chapter List],FALSE)</f>
        <v>0</v>
      </c>
      <c r="D816" s="34"/>
      <c r="E816" s="34"/>
      <c r="F816" s="34"/>
    </row>
    <row r="817" spans="1:6" x14ac:dyDescent="0.3">
      <c r="A817" s="32">
        <v>816</v>
      </c>
      <c r="B817" s="32"/>
      <c r="C817" s="32" t="b">
        <f>_xlfn.XLOOKUP(Table6101112131415[[#This Row],[Category No]],Table8[Category No],Table8[Chapter List],FALSE)</f>
        <v>0</v>
      </c>
      <c r="D817" s="34"/>
      <c r="E817" s="34"/>
      <c r="F817" s="34"/>
    </row>
    <row r="818" spans="1:6" x14ac:dyDescent="0.3">
      <c r="A818" s="32">
        <v>817</v>
      </c>
      <c r="B818" s="32"/>
      <c r="C818" s="32" t="b">
        <f>_xlfn.XLOOKUP(Table6101112131415[[#This Row],[Category No]],Table8[Category No],Table8[Chapter List],FALSE)</f>
        <v>0</v>
      </c>
      <c r="D818" s="34"/>
      <c r="E818" s="34"/>
      <c r="F818" s="34"/>
    </row>
    <row r="819" spans="1:6" x14ac:dyDescent="0.3">
      <c r="A819" s="32">
        <v>818</v>
      </c>
      <c r="B819" s="32"/>
      <c r="C819" s="32" t="b">
        <f>_xlfn.XLOOKUP(Table6101112131415[[#This Row],[Category No]],Table8[Category No],Table8[Chapter List],FALSE)</f>
        <v>0</v>
      </c>
      <c r="D819" s="34"/>
      <c r="E819" s="34"/>
      <c r="F819" s="34"/>
    </row>
    <row r="820" spans="1:6" x14ac:dyDescent="0.3">
      <c r="A820" s="32">
        <v>819</v>
      </c>
      <c r="B820" s="32"/>
      <c r="C820" s="32" t="b">
        <f>_xlfn.XLOOKUP(Table6101112131415[[#This Row],[Category No]],Table8[Category No],Table8[Chapter List],FALSE)</f>
        <v>0</v>
      </c>
      <c r="D820" s="34"/>
      <c r="E820" s="34"/>
      <c r="F820" s="34"/>
    </row>
    <row r="821" spans="1:6" x14ac:dyDescent="0.3">
      <c r="A821" s="32">
        <v>820</v>
      </c>
      <c r="B821" s="32"/>
      <c r="C821" s="32" t="b">
        <f>_xlfn.XLOOKUP(Table6101112131415[[#This Row],[Category No]],Table8[Category No],Table8[Chapter List],FALSE)</f>
        <v>0</v>
      </c>
      <c r="D821" s="34"/>
      <c r="E821" s="34"/>
      <c r="F821" s="34"/>
    </row>
    <row r="822" spans="1:6" x14ac:dyDescent="0.3">
      <c r="A822" s="32">
        <v>821</v>
      </c>
      <c r="B822" s="32"/>
      <c r="C822" s="32" t="b">
        <f>_xlfn.XLOOKUP(Table6101112131415[[#This Row],[Category No]],Table8[Category No],Table8[Chapter List],FALSE)</f>
        <v>0</v>
      </c>
      <c r="D822" s="34"/>
      <c r="E822" s="34"/>
      <c r="F822" s="34"/>
    </row>
    <row r="823" spans="1:6" x14ac:dyDescent="0.3">
      <c r="A823" s="32">
        <v>822</v>
      </c>
      <c r="B823" s="32"/>
      <c r="C823" s="32" t="b">
        <f>_xlfn.XLOOKUP(Table6101112131415[[#This Row],[Category No]],Table8[Category No],Table8[Chapter List],FALSE)</f>
        <v>0</v>
      </c>
      <c r="D823" s="34"/>
      <c r="E823" s="34"/>
      <c r="F823" s="34"/>
    </row>
    <row r="824" spans="1:6" x14ac:dyDescent="0.3">
      <c r="A824" s="32">
        <v>823</v>
      </c>
      <c r="B824" s="32"/>
      <c r="C824" s="32" t="b">
        <f>_xlfn.XLOOKUP(Table6101112131415[[#This Row],[Category No]],Table8[Category No],Table8[Chapter List],FALSE)</f>
        <v>0</v>
      </c>
      <c r="D824" s="34"/>
      <c r="E824" s="34"/>
      <c r="F824" s="34"/>
    </row>
    <row r="825" spans="1:6" x14ac:dyDescent="0.3">
      <c r="A825" s="32">
        <v>824</v>
      </c>
      <c r="B825" s="32"/>
      <c r="C825" s="32" t="b">
        <f>_xlfn.XLOOKUP(Table6101112131415[[#This Row],[Category No]],Table8[Category No],Table8[Chapter List],FALSE)</f>
        <v>0</v>
      </c>
      <c r="D825" s="34"/>
      <c r="E825" s="34"/>
      <c r="F825" s="34"/>
    </row>
    <row r="826" spans="1:6" x14ac:dyDescent="0.3">
      <c r="A826" s="32">
        <v>825</v>
      </c>
      <c r="B826" s="32"/>
      <c r="C826" s="32" t="b">
        <f>_xlfn.XLOOKUP(Table6101112131415[[#This Row],[Category No]],Table8[Category No],Table8[Chapter List],FALSE)</f>
        <v>0</v>
      </c>
      <c r="D826" s="34"/>
      <c r="E826" s="34"/>
      <c r="F826" s="34"/>
    </row>
    <row r="827" spans="1:6" x14ac:dyDescent="0.3">
      <c r="A827" s="32">
        <v>826</v>
      </c>
      <c r="B827" s="32"/>
      <c r="C827" s="32" t="b">
        <f>_xlfn.XLOOKUP(Table6101112131415[[#This Row],[Category No]],Table8[Category No],Table8[Chapter List],FALSE)</f>
        <v>0</v>
      </c>
      <c r="D827" s="34"/>
      <c r="E827" s="34"/>
      <c r="F827" s="34"/>
    </row>
    <row r="828" spans="1:6" x14ac:dyDescent="0.3">
      <c r="A828" s="32">
        <v>827</v>
      </c>
      <c r="B828" s="32"/>
      <c r="C828" s="32" t="b">
        <f>_xlfn.XLOOKUP(Table6101112131415[[#This Row],[Category No]],Table8[Category No],Table8[Chapter List],FALSE)</f>
        <v>0</v>
      </c>
      <c r="D828" s="34"/>
      <c r="E828" s="34"/>
      <c r="F828" s="34"/>
    </row>
    <row r="829" spans="1:6" x14ac:dyDescent="0.3">
      <c r="A829" s="32">
        <v>828</v>
      </c>
      <c r="B829" s="32"/>
      <c r="C829" s="32" t="b">
        <f>_xlfn.XLOOKUP(Table6101112131415[[#This Row],[Category No]],Table8[Category No],Table8[Chapter List],FALSE)</f>
        <v>0</v>
      </c>
      <c r="D829" s="34"/>
      <c r="E829" s="34"/>
      <c r="F829" s="34"/>
    </row>
    <row r="830" spans="1:6" x14ac:dyDescent="0.3">
      <c r="A830" s="32">
        <v>829</v>
      </c>
      <c r="B830" s="32"/>
      <c r="C830" s="32" t="b">
        <f>_xlfn.XLOOKUP(Table6101112131415[[#This Row],[Category No]],Table8[Category No],Table8[Chapter List],FALSE)</f>
        <v>0</v>
      </c>
      <c r="D830" s="34"/>
      <c r="E830" s="34"/>
      <c r="F830" s="34"/>
    </row>
    <row r="831" spans="1:6" x14ac:dyDescent="0.3">
      <c r="A831" s="32">
        <v>830</v>
      </c>
      <c r="B831" s="32"/>
      <c r="C831" s="32" t="b">
        <f>_xlfn.XLOOKUP(Table6101112131415[[#This Row],[Category No]],Table8[Category No],Table8[Chapter List],FALSE)</f>
        <v>0</v>
      </c>
      <c r="D831" s="34"/>
      <c r="E831" s="34"/>
      <c r="F831" s="34"/>
    </row>
    <row r="832" spans="1:6" x14ac:dyDescent="0.3">
      <c r="A832" s="32">
        <v>831</v>
      </c>
      <c r="B832" s="32"/>
      <c r="C832" s="32" t="b">
        <f>_xlfn.XLOOKUP(Table6101112131415[[#This Row],[Category No]],Table8[Category No],Table8[Chapter List],FALSE)</f>
        <v>0</v>
      </c>
      <c r="D832" s="34"/>
      <c r="E832" s="34"/>
      <c r="F832" s="34"/>
    </row>
    <row r="833" spans="1:6" x14ac:dyDescent="0.3">
      <c r="A833" s="32">
        <v>832</v>
      </c>
      <c r="B833" s="32"/>
      <c r="C833" s="32" t="b">
        <f>_xlfn.XLOOKUP(Table6101112131415[[#This Row],[Category No]],Table8[Category No],Table8[Chapter List],FALSE)</f>
        <v>0</v>
      </c>
      <c r="D833" s="34"/>
      <c r="E833" s="34"/>
      <c r="F833" s="34"/>
    </row>
    <row r="834" spans="1:6" x14ac:dyDescent="0.3">
      <c r="A834" s="32">
        <v>833</v>
      </c>
      <c r="B834" s="32"/>
      <c r="C834" s="32" t="b">
        <f>_xlfn.XLOOKUP(Table6101112131415[[#This Row],[Category No]],Table8[Category No],Table8[Chapter List],FALSE)</f>
        <v>0</v>
      </c>
      <c r="D834" s="34"/>
      <c r="E834" s="34"/>
      <c r="F834" s="34"/>
    </row>
    <row r="835" spans="1:6" x14ac:dyDescent="0.3">
      <c r="A835" s="32">
        <v>834</v>
      </c>
      <c r="B835" s="32"/>
      <c r="C835" s="32" t="b">
        <f>_xlfn.XLOOKUP(Table6101112131415[[#This Row],[Category No]],Table8[Category No],Table8[Chapter List],FALSE)</f>
        <v>0</v>
      </c>
      <c r="D835" s="34"/>
      <c r="E835" s="34"/>
      <c r="F835" s="34"/>
    </row>
    <row r="836" spans="1:6" x14ac:dyDescent="0.3">
      <c r="A836" s="32">
        <v>835</v>
      </c>
      <c r="B836" s="32"/>
      <c r="C836" s="32" t="b">
        <f>_xlfn.XLOOKUP(Table6101112131415[[#This Row],[Category No]],Table8[Category No],Table8[Chapter List],FALSE)</f>
        <v>0</v>
      </c>
      <c r="D836" s="34"/>
      <c r="E836" s="34"/>
      <c r="F836" s="34"/>
    </row>
    <row r="837" spans="1:6" x14ac:dyDescent="0.3">
      <c r="A837" s="32">
        <v>836</v>
      </c>
      <c r="B837" s="32"/>
      <c r="C837" s="32" t="b">
        <f>_xlfn.XLOOKUP(Table6101112131415[[#This Row],[Category No]],Table8[Category No],Table8[Chapter List],FALSE)</f>
        <v>0</v>
      </c>
      <c r="D837" s="34"/>
      <c r="E837" s="34"/>
      <c r="F837" s="34"/>
    </row>
    <row r="838" spans="1:6" x14ac:dyDescent="0.3">
      <c r="A838" s="32">
        <v>837</v>
      </c>
      <c r="B838" s="32"/>
      <c r="C838" s="32" t="b">
        <f>_xlfn.XLOOKUP(Table6101112131415[[#This Row],[Category No]],Table8[Category No],Table8[Chapter List],FALSE)</f>
        <v>0</v>
      </c>
      <c r="D838" s="34"/>
      <c r="E838" s="34"/>
      <c r="F838" s="34"/>
    </row>
    <row r="839" spans="1:6" x14ac:dyDescent="0.3">
      <c r="A839" s="32">
        <v>838</v>
      </c>
      <c r="B839" s="32"/>
      <c r="C839" s="32" t="b">
        <f>_xlfn.XLOOKUP(Table6101112131415[[#This Row],[Category No]],Table8[Category No],Table8[Chapter List],FALSE)</f>
        <v>0</v>
      </c>
      <c r="D839" s="34"/>
      <c r="E839" s="34"/>
      <c r="F839" s="34"/>
    </row>
    <row r="840" spans="1:6" x14ac:dyDescent="0.3">
      <c r="A840" s="32">
        <v>839</v>
      </c>
      <c r="B840" s="32"/>
      <c r="C840" s="32" t="b">
        <f>_xlfn.XLOOKUP(Table6101112131415[[#This Row],[Category No]],Table8[Category No],Table8[Chapter List],FALSE)</f>
        <v>0</v>
      </c>
      <c r="D840" s="34"/>
      <c r="E840" s="34"/>
      <c r="F840" s="34"/>
    </row>
    <row r="841" spans="1:6" x14ac:dyDescent="0.3">
      <c r="A841" s="32">
        <v>840</v>
      </c>
      <c r="B841" s="32"/>
      <c r="C841" s="32" t="b">
        <f>_xlfn.XLOOKUP(Table6101112131415[[#This Row],[Category No]],Table8[Category No],Table8[Chapter List],FALSE)</f>
        <v>0</v>
      </c>
      <c r="D841" s="34"/>
      <c r="E841" s="34"/>
      <c r="F841" s="34"/>
    </row>
    <row r="842" spans="1:6" x14ac:dyDescent="0.3">
      <c r="A842" s="32">
        <v>841</v>
      </c>
      <c r="B842" s="32"/>
      <c r="C842" s="32" t="b">
        <f>_xlfn.XLOOKUP(Table6101112131415[[#This Row],[Category No]],Table8[Category No],Table8[Chapter List],FALSE)</f>
        <v>0</v>
      </c>
      <c r="D842" s="34"/>
      <c r="E842" s="34"/>
      <c r="F842" s="34"/>
    </row>
    <row r="843" spans="1:6" x14ac:dyDescent="0.3">
      <c r="A843" s="32">
        <v>842</v>
      </c>
      <c r="B843" s="32"/>
      <c r="C843" s="32" t="b">
        <f>_xlfn.XLOOKUP(Table6101112131415[[#This Row],[Category No]],Table8[Category No],Table8[Chapter List],FALSE)</f>
        <v>0</v>
      </c>
      <c r="D843" s="34"/>
      <c r="E843" s="34"/>
      <c r="F843" s="34"/>
    </row>
    <row r="844" spans="1:6" x14ac:dyDescent="0.3">
      <c r="A844" s="32">
        <v>843</v>
      </c>
      <c r="B844" s="32"/>
      <c r="C844" s="32" t="b">
        <f>_xlfn.XLOOKUP(Table6101112131415[[#This Row],[Category No]],Table8[Category No],Table8[Chapter List],FALSE)</f>
        <v>0</v>
      </c>
      <c r="D844" s="34"/>
      <c r="E844" s="34"/>
      <c r="F844" s="34"/>
    </row>
    <row r="845" spans="1:6" x14ac:dyDescent="0.3">
      <c r="A845" s="32">
        <v>844</v>
      </c>
      <c r="B845" s="32"/>
      <c r="C845" s="32" t="b">
        <f>_xlfn.XLOOKUP(Table6101112131415[[#This Row],[Category No]],Table8[Category No],Table8[Chapter List],FALSE)</f>
        <v>0</v>
      </c>
      <c r="D845" s="34"/>
      <c r="E845" s="34"/>
      <c r="F845" s="34"/>
    </row>
    <row r="846" spans="1:6" x14ac:dyDescent="0.3">
      <c r="A846" s="32">
        <v>845</v>
      </c>
      <c r="B846" s="32"/>
      <c r="C846" s="32" t="b">
        <f>_xlfn.XLOOKUP(Table6101112131415[[#This Row],[Category No]],Table8[Category No],Table8[Chapter List],FALSE)</f>
        <v>0</v>
      </c>
      <c r="D846" s="34"/>
      <c r="E846" s="34"/>
      <c r="F846" s="34"/>
    </row>
    <row r="847" spans="1:6" x14ac:dyDescent="0.3">
      <c r="A847" s="32">
        <v>846</v>
      </c>
      <c r="B847" s="32"/>
      <c r="C847" s="32" t="b">
        <f>_xlfn.XLOOKUP(Table6101112131415[[#This Row],[Category No]],Table8[Category No],Table8[Chapter List],FALSE)</f>
        <v>0</v>
      </c>
      <c r="D847" s="34"/>
      <c r="E847" s="34"/>
      <c r="F847" s="34"/>
    </row>
    <row r="848" spans="1:6" x14ac:dyDescent="0.3">
      <c r="A848" s="32">
        <v>847</v>
      </c>
      <c r="B848" s="32"/>
      <c r="C848" s="32" t="b">
        <f>_xlfn.XLOOKUP(Table6101112131415[[#This Row],[Category No]],Table8[Category No],Table8[Chapter List],FALSE)</f>
        <v>0</v>
      </c>
      <c r="D848" s="34"/>
      <c r="E848" s="34"/>
      <c r="F848" s="34"/>
    </row>
    <row r="849" spans="1:6" x14ac:dyDescent="0.3">
      <c r="A849" s="32">
        <v>848</v>
      </c>
      <c r="B849" s="32"/>
      <c r="C849" s="32" t="b">
        <f>_xlfn.XLOOKUP(Table6101112131415[[#This Row],[Category No]],Table8[Category No],Table8[Chapter List],FALSE)</f>
        <v>0</v>
      </c>
      <c r="D849" s="34"/>
      <c r="E849" s="34"/>
      <c r="F849" s="34"/>
    </row>
    <row r="850" spans="1:6" x14ac:dyDescent="0.3">
      <c r="A850" s="32">
        <v>849</v>
      </c>
      <c r="B850" s="32"/>
      <c r="C850" s="32" t="b">
        <f>_xlfn.XLOOKUP(Table6101112131415[[#This Row],[Category No]],Table8[Category No],Table8[Chapter List],FALSE)</f>
        <v>0</v>
      </c>
      <c r="D850" s="34"/>
      <c r="E850" s="34"/>
      <c r="F850" s="34"/>
    </row>
    <row r="851" spans="1:6" x14ac:dyDescent="0.3">
      <c r="A851" s="32">
        <v>850</v>
      </c>
      <c r="B851" s="32"/>
      <c r="C851" s="32" t="b">
        <f>_xlfn.XLOOKUP(Table6101112131415[[#This Row],[Category No]],Table8[Category No],Table8[Chapter List],FALSE)</f>
        <v>0</v>
      </c>
      <c r="D851" s="34"/>
      <c r="E851" s="34"/>
      <c r="F851" s="34"/>
    </row>
    <row r="852" spans="1:6" x14ac:dyDescent="0.3">
      <c r="A852" s="32">
        <v>851</v>
      </c>
      <c r="B852" s="32"/>
      <c r="C852" s="32" t="b">
        <f>_xlfn.XLOOKUP(Table6101112131415[[#This Row],[Category No]],Table8[Category No],Table8[Chapter List],FALSE)</f>
        <v>0</v>
      </c>
      <c r="D852" s="34"/>
      <c r="E852" s="34"/>
      <c r="F852" s="34"/>
    </row>
    <row r="853" spans="1:6" x14ac:dyDescent="0.3">
      <c r="A853" s="32">
        <v>852</v>
      </c>
      <c r="B853" s="32"/>
      <c r="C853" s="32" t="b">
        <f>_xlfn.XLOOKUP(Table6101112131415[[#This Row],[Category No]],Table8[Category No],Table8[Chapter List],FALSE)</f>
        <v>0</v>
      </c>
      <c r="D853" s="34"/>
      <c r="E853" s="34"/>
      <c r="F853" s="34"/>
    </row>
    <row r="854" spans="1:6" x14ac:dyDescent="0.3">
      <c r="A854" s="32">
        <v>853</v>
      </c>
      <c r="B854" s="32"/>
      <c r="C854" s="32" t="b">
        <f>_xlfn.XLOOKUP(Table6101112131415[[#This Row],[Category No]],Table8[Category No],Table8[Chapter List],FALSE)</f>
        <v>0</v>
      </c>
      <c r="D854" s="34"/>
      <c r="E854" s="34"/>
      <c r="F854" s="34"/>
    </row>
    <row r="855" spans="1:6" x14ac:dyDescent="0.3">
      <c r="A855" s="32">
        <v>854</v>
      </c>
      <c r="B855" s="32"/>
      <c r="C855" s="32" t="b">
        <f>_xlfn.XLOOKUP(Table6101112131415[[#This Row],[Category No]],Table8[Category No],Table8[Chapter List],FALSE)</f>
        <v>0</v>
      </c>
      <c r="D855" s="34"/>
      <c r="E855" s="34"/>
      <c r="F855" s="34"/>
    </row>
    <row r="856" spans="1:6" x14ac:dyDescent="0.3">
      <c r="A856" s="32">
        <v>855</v>
      </c>
      <c r="B856" s="32"/>
      <c r="C856" s="32" t="b">
        <f>_xlfn.XLOOKUP(Table6101112131415[[#This Row],[Category No]],Table8[Category No],Table8[Chapter List],FALSE)</f>
        <v>0</v>
      </c>
      <c r="D856" s="34"/>
      <c r="E856" s="34"/>
      <c r="F856" s="34"/>
    </row>
    <row r="857" spans="1:6" x14ac:dyDescent="0.3">
      <c r="A857" s="32">
        <v>856</v>
      </c>
      <c r="B857" s="32"/>
      <c r="C857" s="32" t="b">
        <f>_xlfn.XLOOKUP(Table6101112131415[[#This Row],[Category No]],Table8[Category No],Table8[Chapter List],FALSE)</f>
        <v>0</v>
      </c>
      <c r="D857" s="34"/>
      <c r="E857" s="34"/>
      <c r="F857" s="34"/>
    </row>
    <row r="858" spans="1:6" x14ac:dyDescent="0.3">
      <c r="A858" s="32">
        <v>857</v>
      </c>
      <c r="B858" s="32"/>
      <c r="C858" s="32" t="b">
        <f>_xlfn.XLOOKUP(Table6101112131415[[#This Row],[Category No]],Table8[Category No],Table8[Chapter List],FALSE)</f>
        <v>0</v>
      </c>
      <c r="D858" s="34"/>
      <c r="E858" s="34"/>
      <c r="F858" s="34"/>
    </row>
    <row r="859" spans="1:6" x14ac:dyDescent="0.3">
      <c r="A859" s="32">
        <v>858</v>
      </c>
      <c r="B859" s="32"/>
      <c r="C859" s="32" t="b">
        <f>_xlfn.XLOOKUP(Table6101112131415[[#This Row],[Category No]],Table8[Category No],Table8[Chapter List],FALSE)</f>
        <v>0</v>
      </c>
      <c r="D859" s="34"/>
      <c r="E859" s="34"/>
      <c r="F859" s="34"/>
    </row>
    <row r="860" spans="1:6" x14ac:dyDescent="0.3">
      <c r="A860" s="32">
        <v>859</v>
      </c>
      <c r="B860" s="32"/>
      <c r="C860" s="32" t="b">
        <f>_xlfn.XLOOKUP(Table6101112131415[[#This Row],[Category No]],Table8[Category No],Table8[Chapter List],FALSE)</f>
        <v>0</v>
      </c>
      <c r="D860" s="34"/>
      <c r="E860" s="34"/>
      <c r="F860" s="34"/>
    </row>
    <row r="861" spans="1:6" x14ac:dyDescent="0.3">
      <c r="A861" s="32">
        <v>860</v>
      </c>
      <c r="B861" s="32"/>
      <c r="C861" s="32" t="b">
        <f>_xlfn.XLOOKUP(Table6101112131415[[#This Row],[Category No]],Table8[Category No],Table8[Chapter List],FALSE)</f>
        <v>0</v>
      </c>
      <c r="D861" s="34"/>
      <c r="E861" s="34"/>
      <c r="F861" s="34"/>
    </row>
    <row r="862" spans="1:6" x14ac:dyDescent="0.3">
      <c r="A862" s="32">
        <v>861</v>
      </c>
      <c r="B862" s="32"/>
      <c r="C862" s="32" t="b">
        <f>_xlfn.XLOOKUP(Table6101112131415[[#This Row],[Category No]],Table8[Category No],Table8[Chapter List],FALSE)</f>
        <v>0</v>
      </c>
      <c r="D862" s="34"/>
      <c r="E862" s="34"/>
      <c r="F862" s="34"/>
    </row>
    <row r="863" spans="1:6" x14ac:dyDescent="0.3">
      <c r="A863" s="32">
        <v>862</v>
      </c>
      <c r="B863" s="32"/>
      <c r="C863" s="32" t="b">
        <f>_xlfn.XLOOKUP(Table6101112131415[[#This Row],[Category No]],Table8[Category No],Table8[Chapter List],FALSE)</f>
        <v>0</v>
      </c>
      <c r="D863" s="34"/>
      <c r="E863" s="34"/>
      <c r="F863" s="34"/>
    </row>
    <row r="864" spans="1:6" x14ac:dyDescent="0.3">
      <c r="A864" s="32">
        <v>863</v>
      </c>
      <c r="B864" s="32"/>
      <c r="C864" s="32" t="b">
        <f>_xlfn.XLOOKUP(Table6101112131415[[#This Row],[Category No]],Table8[Category No],Table8[Chapter List],FALSE)</f>
        <v>0</v>
      </c>
      <c r="D864" s="34"/>
      <c r="E864" s="34"/>
      <c r="F864" s="34"/>
    </row>
    <row r="865" spans="1:6" x14ac:dyDescent="0.3">
      <c r="A865" s="32">
        <v>864</v>
      </c>
      <c r="B865" s="32"/>
      <c r="C865" s="32" t="b">
        <f>_xlfn.XLOOKUP(Table6101112131415[[#This Row],[Category No]],Table8[Category No],Table8[Chapter List],FALSE)</f>
        <v>0</v>
      </c>
      <c r="D865" s="34"/>
      <c r="E865" s="34"/>
      <c r="F865" s="34"/>
    </row>
    <row r="866" spans="1:6" x14ac:dyDescent="0.3">
      <c r="A866" s="32">
        <v>865</v>
      </c>
      <c r="B866" s="32"/>
      <c r="C866" s="32" t="b">
        <f>_xlfn.XLOOKUP(Table6101112131415[[#This Row],[Category No]],Table8[Category No],Table8[Chapter List],FALSE)</f>
        <v>0</v>
      </c>
      <c r="D866" s="34"/>
      <c r="E866" s="34"/>
      <c r="F866" s="34"/>
    </row>
    <row r="867" spans="1:6" x14ac:dyDescent="0.3">
      <c r="A867" s="32">
        <v>866</v>
      </c>
      <c r="B867" s="32"/>
      <c r="C867" s="32" t="b">
        <f>_xlfn.XLOOKUP(Table6101112131415[[#This Row],[Category No]],Table8[Category No],Table8[Chapter List],FALSE)</f>
        <v>0</v>
      </c>
      <c r="D867" s="34"/>
      <c r="E867" s="34"/>
      <c r="F867" s="34"/>
    </row>
    <row r="868" spans="1:6" x14ac:dyDescent="0.3">
      <c r="A868" s="32">
        <v>867</v>
      </c>
      <c r="B868" s="32"/>
      <c r="C868" s="32" t="b">
        <f>_xlfn.XLOOKUP(Table6101112131415[[#This Row],[Category No]],Table8[Category No],Table8[Chapter List],FALSE)</f>
        <v>0</v>
      </c>
      <c r="D868" s="34"/>
      <c r="E868" s="34"/>
      <c r="F868" s="34"/>
    </row>
    <row r="869" spans="1:6" x14ac:dyDescent="0.3">
      <c r="A869" s="32">
        <v>868</v>
      </c>
      <c r="B869" s="32"/>
      <c r="C869" s="32" t="b">
        <f>_xlfn.XLOOKUP(Table6101112131415[[#This Row],[Category No]],Table8[Category No],Table8[Chapter List],FALSE)</f>
        <v>0</v>
      </c>
      <c r="D869" s="34"/>
      <c r="E869" s="34"/>
      <c r="F869" s="34"/>
    </row>
    <row r="870" spans="1:6" x14ac:dyDescent="0.3">
      <c r="A870" s="32">
        <v>869</v>
      </c>
      <c r="B870" s="32"/>
      <c r="C870" s="32" t="b">
        <f>_xlfn.XLOOKUP(Table6101112131415[[#This Row],[Category No]],Table8[Category No],Table8[Chapter List],FALSE)</f>
        <v>0</v>
      </c>
      <c r="D870" s="34"/>
      <c r="E870" s="34"/>
      <c r="F870" s="34"/>
    </row>
    <row r="871" spans="1:6" x14ac:dyDescent="0.3">
      <c r="A871" s="32">
        <v>870</v>
      </c>
      <c r="B871" s="32"/>
      <c r="C871" s="32" t="b">
        <f>_xlfn.XLOOKUP(Table6101112131415[[#This Row],[Category No]],Table8[Category No],Table8[Chapter List],FALSE)</f>
        <v>0</v>
      </c>
      <c r="D871" s="34"/>
      <c r="E871" s="34"/>
      <c r="F871" s="34"/>
    </row>
    <row r="872" spans="1:6" x14ac:dyDescent="0.3">
      <c r="A872" s="32">
        <v>871</v>
      </c>
      <c r="B872" s="32"/>
      <c r="C872" s="32" t="b">
        <f>_xlfn.XLOOKUP(Table6101112131415[[#This Row],[Category No]],Table8[Category No],Table8[Chapter List],FALSE)</f>
        <v>0</v>
      </c>
      <c r="D872" s="34"/>
      <c r="E872" s="34"/>
      <c r="F872" s="34"/>
    </row>
    <row r="873" spans="1:6" x14ac:dyDescent="0.3">
      <c r="A873" s="32">
        <v>872</v>
      </c>
      <c r="B873" s="32"/>
      <c r="C873" s="32" t="b">
        <f>_xlfn.XLOOKUP(Table6101112131415[[#This Row],[Category No]],Table8[Category No],Table8[Chapter List],FALSE)</f>
        <v>0</v>
      </c>
      <c r="D873" s="34"/>
      <c r="E873" s="34"/>
      <c r="F873" s="34"/>
    </row>
    <row r="874" spans="1:6" x14ac:dyDescent="0.3">
      <c r="A874" s="32">
        <v>873</v>
      </c>
      <c r="B874" s="32"/>
      <c r="C874" s="32" t="b">
        <f>_xlfn.XLOOKUP(Table6101112131415[[#This Row],[Category No]],Table8[Category No],Table8[Chapter List],FALSE)</f>
        <v>0</v>
      </c>
      <c r="D874" s="34"/>
      <c r="E874" s="34"/>
      <c r="F874" s="34"/>
    </row>
    <row r="875" spans="1:6" x14ac:dyDescent="0.3">
      <c r="A875" s="32">
        <v>874</v>
      </c>
      <c r="B875" s="32"/>
      <c r="C875" s="32" t="b">
        <f>_xlfn.XLOOKUP(Table6101112131415[[#This Row],[Category No]],Table8[Category No],Table8[Chapter List],FALSE)</f>
        <v>0</v>
      </c>
      <c r="D875" s="34"/>
      <c r="E875" s="34"/>
      <c r="F875" s="34"/>
    </row>
    <row r="876" spans="1:6" x14ac:dyDescent="0.3">
      <c r="A876" s="32">
        <v>875</v>
      </c>
      <c r="B876" s="32"/>
      <c r="C876" s="32" t="b">
        <f>_xlfn.XLOOKUP(Table6101112131415[[#This Row],[Category No]],Table8[Category No],Table8[Chapter List],FALSE)</f>
        <v>0</v>
      </c>
      <c r="D876" s="34"/>
      <c r="E876" s="34"/>
      <c r="F876" s="34"/>
    </row>
    <row r="877" spans="1:6" x14ac:dyDescent="0.3">
      <c r="A877" s="32">
        <v>876</v>
      </c>
      <c r="B877" s="32"/>
      <c r="C877" s="32" t="b">
        <f>_xlfn.XLOOKUP(Table6101112131415[[#This Row],[Category No]],Table8[Category No],Table8[Chapter List],FALSE)</f>
        <v>0</v>
      </c>
      <c r="D877" s="34"/>
      <c r="E877" s="34"/>
      <c r="F877" s="34"/>
    </row>
    <row r="878" spans="1:6" x14ac:dyDescent="0.3">
      <c r="A878" s="32">
        <v>877</v>
      </c>
      <c r="B878" s="32"/>
      <c r="C878" s="32" t="b">
        <f>_xlfn.XLOOKUP(Table6101112131415[[#This Row],[Category No]],Table8[Category No],Table8[Chapter List],FALSE)</f>
        <v>0</v>
      </c>
      <c r="D878" s="34"/>
      <c r="E878" s="34"/>
      <c r="F878" s="34"/>
    </row>
    <row r="879" spans="1:6" x14ac:dyDescent="0.3">
      <c r="A879" s="32">
        <v>878</v>
      </c>
      <c r="B879" s="32"/>
      <c r="C879" s="32" t="b">
        <f>_xlfn.XLOOKUP(Table6101112131415[[#This Row],[Category No]],Table8[Category No],Table8[Chapter List],FALSE)</f>
        <v>0</v>
      </c>
      <c r="D879" s="34"/>
      <c r="E879" s="34"/>
      <c r="F879" s="34"/>
    </row>
    <row r="880" spans="1:6" x14ac:dyDescent="0.3">
      <c r="A880" s="32">
        <v>879</v>
      </c>
      <c r="B880" s="32"/>
      <c r="C880" s="32" t="b">
        <f>_xlfn.XLOOKUP(Table6101112131415[[#This Row],[Category No]],Table8[Category No],Table8[Chapter List],FALSE)</f>
        <v>0</v>
      </c>
      <c r="D880" s="34"/>
      <c r="E880" s="34"/>
      <c r="F880" s="34"/>
    </row>
    <row r="881" spans="1:6" x14ac:dyDescent="0.3">
      <c r="A881" s="32">
        <v>880</v>
      </c>
      <c r="B881" s="32"/>
      <c r="C881" s="32" t="b">
        <f>_xlfn.XLOOKUP(Table6101112131415[[#This Row],[Category No]],Table8[Category No],Table8[Chapter List],FALSE)</f>
        <v>0</v>
      </c>
      <c r="D881" s="34"/>
      <c r="E881" s="34"/>
      <c r="F881" s="34"/>
    </row>
    <row r="882" spans="1:6" x14ac:dyDescent="0.3">
      <c r="A882" s="32">
        <v>881</v>
      </c>
      <c r="B882" s="32"/>
      <c r="C882" s="32" t="b">
        <f>_xlfn.XLOOKUP(Table6101112131415[[#This Row],[Category No]],Table8[Category No],Table8[Chapter List],FALSE)</f>
        <v>0</v>
      </c>
      <c r="D882" s="34"/>
      <c r="E882" s="34"/>
      <c r="F882" s="34"/>
    </row>
    <row r="883" spans="1:6" x14ac:dyDescent="0.3">
      <c r="A883" s="32">
        <v>882</v>
      </c>
      <c r="B883" s="32"/>
      <c r="C883" s="32" t="b">
        <f>_xlfn.XLOOKUP(Table6101112131415[[#This Row],[Category No]],Table8[Category No],Table8[Chapter List],FALSE)</f>
        <v>0</v>
      </c>
      <c r="D883" s="34"/>
      <c r="E883" s="34"/>
      <c r="F883" s="34"/>
    </row>
    <row r="884" spans="1:6" x14ac:dyDescent="0.3">
      <c r="A884" s="32">
        <v>883</v>
      </c>
      <c r="B884" s="32"/>
      <c r="C884" s="32" t="b">
        <f>_xlfn.XLOOKUP(Table6101112131415[[#This Row],[Category No]],Table8[Category No],Table8[Chapter List],FALSE)</f>
        <v>0</v>
      </c>
      <c r="D884" s="34"/>
      <c r="E884" s="34"/>
      <c r="F884" s="34"/>
    </row>
    <row r="885" spans="1:6" x14ac:dyDescent="0.3">
      <c r="A885" s="32">
        <v>884</v>
      </c>
      <c r="B885" s="32"/>
      <c r="C885" s="32" t="b">
        <f>_xlfn.XLOOKUP(Table6101112131415[[#This Row],[Category No]],Table8[Category No],Table8[Chapter List],FALSE)</f>
        <v>0</v>
      </c>
      <c r="D885" s="34"/>
      <c r="E885" s="34"/>
      <c r="F885" s="34"/>
    </row>
    <row r="886" spans="1:6" x14ac:dyDescent="0.3">
      <c r="A886" s="32">
        <v>885</v>
      </c>
      <c r="B886" s="32"/>
      <c r="C886" s="32" t="b">
        <f>_xlfn.XLOOKUP(Table6101112131415[[#This Row],[Category No]],Table8[Category No],Table8[Chapter List],FALSE)</f>
        <v>0</v>
      </c>
      <c r="D886" s="34"/>
      <c r="E886" s="34"/>
      <c r="F886" s="34"/>
    </row>
    <row r="887" spans="1:6" x14ac:dyDescent="0.3">
      <c r="A887" s="32">
        <v>886</v>
      </c>
      <c r="B887" s="32"/>
      <c r="C887" s="32" t="b">
        <f>_xlfn.XLOOKUP(Table6101112131415[[#This Row],[Category No]],Table8[Category No],Table8[Chapter List],FALSE)</f>
        <v>0</v>
      </c>
      <c r="D887" s="34"/>
      <c r="E887" s="34"/>
      <c r="F887" s="34"/>
    </row>
    <row r="888" spans="1:6" x14ac:dyDescent="0.3">
      <c r="A888" s="32">
        <v>887</v>
      </c>
      <c r="B888" s="32"/>
      <c r="C888" s="32" t="b">
        <f>_xlfn.XLOOKUP(Table6101112131415[[#This Row],[Category No]],Table8[Category No],Table8[Chapter List],FALSE)</f>
        <v>0</v>
      </c>
      <c r="D888" s="34"/>
      <c r="E888" s="34"/>
      <c r="F888" s="34"/>
    </row>
    <row r="889" spans="1:6" x14ac:dyDescent="0.3">
      <c r="A889" s="32">
        <v>888</v>
      </c>
      <c r="B889" s="32"/>
      <c r="C889" s="32" t="b">
        <f>_xlfn.XLOOKUP(Table6101112131415[[#This Row],[Category No]],Table8[Category No],Table8[Chapter List],FALSE)</f>
        <v>0</v>
      </c>
      <c r="D889" s="34"/>
      <c r="E889" s="34"/>
      <c r="F889" s="34"/>
    </row>
    <row r="890" spans="1:6" x14ac:dyDescent="0.3">
      <c r="A890" s="32">
        <v>889</v>
      </c>
      <c r="B890" s="32"/>
      <c r="C890" s="32" t="b">
        <f>_xlfn.XLOOKUP(Table6101112131415[[#This Row],[Category No]],Table8[Category No],Table8[Chapter List],FALSE)</f>
        <v>0</v>
      </c>
      <c r="D890" s="34"/>
      <c r="E890" s="34"/>
      <c r="F890" s="34"/>
    </row>
    <row r="891" spans="1:6" x14ac:dyDescent="0.3">
      <c r="A891" s="32">
        <v>890</v>
      </c>
      <c r="B891" s="32"/>
      <c r="C891" s="32" t="b">
        <f>_xlfn.XLOOKUP(Table6101112131415[[#This Row],[Category No]],Table8[Category No],Table8[Chapter List],FALSE)</f>
        <v>0</v>
      </c>
      <c r="D891" s="34"/>
      <c r="E891" s="34"/>
      <c r="F891" s="34"/>
    </row>
    <row r="892" spans="1:6" x14ac:dyDescent="0.3">
      <c r="A892" s="32">
        <v>891</v>
      </c>
      <c r="B892" s="32"/>
      <c r="C892" s="32" t="b">
        <f>_xlfn.XLOOKUP(Table6101112131415[[#This Row],[Category No]],Table8[Category No],Table8[Chapter List],FALSE)</f>
        <v>0</v>
      </c>
      <c r="D892" s="34"/>
      <c r="E892" s="34"/>
      <c r="F892" s="34"/>
    </row>
    <row r="893" spans="1:6" x14ac:dyDescent="0.3">
      <c r="A893" s="32">
        <v>892</v>
      </c>
      <c r="B893" s="32"/>
      <c r="C893" s="32" t="b">
        <f>_xlfn.XLOOKUP(Table6101112131415[[#This Row],[Category No]],Table8[Category No],Table8[Chapter List],FALSE)</f>
        <v>0</v>
      </c>
      <c r="D893" s="34"/>
      <c r="E893" s="34"/>
      <c r="F893" s="34"/>
    </row>
    <row r="894" spans="1:6" x14ac:dyDescent="0.3">
      <c r="A894" s="32">
        <v>893</v>
      </c>
      <c r="B894" s="32"/>
      <c r="C894" s="32" t="b">
        <f>_xlfn.XLOOKUP(Table6101112131415[[#This Row],[Category No]],Table8[Category No],Table8[Chapter List],FALSE)</f>
        <v>0</v>
      </c>
      <c r="D894" s="34"/>
      <c r="E894" s="34"/>
      <c r="F894" s="34"/>
    </row>
    <row r="895" spans="1:6" x14ac:dyDescent="0.3">
      <c r="A895" s="32">
        <v>894</v>
      </c>
      <c r="B895" s="32"/>
      <c r="C895" s="32" t="b">
        <f>_xlfn.XLOOKUP(Table6101112131415[[#This Row],[Category No]],Table8[Category No],Table8[Chapter List],FALSE)</f>
        <v>0</v>
      </c>
      <c r="D895" s="34"/>
      <c r="E895" s="34"/>
      <c r="F895" s="34"/>
    </row>
    <row r="896" spans="1:6" x14ac:dyDescent="0.3">
      <c r="A896" s="32">
        <v>895</v>
      </c>
      <c r="B896" s="32"/>
      <c r="C896" s="32" t="b">
        <f>_xlfn.XLOOKUP(Table6101112131415[[#This Row],[Category No]],Table8[Category No],Table8[Chapter List],FALSE)</f>
        <v>0</v>
      </c>
      <c r="D896" s="34"/>
      <c r="E896" s="34"/>
      <c r="F896" s="34"/>
    </row>
    <row r="897" spans="1:6" x14ac:dyDescent="0.3">
      <c r="A897" s="32">
        <v>896</v>
      </c>
      <c r="B897" s="32"/>
      <c r="C897" s="32" t="b">
        <f>_xlfn.XLOOKUP(Table6101112131415[[#This Row],[Category No]],Table8[Category No],Table8[Chapter List],FALSE)</f>
        <v>0</v>
      </c>
      <c r="D897" s="34"/>
      <c r="E897" s="34"/>
      <c r="F897" s="34"/>
    </row>
    <row r="898" spans="1:6" x14ac:dyDescent="0.3">
      <c r="A898" s="32">
        <v>897</v>
      </c>
      <c r="B898" s="32"/>
      <c r="C898" s="32" t="b">
        <f>_xlfn.XLOOKUP(Table6101112131415[[#This Row],[Category No]],Table8[Category No],Table8[Chapter List],FALSE)</f>
        <v>0</v>
      </c>
      <c r="D898" s="34"/>
      <c r="E898" s="34"/>
      <c r="F898" s="34"/>
    </row>
    <row r="899" spans="1:6" x14ac:dyDescent="0.3">
      <c r="A899" s="32">
        <v>898</v>
      </c>
      <c r="B899" s="32"/>
      <c r="C899" s="32" t="b">
        <f>_xlfn.XLOOKUP(Table6101112131415[[#This Row],[Category No]],Table8[Category No],Table8[Chapter List],FALSE)</f>
        <v>0</v>
      </c>
      <c r="D899" s="34"/>
      <c r="E899" s="34"/>
      <c r="F899" s="34"/>
    </row>
    <row r="900" spans="1:6" x14ac:dyDescent="0.3">
      <c r="A900" s="32">
        <v>899</v>
      </c>
      <c r="B900" s="32"/>
      <c r="C900" s="32" t="b">
        <f>_xlfn.XLOOKUP(Table6101112131415[[#This Row],[Category No]],Table8[Category No],Table8[Chapter List],FALSE)</f>
        <v>0</v>
      </c>
      <c r="D900" s="34"/>
      <c r="E900" s="34"/>
      <c r="F900" s="34"/>
    </row>
    <row r="901" spans="1:6" x14ac:dyDescent="0.3">
      <c r="A901" s="32">
        <v>900</v>
      </c>
      <c r="B901" s="32"/>
      <c r="C901" s="32" t="b">
        <f>_xlfn.XLOOKUP(Table6101112131415[[#This Row],[Category No]],Table8[Category No],Table8[Chapter List],FALSE)</f>
        <v>0</v>
      </c>
      <c r="D901" s="34"/>
      <c r="E901" s="34"/>
      <c r="F901" s="34"/>
    </row>
    <row r="902" spans="1:6" x14ac:dyDescent="0.3">
      <c r="A902" s="32">
        <v>901</v>
      </c>
      <c r="B902" s="32"/>
      <c r="C902" s="32" t="b">
        <f>_xlfn.XLOOKUP(Table6101112131415[[#This Row],[Category No]],Table8[Category No],Table8[Chapter List],FALSE)</f>
        <v>0</v>
      </c>
      <c r="D902" s="34"/>
      <c r="E902" s="34"/>
      <c r="F902" s="34"/>
    </row>
    <row r="903" spans="1:6" x14ac:dyDescent="0.3">
      <c r="A903" s="32">
        <v>902</v>
      </c>
      <c r="B903" s="32"/>
      <c r="C903" s="32" t="b">
        <f>_xlfn.XLOOKUP(Table6101112131415[[#This Row],[Category No]],Table8[Category No],Table8[Chapter List],FALSE)</f>
        <v>0</v>
      </c>
      <c r="D903" s="34"/>
      <c r="E903" s="34"/>
      <c r="F903" s="34"/>
    </row>
    <row r="904" spans="1:6" x14ac:dyDescent="0.3">
      <c r="A904" s="32">
        <v>903</v>
      </c>
      <c r="B904" s="32"/>
      <c r="C904" s="32" t="b">
        <f>_xlfn.XLOOKUP(Table6101112131415[[#This Row],[Category No]],Table8[Category No],Table8[Chapter List],FALSE)</f>
        <v>0</v>
      </c>
      <c r="D904" s="34"/>
      <c r="E904" s="34"/>
      <c r="F904" s="34"/>
    </row>
    <row r="905" spans="1:6" x14ac:dyDescent="0.3">
      <c r="A905" s="32">
        <v>904</v>
      </c>
      <c r="B905" s="32"/>
      <c r="C905" s="32" t="b">
        <f>_xlfn.XLOOKUP(Table6101112131415[[#This Row],[Category No]],Table8[Category No],Table8[Chapter List],FALSE)</f>
        <v>0</v>
      </c>
      <c r="D905" s="34"/>
      <c r="E905" s="34"/>
      <c r="F905" s="34"/>
    </row>
    <row r="906" spans="1:6" x14ac:dyDescent="0.3">
      <c r="A906" s="32">
        <v>905</v>
      </c>
      <c r="B906" s="32"/>
      <c r="C906" s="32" t="b">
        <f>_xlfn.XLOOKUP(Table6101112131415[[#This Row],[Category No]],Table8[Category No],Table8[Chapter List],FALSE)</f>
        <v>0</v>
      </c>
      <c r="D906" s="34"/>
      <c r="E906" s="34"/>
      <c r="F906" s="34"/>
    </row>
    <row r="907" spans="1:6" x14ac:dyDescent="0.3">
      <c r="A907" s="32">
        <v>906</v>
      </c>
      <c r="B907" s="32"/>
      <c r="C907" s="32" t="b">
        <f>_xlfn.XLOOKUP(Table6101112131415[[#This Row],[Category No]],Table8[Category No],Table8[Chapter List],FALSE)</f>
        <v>0</v>
      </c>
      <c r="D907" s="34"/>
      <c r="E907" s="34"/>
      <c r="F907" s="34"/>
    </row>
    <row r="908" spans="1:6" x14ac:dyDescent="0.3">
      <c r="A908" s="32">
        <v>907</v>
      </c>
      <c r="B908" s="32"/>
      <c r="C908" s="32" t="b">
        <f>_xlfn.XLOOKUP(Table6101112131415[[#This Row],[Category No]],Table8[Category No],Table8[Chapter List],FALSE)</f>
        <v>0</v>
      </c>
      <c r="D908" s="34"/>
      <c r="E908" s="34"/>
      <c r="F908" s="34"/>
    </row>
    <row r="909" spans="1:6" x14ac:dyDescent="0.3">
      <c r="A909" s="32">
        <v>908</v>
      </c>
      <c r="B909" s="32"/>
      <c r="C909" s="32" t="b">
        <f>_xlfn.XLOOKUP(Table6101112131415[[#This Row],[Category No]],Table8[Category No],Table8[Chapter List],FALSE)</f>
        <v>0</v>
      </c>
      <c r="D909" s="34"/>
      <c r="E909" s="34"/>
      <c r="F909" s="34"/>
    </row>
    <row r="910" spans="1:6" x14ac:dyDescent="0.3">
      <c r="A910" s="32">
        <v>909</v>
      </c>
      <c r="B910" s="32"/>
      <c r="C910" s="32" t="b">
        <f>_xlfn.XLOOKUP(Table6101112131415[[#This Row],[Category No]],Table8[Category No],Table8[Chapter List],FALSE)</f>
        <v>0</v>
      </c>
      <c r="D910" s="34"/>
      <c r="E910" s="34"/>
      <c r="F910" s="34"/>
    </row>
    <row r="911" spans="1:6" x14ac:dyDescent="0.3">
      <c r="A911" s="32">
        <v>910</v>
      </c>
      <c r="B911" s="32"/>
      <c r="C911" s="32" t="b">
        <f>_xlfn.XLOOKUP(Table6101112131415[[#This Row],[Category No]],Table8[Category No],Table8[Chapter List],FALSE)</f>
        <v>0</v>
      </c>
      <c r="D911" s="34"/>
      <c r="E911" s="34"/>
      <c r="F911" s="34"/>
    </row>
    <row r="912" spans="1:6" x14ac:dyDescent="0.3">
      <c r="A912" s="32">
        <v>911</v>
      </c>
      <c r="B912" s="32"/>
      <c r="C912" s="32" t="b">
        <f>_xlfn.XLOOKUP(Table6101112131415[[#This Row],[Category No]],Table8[Category No],Table8[Chapter List],FALSE)</f>
        <v>0</v>
      </c>
      <c r="D912" s="34"/>
      <c r="E912" s="34"/>
      <c r="F912" s="34"/>
    </row>
    <row r="913" spans="1:6" x14ac:dyDescent="0.3">
      <c r="A913" s="32">
        <v>912</v>
      </c>
      <c r="B913" s="32"/>
      <c r="C913" s="32" t="b">
        <f>_xlfn.XLOOKUP(Table6101112131415[[#This Row],[Category No]],Table8[Category No],Table8[Chapter List],FALSE)</f>
        <v>0</v>
      </c>
      <c r="D913" s="34"/>
      <c r="E913" s="34"/>
      <c r="F913" s="34"/>
    </row>
    <row r="914" spans="1:6" x14ac:dyDescent="0.3">
      <c r="A914" s="32">
        <v>913</v>
      </c>
      <c r="B914" s="32"/>
      <c r="C914" s="32" t="b">
        <f>_xlfn.XLOOKUP(Table6101112131415[[#This Row],[Category No]],Table8[Category No],Table8[Chapter List],FALSE)</f>
        <v>0</v>
      </c>
      <c r="D914" s="34"/>
      <c r="E914" s="34"/>
      <c r="F914" s="34"/>
    </row>
    <row r="915" spans="1:6" x14ac:dyDescent="0.3">
      <c r="A915" s="32">
        <v>914</v>
      </c>
      <c r="B915" s="32"/>
      <c r="C915" s="32" t="b">
        <f>_xlfn.XLOOKUP(Table6101112131415[[#This Row],[Category No]],Table8[Category No],Table8[Chapter List],FALSE)</f>
        <v>0</v>
      </c>
      <c r="D915" s="34"/>
      <c r="E915" s="34"/>
      <c r="F915" s="34"/>
    </row>
    <row r="916" spans="1:6" x14ac:dyDescent="0.3">
      <c r="A916" s="32">
        <v>915</v>
      </c>
      <c r="B916" s="32"/>
      <c r="C916" s="32" t="b">
        <f>_xlfn.XLOOKUP(Table6101112131415[[#This Row],[Category No]],Table8[Category No],Table8[Chapter List],FALSE)</f>
        <v>0</v>
      </c>
      <c r="D916" s="34"/>
      <c r="E916" s="34"/>
      <c r="F916" s="34"/>
    </row>
    <row r="917" spans="1:6" x14ac:dyDescent="0.3">
      <c r="A917" s="32">
        <v>916</v>
      </c>
      <c r="B917" s="32"/>
      <c r="C917" s="32" t="b">
        <f>_xlfn.XLOOKUP(Table6101112131415[[#This Row],[Category No]],Table8[Category No],Table8[Chapter List],FALSE)</f>
        <v>0</v>
      </c>
      <c r="D917" s="34"/>
      <c r="E917" s="34"/>
      <c r="F917" s="34"/>
    </row>
    <row r="918" spans="1:6" x14ac:dyDescent="0.3">
      <c r="A918" s="32">
        <v>917</v>
      </c>
      <c r="B918" s="32"/>
      <c r="C918" s="32" t="b">
        <f>_xlfn.XLOOKUP(Table6101112131415[[#This Row],[Category No]],Table8[Category No],Table8[Chapter List],FALSE)</f>
        <v>0</v>
      </c>
      <c r="D918" s="34"/>
      <c r="E918" s="34"/>
      <c r="F918" s="34"/>
    </row>
    <row r="919" spans="1:6" x14ac:dyDescent="0.3">
      <c r="A919" s="32">
        <v>918</v>
      </c>
      <c r="B919" s="32"/>
      <c r="C919" s="32" t="b">
        <f>_xlfn.XLOOKUP(Table6101112131415[[#This Row],[Category No]],Table8[Category No],Table8[Chapter List],FALSE)</f>
        <v>0</v>
      </c>
      <c r="D919" s="34"/>
      <c r="E919" s="34"/>
      <c r="F919" s="34"/>
    </row>
    <row r="920" spans="1:6" x14ac:dyDescent="0.3">
      <c r="A920" s="32">
        <v>919</v>
      </c>
      <c r="B920" s="32"/>
      <c r="C920" s="32" t="b">
        <f>_xlfn.XLOOKUP(Table6101112131415[[#This Row],[Category No]],Table8[Category No],Table8[Chapter List],FALSE)</f>
        <v>0</v>
      </c>
      <c r="D920" s="34"/>
      <c r="E920" s="34"/>
      <c r="F920" s="34"/>
    </row>
    <row r="921" spans="1:6" x14ac:dyDescent="0.3">
      <c r="A921" s="32">
        <v>920</v>
      </c>
      <c r="B921" s="32"/>
      <c r="C921" s="32" t="b">
        <f>_xlfn.XLOOKUP(Table6101112131415[[#This Row],[Category No]],Table8[Category No],Table8[Chapter List],FALSE)</f>
        <v>0</v>
      </c>
      <c r="D921" s="34"/>
      <c r="E921" s="34"/>
      <c r="F921" s="34"/>
    </row>
    <row r="922" spans="1:6" x14ac:dyDescent="0.3">
      <c r="A922" s="32">
        <v>921</v>
      </c>
      <c r="B922" s="32"/>
      <c r="C922" s="32" t="b">
        <f>_xlfn.XLOOKUP(Table6101112131415[[#This Row],[Category No]],Table8[Category No],Table8[Chapter List],FALSE)</f>
        <v>0</v>
      </c>
      <c r="D922" s="34"/>
      <c r="E922" s="34"/>
      <c r="F922" s="34"/>
    </row>
    <row r="923" spans="1:6" x14ac:dyDescent="0.3">
      <c r="A923" s="32">
        <v>922</v>
      </c>
      <c r="B923" s="32"/>
      <c r="C923" s="32" t="b">
        <f>_xlfn.XLOOKUP(Table6101112131415[[#This Row],[Category No]],Table8[Category No],Table8[Chapter List],FALSE)</f>
        <v>0</v>
      </c>
      <c r="D923" s="34"/>
      <c r="E923" s="34"/>
      <c r="F923" s="34"/>
    </row>
    <row r="924" spans="1:6" x14ac:dyDescent="0.3">
      <c r="A924" s="32">
        <v>923</v>
      </c>
      <c r="B924" s="32"/>
      <c r="C924" s="32" t="b">
        <f>_xlfn.XLOOKUP(Table6101112131415[[#This Row],[Category No]],Table8[Category No],Table8[Chapter List],FALSE)</f>
        <v>0</v>
      </c>
      <c r="D924" s="34"/>
      <c r="E924" s="34"/>
      <c r="F924" s="34"/>
    </row>
    <row r="925" spans="1:6" x14ac:dyDescent="0.3">
      <c r="A925" s="32">
        <v>924</v>
      </c>
      <c r="B925" s="32"/>
      <c r="C925" s="32" t="b">
        <f>_xlfn.XLOOKUP(Table6101112131415[[#This Row],[Category No]],Table8[Category No],Table8[Chapter List],FALSE)</f>
        <v>0</v>
      </c>
      <c r="D925" s="34"/>
      <c r="E925" s="34"/>
      <c r="F925" s="34"/>
    </row>
    <row r="926" spans="1:6" x14ac:dyDescent="0.3">
      <c r="A926" s="32">
        <v>925</v>
      </c>
      <c r="B926" s="32"/>
      <c r="C926" s="32" t="b">
        <f>_xlfn.XLOOKUP(Table6101112131415[[#This Row],[Category No]],Table8[Category No],Table8[Chapter List],FALSE)</f>
        <v>0</v>
      </c>
      <c r="D926" s="34"/>
      <c r="E926" s="34"/>
      <c r="F926" s="34"/>
    </row>
    <row r="927" spans="1:6" x14ac:dyDescent="0.3">
      <c r="A927" s="32">
        <v>926</v>
      </c>
      <c r="B927" s="32"/>
      <c r="C927" s="32" t="b">
        <f>_xlfn.XLOOKUP(Table6101112131415[[#This Row],[Category No]],Table8[Category No],Table8[Chapter List],FALSE)</f>
        <v>0</v>
      </c>
      <c r="D927" s="34"/>
      <c r="E927" s="34"/>
      <c r="F927" s="34"/>
    </row>
    <row r="928" spans="1:6" x14ac:dyDescent="0.3">
      <c r="A928" s="32">
        <v>927</v>
      </c>
      <c r="B928" s="32"/>
      <c r="C928" s="32" t="b">
        <f>_xlfn.XLOOKUP(Table6101112131415[[#This Row],[Category No]],Table8[Category No],Table8[Chapter List],FALSE)</f>
        <v>0</v>
      </c>
      <c r="D928" s="34"/>
      <c r="E928" s="34"/>
      <c r="F928" s="34"/>
    </row>
    <row r="929" spans="1:6" x14ac:dyDescent="0.3">
      <c r="A929" s="32">
        <v>928</v>
      </c>
      <c r="B929" s="32"/>
      <c r="C929" s="32" t="b">
        <f>_xlfn.XLOOKUP(Table6101112131415[[#This Row],[Category No]],Table8[Category No],Table8[Chapter List],FALSE)</f>
        <v>0</v>
      </c>
      <c r="D929" s="34"/>
      <c r="E929" s="34"/>
      <c r="F929" s="34"/>
    </row>
    <row r="930" spans="1:6" x14ac:dyDescent="0.3">
      <c r="A930" s="32">
        <v>929</v>
      </c>
      <c r="B930" s="32"/>
      <c r="C930" s="32" t="b">
        <f>_xlfn.XLOOKUP(Table6101112131415[[#This Row],[Category No]],Table8[Category No],Table8[Chapter List],FALSE)</f>
        <v>0</v>
      </c>
      <c r="D930" s="34"/>
      <c r="E930" s="34"/>
      <c r="F930" s="34"/>
    </row>
    <row r="931" spans="1:6" x14ac:dyDescent="0.3">
      <c r="A931" s="32">
        <v>930</v>
      </c>
      <c r="B931" s="32"/>
      <c r="C931" s="32" t="b">
        <f>_xlfn.XLOOKUP(Table6101112131415[[#This Row],[Category No]],Table8[Category No],Table8[Chapter List],FALSE)</f>
        <v>0</v>
      </c>
      <c r="D931" s="34"/>
      <c r="E931" s="34"/>
      <c r="F931" s="34"/>
    </row>
    <row r="932" spans="1:6" x14ac:dyDescent="0.3">
      <c r="A932" s="32">
        <v>931</v>
      </c>
      <c r="B932" s="32"/>
      <c r="C932" s="32" t="b">
        <f>_xlfn.XLOOKUP(Table6101112131415[[#This Row],[Category No]],Table8[Category No],Table8[Chapter List],FALSE)</f>
        <v>0</v>
      </c>
      <c r="D932" s="34"/>
      <c r="E932" s="34"/>
      <c r="F932" s="34"/>
    </row>
    <row r="933" spans="1:6" x14ac:dyDescent="0.3">
      <c r="A933" s="32">
        <v>932</v>
      </c>
      <c r="B933" s="32"/>
      <c r="C933" s="32" t="b">
        <f>_xlfn.XLOOKUP(Table6101112131415[[#This Row],[Category No]],Table8[Category No],Table8[Chapter List],FALSE)</f>
        <v>0</v>
      </c>
      <c r="D933" s="34"/>
      <c r="E933" s="34"/>
      <c r="F933" s="34"/>
    </row>
    <row r="934" spans="1:6" x14ac:dyDescent="0.3">
      <c r="A934" s="32">
        <v>933</v>
      </c>
      <c r="B934" s="32"/>
      <c r="C934" s="32" t="b">
        <f>_xlfn.XLOOKUP(Table6101112131415[[#This Row],[Category No]],Table8[Category No],Table8[Chapter List],FALSE)</f>
        <v>0</v>
      </c>
      <c r="D934" s="34"/>
      <c r="E934" s="34"/>
      <c r="F934" s="34"/>
    </row>
    <row r="935" spans="1:6" x14ac:dyDescent="0.3">
      <c r="A935" s="32">
        <v>934</v>
      </c>
      <c r="B935" s="32"/>
      <c r="C935" s="32" t="b">
        <f>_xlfn.XLOOKUP(Table6101112131415[[#This Row],[Category No]],Table8[Category No],Table8[Chapter List],FALSE)</f>
        <v>0</v>
      </c>
      <c r="D935" s="34"/>
      <c r="E935" s="34"/>
      <c r="F935" s="34"/>
    </row>
    <row r="936" spans="1:6" x14ac:dyDescent="0.3">
      <c r="A936" s="32">
        <v>935</v>
      </c>
      <c r="B936" s="32"/>
      <c r="C936" s="32" t="b">
        <f>_xlfn.XLOOKUP(Table6101112131415[[#This Row],[Category No]],Table8[Category No],Table8[Chapter List],FALSE)</f>
        <v>0</v>
      </c>
      <c r="D936" s="34"/>
      <c r="E936" s="34"/>
      <c r="F936" s="34"/>
    </row>
    <row r="937" spans="1:6" x14ac:dyDescent="0.3">
      <c r="A937" s="32">
        <v>936</v>
      </c>
      <c r="B937" s="32"/>
      <c r="C937" s="32" t="b">
        <f>_xlfn.XLOOKUP(Table6101112131415[[#This Row],[Category No]],Table8[Category No],Table8[Chapter List],FALSE)</f>
        <v>0</v>
      </c>
      <c r="D937" s="34"/>
      <c r="E937" s="34"/>
      <c r="F937" s="34"/>
    </row>
    <row r="938" spans="1:6" x14ac:dyDescent="0.3">
      <c r="A938" s="32">
        <v>937</v>
      </c>
      <c r="B938" s="32"/>
      <c r="C938" s="32" t="b">
        <f>_xlfn.XLOOKUP(Table6101112131415[[#This Row],[Category No]],Table8[Category No],Table8[Chapter List],FALSE)</f>
        <v>0</v>
      </c>
      <c r="D938" s="34"/>
      <c r="E938" s="34"/>
      <c r="F938" s="34"/>
    </row>
    <row r="939" spans="1:6" x14ac:dyDescent="0.3">
      <c r="A939" s="32">
        <v>938</v>
      </c>
      <c r="B939" s="32"/>
      <c r="C939" s="32" t="b">
        <f>_xlfn.XLOOKUP(Table6101112131415[[#This Row],[Category No]],Table8[Category No],Table8[Chapter List],FALSE)</f>
        <v>0</v>
      </c>
      <c r="D939" s="34"/>
      <c r="E939" s="34"/>
      <c r="F939" s="34"/>
    </row>
    <row r="940" spans="1:6" x14ac:dyDescent="0.3">
      <c r="A940" s="32">
        <v>939</v>
      </c>
      <c r="B940" s="32"/>
      <c r="C940" s="32" t="b">
        <f>_xlfn.XLOOKUP(Table6101112131415[[#This Row],[Category No]],Table8[Category No],Table8[Chapter List],FALSE)</f>
        <v>0</v>
      </c>
      <c r="D940" s="34"/>
      <c r="E940" s="34"/>
      <c r="F940" s="34"/>
    </row>
    <row r="941" spans="1:6" x14ac:dyDescent="0.3">
      <c r="A941" s="32">
        <v>940</v>
      </c>
      <c r="B941" s="32"/>
      <c r="C941" s="32" t="b">
        <f>_xlfn.XLOOKUP(Table6101112131415[[#This Row],[Category No]],Table8[Category No],Table8[Chapter List],FALSE)</f>
        <v>0</v>
      </c>
      <c r="D941" s="34"/>
      <c r="E941" s="34"/>
      <c r="F941" s="34"/>
    </row>
    <row r="942" spans="1:6" x14ac:dyDescent="0.3">
      <c r="A942" s="32">
        <v>941</v>
      </c>
      <c r="B942" s="32"/>
      <c r="C942" s="32" t="b">
        <f>_xlfn.XLOOKUP(Table6101112131415[[#This Row],[Category No]],Table8[Category No],Table8[Chapter List],FALSE)</f>
        <v>0</v>
      </c>
      <c r="D942" s="34"/>
      <c r="E942" s="34"/>
      <c r="F942" s="34"/>
    </row>
    <row r="943" spans="1:6" x14ac:dyDescent="0.3">
      <c r="A943" s="32">
        <v>942</v>
      </c>
      <c r="B943" s="32"/>
      <c r="C943" s="32" t="b">
        <f>_xlfn.XLOOKUP(Table6101112131415[[#This Row],[Category No]],Table8[Category No],Table8[Chapter List],FALSE)</f>
        <v>0</v>
      </c>
      <c r="D943" s="34"/>
      <c r="E943" s="34"/>
      <c r="F943" s="34"/>
    </row>
    <row r="944" spans="1:6" x14ac:dyDescent="0.3">
      <c r="A944" s="32">
        <v>943</v>
      </c>
      <c r="B944" s="32"/>
      <c r="C944" s="32" t="b">
        <f>_xlfn.XLOOKUP(Table6101112131415[[#This Row],[Category No]],Table8[Category No],Table8[Chapter List],FALSE)</f>
        <v>0</v>
      </c>
      <c r="D944" s="34"/>
      <c r="E944" s="34"/>
      <c r="F944" s="34"/>
    </row>
    <row r="945" spans="1:6" x14ac:dyDescent="0.3">
      <c r="A945" s="32">
        <v>944</v>
      </c>
      <c r="B945" s="32"/>
      <c r="C945" s="32" t="b">
        <f>_xlfn.XLOOKUP(Table6101112131415[[#This Row],[Category No]],Table8[Category No],Table8[Chapter List],FALSE)</f>
        <v>0</v>
      </c>
      <c r="D945" s="34"/>
      <c r="E945" s="34"/>
      <c r="F945" s="34"/>
    </row>
    <row r="946" spans="1:6" x14ac:dyDescent="0.3">
      <c r="A946" s="32">
        <v>945</v>
      </c>
      <c r="B946" s="32"/>
      <c r="C946" s="32" t="b">
        <f>_xlfn.XLOOKUP(Table6101112131415[[#This Row],[Category No]],Table8[Category No],Table8[Chapter List],FALSE)</f>
        <v>0</v>
      </c>
      <c r="D946" s="34"/>
      <c r="E946" s="34"/>
      <c r="F946" s="34"/>
    </row>
    <row r="947" spans="1:6" x14ac:dyDescent="0.3">
      <c r="A947" s="32">
        <v>946</v>
      </c>
      <c r="B947" s="32"/>
      <c r="C947" s="32" t="b">
        <f>_xlfn.XLOOKUP(Table6101112131415[[#This Row],[Category No]],Table8[Category No],Table8[Chapter List],FALSE)</f>
        <v>0</v>
      </c>
      <c r="D947" s="34"/>
      <c r="E947" s="34"/>
      <c r="F947" s="34"/>
    </row>
    <row r="948" spans="1:6" x14ac:dyDescent="0.3">
      <c r="A948" s="32">
        <v>947</v>
      </c>
      <c r="B948" s="32"/>
      <c r="C948" s="32" t="b">
        <f>_xlfn.XLOOKUP(Table6101112131415[[#This Row],[Category No]],Table8[Category No],Table8[Chapter List],FALSE)</f>
        <v>0</v>
      </c>
      <c r="D948" s="34"/>
      <c r="E948" s="34"/>
      <c r="F948" s="34"/>
    </row>
    <row r="949" spans="1:6" x14ac:dyDescent="0.3">
      <c r="A949" s="32">
        <v>948</v>
      </c>
      <c r="B949" s="32"/>
      <c r="C949" s="32" t="b">
        <f>_xlfn.XLOOKUP(Table6101112131415[[#This Row],[Category No]],Table8[Category No],Table8[Chapter List],FALSE)</f>
        <v>0</v>
      </c>
      <c r="D949" s="34"/>
      <c r="E949" s="34"/>
      <c r="F949" s="34"/>
    </row>
    <row r="950" spans="1:6" x14ac:dyDescent="0.3">
      <c r="A950" s="32">
        <v>949</v>
      </c>
      <c r="B950" s="32"/>
      <c r="C950" s="32" t="b">
        <f>_xlfn.XLOOKUP(Table6101112131415[[#This Row],[Category No]],Table8[Category No],Table8[Chapter List],FALSE)</f>
        <v>0</v>
      </c>
      <c r="D950" s="34"/>
      <c r="E950" s="34"/>
      <c r="F950" s="34"/>
    </row>
    <row r="951" spans="1:6" x14ac:dyDescent="0.3">
      <c r="A951" s="32">
        <v>950</v>
      </c>
      <c r="B951" s="32"/>
      <c r="C951" s="32" t="b">
        <f>_xlfn.XLOOKUP(Table6101112131415[[#This Row],[Category No]],Table8[Category No],Table8[Chapter List],FALSE)</f>
        <v>0</v>
      </c>
      <c r="D951" s="34"/>
      <c r="E951" s="34"/>
      <c r="F951" s="34"/>
    </row>
    <row r="952" spans="1:6" x14ac:dyDescent="0.3">
      <c r="A952" s="32">
        <v>951</v>
      </c>
      <c r="B952" s="32"/>
      <c r="C952" s="32" t="b">
        <f>_xlfn.XLOOKUP(Table6101112131415[[#This Row],[Category No]],Table8[Category No],Table8[Chapter List],FALSE)</f>
        <v>0</v>
      </c>
      <c r="D952" s="34"/>
      <c r="E952" s="34"/>
      <c r="F952" s="34"/>
    </row>
    <row r="953" spans="1:6" x14ac:dyDescent="0.3">
      <c r="A953" s="32">
        <v>952</v>
      </c>
      <c r="B953" s="32"/>
      <c r="C953" s="32" t="b">
        <f>_xlfn.XLOOKUP(Table6101112131415[[#This Row],[Category No]],Table8[Category No],Table8[Chapter List],FALSE)</f>
        <v>0</v>
      </c>
      <c r="D953" s="34"/>
      <c r="E953" s="34"/>
      <c r="F953" s="34"/>
    </row>
    <row r="954" spans="1:6" x14ac:dyDescent="0.3">
      <c r="A954" s="32">
        <v>953</v>
      </c>
      <c r="B954" s="32"/>
      <c r="C954" s="32" t="b">
        <f>_xlfn.XLOOKUP(Table6101112131415[[#This Row],[Category No]],Table8[Category No],Table8[Chapter List],FALSE)</f>
        <v>0</v>
      </c>
      <c r="D954" s="34"/>
      <c r="E954" s="34"/>
      <c r="F954" s="34"/>
    </row>
    <row r="955" spans="1:6" x14ac:dyDescent="0.3">
      <c r="A955" s="32">
        <v>954</v>
      </c>
      <c r="B955" s="32"/>
      <c r="C955" s="32" t="b">
        <f>_xlfn.XLOOKUP(Table6101112131415[[#This Row],[Category No]],Table8[Category No],Table8[Chapter List],FALSE)</f>
        <v>0</v>
      </c>
      <c r="D955" s="34"/>
      <c r="E955" s="34"/>
      <c r="F955" s="34"/>
    </row>
    <row r="956" spans="1:6" x14ac:dyDescent="0.3">
      <c r="A956" s="32">
        <v>955</v>
      </c>
      <c r="B956" s="32"/>
      <c r="C956" s="32" t="b">
        <f>_xlfn.XLOOKUP(Table6101112131415[[#This Row],[Category No]],Table8[Category No],Table8[Chapter List],FALSE)</f>
        <v>0</v>
      </c>
      <c r="D956" s="34"/>
      <c r="E956" s="34"/>
      <c r="F956" s="34"/>
    </row>
    <row r="957" spans="1:6" x14ac:dyDescent="0.3">
      <c r="A957" s="32">
        <v>956</v>
      </c>
      <c r="B957" s="32"/>
      <c r="C957" s="32" t="b">
        <f>_xlfn.XLOOKUP(Table6101112131415[[#This Row],[Category No]],Table8[Category No],Table8[Chapter List],FALSE)</f>
        <v>0</v>
      </c>
      <c r="D957" s="34"/>
      <c r="E957" s="34"/>
      <c r="F957" s="34"/>
    </row>
    <row r="958" spans="1:6" x14ac:dyDescent="0.3">
      <c r="A958" s="32">
        <v>957</v>
      </c>
      <c r="B958" s="32"/>
      <c r="C958" s="32" t="b">
        <f>_xlfn.XLOOKUP(Table6101112131415[[#This Row],[Category No]],Table8[Category No],Table8[Chapter List],FALSE)</f>
        <v>0</v>
      </c>
      <c r="D958" s="34"/>
      <c r="E958" s="34"/>
      <c r="F958" s="34"/>
    </row>
    <row r="959" spans="1:6" x14ac:dyDescent="0.3">
      <c r="A959" s="32">
        <v>958</v>
      </c>
      <c r="B959" s="32"/>
      <c r="C959" s="32" t="b">
        <f>_xlfn.XLOOKUP(Table6101112131415[[#This Row],[Category No]],Table8[Category No],Table8[Chapter List],FALSE)</f>
        <v>0</v>
      </c>
      <c r="D959" s="34"/>
      <c r="E959" s="34"/>
      <c r="F959" s="34"/>
    </row>
    <row r="960" spans="1:6" x14ac:dyDescent="0.3">
      <c r="A960" s="32">
        <v>959</v>
      </c>
      <c r="B960" s="32"/>
      <c r="C960" s="32" t="b">
        <f>_xlfn.XLOOKUP(Table6101112131415[[#This Row],[Category No]],Table8[Category No],Table8[Chapter List],FALSE)</f>
        <v>0</v>
      </c>
      <c r="D960" s="34"/>
      <c r="E960" s="34"/>
      <c r="F960" s="34"/>
    </row>
    <row r="961" spans="1:6" x14ac:dyDescent="0.3">
      <c r="A961" s="32">
        <v>960</v>
      </c>
      <c r="B961" s="32"/>
      <c r="C961" s="32" t="b">
        <f>_xlfn.XLOOKUP(Table6101112131415[[#This Row],[Category No]],Table8[Category No],Table8[Chapter List],FALSE)</f>
        <v>0</v>
      </c>
      <c r="D961" s="34"/>
      <c r="E961" s="34"/>
      <c r="F961" s="34"/>
    </row>
    <row r="962" spans="1:6" x14ac:dyDescent="0.3">
      <c r="A962" s="32">
        <v>961</v>
      </c>
      <c r="B962" s="32"/>
      <c r="C962" s="32" t="b">
        <f>_xlfn.XLOOKUP(Table6101112131415[[#This Row],[Category No]],Table8[Category No],Table8[Chapter List],FALSE)</f>
        <v>0</v>
      </c>
      <c r="D962" s="34"/>
      <c r="E962" s="34"/>
      <c r="F962" s="34"/>
    </row>
    <row r="963" spans="1:6" x14ac:dyDescent="0.3">
      <c r="A963" s="32">
        <v>962</v>
      </c>
      <c r="B963" s="32"/>
      <c r="C963" s="32" t="b">
        <f>_xlfn.XLOOKUP(Table6101112131415[[#This Row],[Category No]],Table8[Category No],Table8[Chapter List],FALSE)</f>
        <v>0</v>
      </c>
      <c r="D963" s="34"/>
      <c r="E963" s="34"/>
      <c r="F963" s="34"/>
    </row>
    <row r="964" spans="1:6" x14ac:dyDescent="0.3">
      <c r="A964" s="32">
        <v>963</v>
      </c>
      <c r="B964" s="32"/>
      <c r="C964" s="32" t="b">
        <f>_xlfn.XLOOKUP(Table6101112131415[[#This Row],[Category No]],Table8[Category No],Table8[Chapter List],FALSE)</f>
        <v>0</v>
      </c>
      <c r="D964" s="34"/>
      <c r="E964" s="34"/>
      <c r="F964" s="34"/>
    </row>
    <row r="965" spans="1:6" x14ac:dyDescent="0.3">
      <c r="A965" s="32">
        <v>964</v>
      </c>
      <c r="B965" s="32"/>
      <c r="C965" s="32" t="b">
        <f>_xlfn.XLOOKUP(Table6101112131415[[#This Row],[Category No]],Table8[Category No],Table8[Chapter List],FALSE)</f>
        <v>0</v>
      </c>
      <c r="D965" s="34"/>
      <c r="E965" s="34"/>
      <c r="F965" s="34"/>
    </row>
    <row r="966" spans="1:6" x14ac:dyDescent="0.3">
      <c r="A966" s="32">
        <v>965</v>
      </c>
      <c r="B966" s="32"/>
      <c r="C966" s="32" t="b">
        <f>_xlfn.XLOOKUP(Table6101112131415[[#This Row],[Category No]],Table8[Category No],Table8[Chapter List],FALSE)</f>
        <v>0</v>
      </c>
      <c r="D966" s="34"/>
      <c r="E966" s="34"/>
      <c r="F966" s="34"/>
    </row>
    <row r="967" spans="1:6" x14ac:dyDescent="0.3">
      <c r="A967" s="32">
        <v>966</v>
      </c>
      <c r="B967" s="32"/>
      <c r="C967" s="32" t="b">
        <f>_xlfn.XLOOKUP(Table6101112131415[[#This Row],[Category No]],Table8[Category No],Table8[Chapter List],FALSE)</f>
        <v>0</v>
      </c>
      <c r="D967" s="34"/>
      <c r="E967" s="34"/>
      <c r="F967" s="34"/>
    </row>
    <row r="968" spans="1:6" x14ac:dyDescent="0.3">
      <c r="A968" s="32">
        <v>967</v>
      </c>
      <c r="B968" s="32"/>
      <c r="C968" s="32" t="b">
        <f>_xlfn.XLOOKUP(Table6101112131415[[#This Row],[Category No]],Table8[Category No],Table8[Chapter List],FALSE)</f>
        <v>0</v>
      </c>
      <c r="D968" s="34"/>
      <c r="E968" s="34"/>
      <c r="F968" s="34"/>
    </row>
    <row r="969" spans="1:6" x14ac:dyDescent="0.3">
      <c r="A969" s="32">
        <v>968</v>
      </c>
      <c r="B969" s="32"/>
      <c r="C969" s="32" t="b">
        <f>_xlfn.XLOOKUP(Table6101112131415[[#This Row],[Category No]],Table8[Category No],Table8[Chapter List],FALSE)</f>
        <v>0</v>
      </c>
      <c r="D969" s="34"/>
      <c r="E969" s="34"/>
      <c r="F969" s="34"/>
    </row>
    <row r="970" spans="1:6" x14ac:dyDescent="0.3">
      <c r="A970" s="32">
        <v>969</v>
      </c>
      <c r="B970" s="32"/>
      <c r="C970" s="32" t="b">
        <f>_xlfn.XLOOKUP(Table6101112131415[[#This Row],[Category No]],Table8[Category No],Table8[Chapter List],FALSE)</f>
        <v>0</v>
      </c>
      <c r="D970" s="34"/>
      <c r="E970" s="34"/>
      <c r="F970" s="34"/>
    </row>
    <row r="971" spans="1:6" x14ac:dyDescent="0.3">
      <c r="A971" s="32">
        <v>970</v>
      </c>
      <c r="B971" s="32"/>
      <c r="C971" s="32" t="b">
        <f>_xlfn.XLOOKUP(Table6101112131415[[#This Row],[Category No]],Table8[Category No],Table8[Chapter List],FALSE)</f>
        <v>0</v>
      </c>
      <c r="D971" s="34"/>
      <c r="E971" s="34"/>
      <c r="F971" s="34"/>
    </row>
    <row r="972" spans="1:6" x14ac:dyDescent="0.3">
      <c r="A972" s="32">
        <v>971</v>
      </c>
      <c r="B972" s="32"/>
      <c r="C972" s="32" t="b">
        <f>_xlfn.XLOOKUP(Table6101112131415[[#This Row],[Category No]],Table8[Category No],Table8[Chapter List],FALSE)</f>
        <v>0</v>
      </c>
      <c r="D972" s="34"/>
      <c r="E972" s="34"/>
      <c r="F972" s="34"/>
    </row>
    <row r="973" spans="1:6" x14ac:dyDescent="0.3">
      <c r="A973" s="32">
        <v>972</v>
      </c>
      <c r="B973" s="32"/>
      <c r="C973" s="32" t="b">
        <f>_xlfn.XLOOKUP(Table6101112131415[[#This Row],[Category No]],Table8[Category No],Table8[Chapter List],FALSE)</f>
        <v>0</v>
      </c>
      <c r="D973" s="34"/>
      <c r="E973" s="34"/>
      <c r="F973" s="34"/>
    </row>
    <row r="974" spans="1:6" x14ac:dyDescent="0.3">
      <c r="A974" s="32">
        <v>973</v>
      </c>
      <c r="B974" s="32"/>
      <c r="C974" s="32" t="b">
        <f>_xlfn.XLOOKUP(Table6101112131415[[#This Row],[Category No]],Table8[Category No],Table8[Chapter List],FALSE)</f>
        <v>0</v>
      </c>
      <c r="D974" s="34"/>
      <c r="E974" s="34"/>
      <c r="F974" s="34"/>
    </row>
    <row r="975" spans="1:6" x14ac:dyDescent="0.3">
      <c r="A975" s="32">
        <v>974</v>
      </c>
      <c r="B975" s="32"/>
      <c r="C975" s="32" t="b">
        <f>_xlfn.XLOOKUP(Table6101112131415[[#This Row],[Category No]],Table8[Category No],Table8[Chapter List],FALSE)</f>
        <v>0</v>
      </c>
      <c r="D975" s="34"/>
      <c r="E975" s="34"/>
      <c r="F975" s="34"/>
    </row>
    <row r="976" spans="1:6" x14ac:dyDescent="0.3">
      <c r="A976" s="32">
        <v>975</v>
      </c>
      <c r="B976" s="32"/>
      <c r="C976" s="32" t="b">
        <f>_xlfn.XLOOKUP(Table6101112131415[[#This Row],[Category No]],Table8[Category No],Table8[Chapter List],FALSE)</f>
        <v>0</v>
      </c>
      <c r="D976" s="34"/>
      <c r="E976" s="34"/>
      <c r="F976" s="34"/>
    </row>
    <row r="977" spans="1:6" x14ac:dyDescent="0.3">
      <c r="A977" s="32">
        <v>976</v>
      </c>
      <c r="B977" s="32"/>
      <c r="C977" s="32" t="b">
        <f>_xlfn.XLOOKUP(Table6101112131415[[#This Row],[Category No]],Table8[Category No],Table8[Chapter List],FALSE)</f>
        <v>0</v>
      </c>
      <c r="D977" s="34"/>
      <c r="E977" s="34"/>
      <c r="F977" s="34"/>
    </row>
    <row r="978" spans="1:6" x14ac:dyDescent="0.3">
      <c r="A978" s="32">
        <v>977</v>
      </c>
      <c r="B978" s="32"/>
      <c r="C978" s="32" t="b">
        <f>_xlfn.XLOOKUP(Table6101112131415[[#This Row],[Category No]],Table8[Category No],Table8[Chapter List],FALSE)</f>
        <v>0</v>
      </c>
      <c r="D978" s="34"/>
      <c r="E978" s="34"/>
      <c r="F978" s="34"/>
    </row>
    <row r="979" spans="1:6" x14ac:dyDescent="0.3">
      <c r="A979" s="32">
        <v>978</v>
      </c>
      <c r="B979" s="32"/>
      <c r="C979" s="32" t="b">
        <f>_xlfn.XLOOKUP(Table6101112131415[[#This Row],[Category No]],Table8[Category No],Table8[Chapter List],FALSE)</f>
        <v>0</v>
      </c>
      <c r="D979" s="34"/>
      <c r="E979" s="34"/>
      <c r="F979" s="34"/>
    </row>
    <row r="980" spans="1:6" x14ac:dyDescent="0.3">
      <c r="A980" s="32">
        <v>979</v>
      </c>
      <c r="B980" s="32"/>
      <c r="C980" s="32" t="b">
        <f>_xlfn.XLOOKUP(Table6101112131415[[#This Row],[Category No]],Table8[Category No],Table8[Chapter List],FALSE)</f>
        <v>0</v>
      </c>
      <c r="D980" s="34"/>
      <c r="E980" s="34"/>
      <c r="F980" s="34"/>
    </row>
    <row r="981" spans="1:6" x14ac:dyDescent="0.3">
      <c r="A981" s="32">
        <v>980</v>
      </c>
      <c r="B981" s="32"/>
      <c r="C981" s="32" t="b">
        <f>_xlfn.XLOOKUP(Table6101112131415[[#This Row],[Category No]],Table8[Category No],Table8[Chapter List],FALSE)</f>
        <v>0</v>
      </c>
      <c r="D981" s="34"/>
      <c r="E981" s="34"/>
      <c r="F981" s="34"/>
    </row>
    <row r="982" spans="1:6" x14ac:dyDescent="0.3">
      <c r="A982" s="32">
        <v>981</v>
      </c>
      <c r="B982" s="32"/>
      <c r="C982" s="32" t="b">
        <f>_xlfn.XLOOKUP(Table6101112131415[[#This Row],[Category No]],Table8[Category No],Table8[Chapter List],FALSE)</f>
        <v>0</v>
      </c>
      <c r="D982" s="34"/>
      <c r="E982" s="34"/>
      <c r="F982" s="34"/>
    </row>
    <row r="983" spans="1:6" x14ac:dyDescent="0.3">
      <c r="A983" s="32">
        <v>982</v>
      </c>
      <c r="B983" s="32"/>
      <c r="C983" s="32" t="b">
        <f>_xlfn.XLOOKUP(Table6101112131415[[#This Row],[Category No]],Table8[Category No],Table8[Chapter List],FALSE)</f>
        <v>0</v>
      </c>
      <c r="D983" s="34"/>
      <c r="E983" s="34"/>
      <c r="F983" s="34"/>
    </row>
    <row r="984" spans="1:6" x14ac:dyDescent="0.3">
      <c r="A984" s="32">
        <v>983</v>
      </c>
      <c r="B984" s="32"/>
      <c r="C984" s="32" t="b">
        <f>_xlfn.XLOOKUP(Table6101112131415[[#This Row],[Category No]],Table8[Category No],Table8[Chapter List],FALSE)</f>
        <v>0</v>
      </c>
      <c r="D984" s="34"/>
      <c r="E984" s="34"/>
      <c r="F984" s="34"/>
    </row>
    <row r="985" spans="1:6" x14ac:dyDescent="0.3">
      <c r="A985" s="32">
        <v>984</v>
      </c>
      <c r="B985" s="32"/>
      <c r="C985" s="32" t="b">
        <f>_xlfn.XLOOKUP(Table6101112131415[[#This Row],[Category No]],Table8[Category No],Table8[Chapter List],FALSE)</f>
        <v>0</v>
      </c>
      <c r="D985" s="34"/>
      <c r="E985" s="34"/>
      <c r="F985" s="34"/>
    </row>
    <row r="986" spans="1:6" x14ac:dyDescent="0.3">
      <c r="A986" s="32">
        <v>985</v>
      </c>
      <c r="B986" s="32"/>
      <c r="C986" s="32" t="b">
        <f>_xlfn.XLOOKUP(Table6101112131415[[#This Row],[Category No]],Table8[Category No],Table8[Chapter List],FALSE)</f>
        <v>0</v>
      </c>
      <c r="D986" s="34"/>
      <c r="E986" s="34"/>
      <c r="F986" s="34"/>
    </row>
    <row r="987" spans="1:6" x14ac:dyDescent="0.3">
      <c r="A987" s="32">
        <v>986</v>
      </c>
      <c r="B987" s="32"/>
      <c r="C987" s="32" t="b">
        <f>_xlfn.XLOOKUP(Table6101112131415[[#This Row],[Category No]],Table8[Category No],Table8[Chapter List],FALSE)</f>
        <v>0</v>
      </c>
      <c r="D987" s="34"/>
      <c r="E987" s="34"/>
      <c r="F987" s="34"/>
    </row>
    <row r="988" spans="1:6" x14ac:dyDescent="0.3">
      <c r="A988" s="32">
        <v>987</v>
      </c>
      <c r="B988" s="32"/>
      <c r="C988" s="32" t="b">
        <f>_xlfn.XLOOKUP(Table6101112131415[[#This Row],[Category No]],Table8[Category No],Table8[Chapter List],FALSE)</f>
        <v>0</v>
      </c>
      <c r="D988" s="34"/>
      <c r="E988" s="34"/>
      <c r="F988" s="34"/>
    </row>
    <row r="989" spans="1:6" x14ac:dyDescent="0.3">
      <c r="A989" s="32">
        <v>988</v>
      </c>
      <c r="B989" s="32"/>
      <c r="C989" s="32" t="b">
        <f>_xlfn.XLOOKUP(Table6101112131415[[#This Row],[Category No]],Table8[Category No],Table8[Chapter List],FALSE)</f>
        <v>0</v>
      </c>
      <c r="D989" s="34"/>
      <c r="E989" s="34"/>
      <c r="F989" s="34"/>
    </row>
    <row r="990" spans="1:6" x14ac:dyDescent="0.3">
      <c r="A990" s="32">
        <v>989</v>
      </c>
      <c r="B990" s="32"/>
      <c r="C990" s="32" t="b">
        <f>_xlfn.XLOOKUP(Table6101112131415[[#This Row],[Category No]],Table8[Category No],Table8[Chapter List],FALSE)</f>
        <v>0</v>
      </c>
      <c r="D990" s="34"/>
      <c r="E990" s="34"/>
      <c r="F990" s="34"/>
    </row>
    <row r="991" spans="1:6" x14ac:dyDescent="0.3">
      <c r="A991" s="32">
        <v>990</v>
      </c>
      <c r="B991" s="32"/>
      <c r="C991" s="32" t="b">
        <f>_xlfn.XLOOKUP(Table6101112131415[[#This Row],[Category No]],Table8[Category No],Table8[Chapter List],FALSE)</f>
        <v>0</v>
      </c>
      <c r="D991" s="34"/>
      <c r="E991" s="34"/>
      <c r="F991" s="34"/>
    </row>
    <row r="992" spans="1:6" x14ac:dyDescent="0.3">
      <c r="A992" s="32">
        <v>991</v>
      </c>
      <c r="B992" s="32"/>
      <c r="C992" s="32" t="b">
        <f>_xlfn.XLOOKUP(Table6101112131415[[#This Row],[Category No]],Table8[Category No],Table8[Chapter List],FALSE)</f>
        <v>0</v>
      </c>
      <c r="D992" s="34"/>
      <c r="E992" s="34"/>
      <c r="F992" s="34"/>
    </row>
    <row r="993" spans="1:6" x14ac:dyDescent="0.3">
      <c r="A993" s="32">
        <v>992</v>
      </c>
      <c r="B993" s="32"/>
      <c r="C993" s="32" t="b">
        <f>_xlfn.XLOOKUP(Table6101112131415[[#This Row],[Category No]],Table8[Category No],Table8[Chapter List],FALSE)</f>
        <v>0</v>
      </c>
      <c r="D993" s="34"/>
      <c r="E993" s="34"/>
      <c r="F993" s="34"/>
    </row>
    <row r="994" spans="1:6" x14ac:dyDescent="0.3">
      <c r="A994" s="32">
        <v>993</v>
      </c>
      <c r="B994" s="32"/>
      <c r="C994" s="32" t="b">
        <f>_xlfn.XLOOKUP(Table6101112131415[[#This Row],[Category No]],Table8[Category No],Table8[Chapter List],FALSE)</f>
        <v>0</v>
      </c>
      <c r="D994" s="34"/>
      <c r="E994" s="34"/>
      <c r="F994" s="34"/>
    </row>
    <row r="995" spans="1:6" x14ac:dyDescent="0.3">
      <c r="A995" s="32">
        <v>994</v>
      </c>
      <c r="B995" s="32"/>
      <c r="C995" s="32" t="b">
        <f>_xlfn.XLOOKUP(Table6101112131415[[#This Row],[Category No]],Table8[Category No],Table8[Chapter List],FALSE)</f>
        <v>0</v>
      </c>
      <c r="D995" s="34"/>
      <c r="E995" s="34"/>
      <c r="F995" s="34"/>
    </row>
    <row r="996" spans="1:6" x14ac:dyDescent="0.3">
      <c r="A996" s="32">
        <v>995</v>
      </c>
      <c r="B996" s="32"/>
      <c r="C996" s="32" t="b">
        <f>_xlfn.XLOOKUP(Table6101112131415[[#This Row],[Category No]],Table8[Category No],Table8[Chapter List],FALSE)</f>
        <v>0</v>
      </c>
      <c r="D996" s="34"/>
      <c r="E996" s="34"/>
      <c r="F996" s="34"/>
    </row>
    <row r="997" spans="1:6" x14ac:dyDescent="0.3">
      <c r="A997" s="32">
        <v>996</v>
      </c>
      <c r="B997" s="32"/>
      <c r="C997" s="32" t="b">
        <f>_xlfn.XLOOKUP(Table6101112131415[[#This Row],[Category No]],Table8[Category No],Table8[Chapter List],FALSE)</f>
        <v>0</v>
      </c>
      <c r="D997" s="34"/>
      <c r="E997" s="34"/>
      <c r="F997" s="34"/>
    </row>
    <row r="998" spans="1:6" x14ac:dyDescent="0.3">
      <c r="A998" s="32">
        <v>997</v>
      </c>
      <c r="B998" s="32"/>
      <c r="C998" s="32" t="b">
        <f>_xlfn.XLOOKUP(Table6101112131415[[#This Row],[Category No]],Table8[Category No],Table8[Chapter List],FALSE)</f>
        <v>0</v>
      </c>
      <c r="D998" s="34"/>
      <c r="E998" s="34"/>
      <c r="F998" s="34"/>
    </row>
    <row r="999" spans="1:6" x14ac:dyDescent="0.3">
      <c r="A999" s="32">
        <v>998</v>
      </c>
      <c r="B999" s="32"/>
      <c r="C999" s="32" t="b">
        <f>_xlfn.XLOOKUP(Table6101112131415[[#This Row],[Category No]],Table8[Category No],Table8[Chapter List],FALSE)</f>
        <v>0</v>
      </c>
      <c r="D999" s="34"/>
      <c r="E999" s="34"/>
      <c r="F999" s="34"/>
    </row>
    <row r="1000" spans="1:6" x14ac:dyDescent="0.3">
      <c r="A1000" s="32">
        <v>999</v>
      </c>
      <c r="B1000" s="32"/>
      <c r="C1000" s="32" t="b">
        <f>_xlfn.XLOOKUP(Table6101112131415[[#This Row],[Category No]],Table8[Category No],Table8[Chapter List],FALSE)</f>
        <v>0</v>
      </c>
      <c r="D1000" s="34"/>
      <c r="E1000" s="34"/>
      <c r="F1000" s="34"/>
    </row>
    <row r="1001" spans="1:6" x14ac:dyDescent="0.3">
      <c r="A1001" s="32">
        <v>1000</v>
      </c>
      <c r="B1001" s="32"/>
      <c r="C1001" s="32" t="b">
        <f>_xlfn.XLOOKUP(Table6101112131415[[#This Row],[Category No]],Table8[Category No],Table8[Chapter List],FALSE)</f>
        <v>0</v>
      </c>
      <c r="D1001" s="34"/>
      <c r="E1001" s="34"/>
      <c r="F1001" s="34"/>
    </row>
    <row r="1002" spans="1:6" x14ac:dyDescent="0.3">
      <c r="A1002" s="32">
        <v>1001</v>
      </c>
      <c r="B1002" s="32"/>
      <c r="C1002" s="32" t="b">
        <f>_xlfn.XLOOKUP(Table6101112131415[[#This Row],[Category No]],Table8[Category No],Table8[Chapter List],FALSE)</f>
        <v>0</v>
      </c>
      <c r="D1002" s="34"/>
      <c r="E1002" s="34"/>
      <c r="F1002" s="34"/>
    </row>
    <row r="1003" spans="1:6" x14ac:dyDescent="0.3">
      <c r="A1003" s="32">
        <v>1002</v>
      </c>
      <c r="B1003" s="32"/>
      <c r="C1003" s="32" t="b">
        <f>_xlfn.XLOOKUP(Table6101112131415[[#This Row],[Category No]],Table8[Category No],Table8[Chapter List],FALSE)</f>
        <v>0</v>
      </c>
      <c r="D1003" s="34"/>
      <c r="E1003" s="34"/>
      <c r="F1003" s="34"/>
    </row>
    <row r="1004" spans="1:6" x14ac:dyDescent="0.3">
      <c r="A1004" s="32">
        <v>1003</v>
      </c>
      <c r="B1004" s="32"/>
      <c r="C1004" s="32" t="b">
        <f>_xlfn.XLOOKUP(Table6101112131415[[#This Row],[Category No]],Table8[Category No],Table8[Chapter List],FALSE)</f>
        <v>0</v>
      </c>
      <c r="D1004" s="34"/>
      <c r="E1004" s="34"/>
      <c r="F1004" s="34"/>
    </row>
    <row r="1005" spans="1:6" x14ac:dyDescent="0.3">
      <c r="A1005" s="32">
        <v>1004</v>
      </c>
      <c r="B1005" s="32"/>
      <c r="C1005" s="32" t="b">
        <f>_xlfn.XLOOKUP(Table6101112131415[[#This Row],[Category No]],Table8[Category No],Table8[Chapter List],FALSE)</f>
        <v>0</v>
      </c>
      <c r="D1005" s="34"/>
      <c r="E1005" s="34"/>
      <c r="F1005" s="34"/>
    </row>
    <row r="1006" spans="1:6" x14ac:dyDescent="0.3">
      <c r="A1006" s="32">
        <v>1005</v>
      </c>
      <c r="B1006" s="32"/>
      <c r="C1006" s="32" t="b">
        <f>_xlfn.XLOOKUP(Table6101112131415[[#This Row],[Category No]],Table8[Category No],Table8[Chapter List],FALSE)</f>
        <v>0</v>
      </c>
      <c r="D1006" s="34"/>
      <c r="E1006" s="34"/>
      <c r="F1006" s="34"/>
    </row>
  </sheetData>
  <mergeCells count="16">
    <mergeCell ref="G216:G217"/>
    <mergeCell ref="G218:G222"/>
    <mergeCell ref="G203:G210"/>
    <mergeCell ref="G211:G213"/>
    <mergeCell ref="G200:G201"/>
    <mergeCell ref="G77:G79"/>
    <mergeCell ref="G80:G82"/>
    <mergeCell ref="G83:G85"/>
    <mergeCell ref="G86:G89"/>
    <mergeCell ref="G90:G95"/>
    <mergeCell ref="G193:G195"/>
    <mergeCell ref="G196:G198"/>
    <mergeCell ref="G168:G175"/>
    <mergeCell ref="G176:G182"/>
    <mergeCell ref="G113:G117"/>
    <mergeCell ref="G183:G19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D9CC-D3C1-4BD4-8A47-FEADAB176182}">
  <dimension ref="A1:F1000"/>
  <sheetViews>
    <sheetView topLeftCell="A225" workbookViewId="0">
      <selection activeCell="D237" sqref="D237"/>
    </sheetView>
  </sheetViews>
  <sheetFormatPr defaultRowHeight="13.8" x14ac:dyDescent="0.3"/>
  <cols>
    <col min="1" max="1" width="9.33203125" style="37" bestFit="1" customWidth="1"/>
    <col min="2" max="2" width="14.21875" style="37" bestFit="1" customWidth="1"/>
    <col min="3" max="3" width="52.6640625" style="37" bestFit="1" customWidth="1"/>
    <col min="4" max="4" width="32.5546875" style="37" bestFit="1" customWidth="1"/>
    <col min="5" max="5" width="66.88671875" style="37" bestFit="1" customWidth="1"/>
    <col min="6" max="6" width="30.77734375" style="37" bestFit="1" customWidth="1"/>
    <col min="7" max="16384" width="8.88671875" style="37"/>
  </cols>
  <sheetData>
    <row r="1" spans="1:5" x14ac:dyDescent="0.3">
      <c r="A1" s="35" t="s">
        <v>1</v>
      </c>
      <c r="B1" s="36" t="s">
        <v>125</v>
      </c>
      <c r="C1" s="36" t="s">
        <v>126</v>
      </c>
      <c r="D1" s="36" t="s">
        <v>138</v>
      </c>
      <c r="E1" s="36" t="s">
        <v>139</v>
      </c>
    </row>
    <row r="2" spans="1:5" x14ac:dyDescent="0.3">
      <c r="A2" s="32">
        <v>1</v>
      </c>
      <c r="B2" s="32" t="s">
        <v>62</v>
      </c>
      <c r="C2" s="32" t="str">
        <f>_xlfn.XLOOKUP(Table61011121316[[#This Row],[Category No]],Table8[Category No],Table8[Chapter List],FALSE)</f>
        <v>Rig Vedic Period</v>
      </c>
      <c r="D2" s="34" t="s">
        <v>360</v>
      </c>
      <c r="E2" s="34" t="s">
        <v>361</v>
      </c>
    </row>
    <row r="3" spans="1:5" x14ac:dyDescent="0.3">
      <c r="A3" s="32">
        <v>2</v>
      </c>
      <c r="B3" s="32" t="s">
        <v>62</v>
      </c>
      <c r="C3" s="32" t="str">
        <f>_xlfn.XLOOKUP(Table61011121316[[#This Row],[Category No]],Table8[Category No],Table8[Chapter List],FALSE)</f>
        <v>Rig Vedic Period</v>
      </c>
      <c r="D3" s="34" t="s">
        <v>362</v>
      </c>
      <c r="E3" s="34" t="s">
        <v>363</v>
      </c>
    </row>
    <row r="4" spans="1:5" x14ac:dyDescent="0.3">
      <c r="A4" s="32">
        <v>3</v>
      </c>
      <c r="B4" s="32" t="s">
        <v>62</v>
      </c>
      <c r="C4" s="32" t="str">
        <f>_xlfn.XLOOKUP(Table61011121316[[#This Row],[Category No]],Table8[Category No],Table8[Chapter List],FALSE)</f>
        <v>Rig Vedic Period</v>
      </c>
      <c r="D4" s="33" t="s">
        <v>385</v>
      </c>
      <c r="E4" s="34" t="s">
        <v>386</v>
      </c>
    </row>
    <row r="5" spans="1:5" x14ac:dyDescent="0.3">
      <c r="A5" s="32">
        <v>4</v>
      </c>
      <c r="B5" s="32" t="s">
        <v>62</v>
      </c>
      <c r="C5" s="32" t="str">
        <f>_xlfn.XLOOKUP(Table61011121316[[#This Row],[Category No]],Table8[Category No],Table8[Chapter List],FALSE)</f>
        <v>Rig Vedic Period</v>
      </c>
      <c r="D5" s="34" t="s">
        <v>387</v>
      </c>
      <c r="E5" s="34" t="s">
        <v>388</v>
      </c>
    </row>
    <row r="6" spans="1:5" x14ac:dyDescent="0.3">
      <c r="A6" s="32">
        <v>5</v>
      </c>
      <c r="B6" s="32" t="s">
        <v>62</v>
      </c>
      <c r="C6" s="32" t="str">
        <f>_xlfn.XLOOKUP(Table61011121316[[#This Row],[Category No]],Table8[Category No],Table8[Chapter List],FALSE)</f>
        <v>Rig Vedic Period</v>
      </c>
      <c r="D6" s="34" t="s">
        <v>389</v>
      </c>
      <c r="E6" s="34" t="s">
        <v>390</v>
      </c>
    </row>
    <row r="7" spans="1:5" x14ac:dyDescent="0.3">
      <c r="A7" s="32">
        <v>6</v>
      </c>
      <c r="B7" s="32" t="s">
        <v>62</v>
      </c>
      <c r="C7" s="32" t="str">
        <f>_xlfn.XLOOKUP(Table61011121316[[#This Row],[Category No]],Table8[Category No],Table8[Chapter List],FALSE)</f>
        <v>Rig Vedic Period</v>
      </c>
      <c r="D7" s="33" t="s">
        <v>391</v>
      </c>
      <c r="E7" s="34" t="s">
        <v>392</v>
      </c>
    </row>
    <row r="8" spans="1:5" x14ac:dyDescent="0.3">
      <c r="A8" s="32">
        <v>7</v>
      </c>
      <c r="B8" s="32" t="s">
        <v>62</v>
      </c>
      <c r="C8" s="32" t="str">
        <f>_xlfn.XLOOKUP(Table61011121316[[#This Row],[Category No]],Table8[Category No],Table8[Chapter List],FALSE)</f>
        <v>Rig Vedic Period</v>
      </c>
      <c r="D8" s="34" t="s">
        <v>393</v>
      </c>
      <c r="E8" s="34" t="s">
        <v>394</v>
      </c>
    </row>
    <row r="9" spans="1:5" ht="27.6" x14ac:dyDescent="0.3">
      <c r="A9" s="32">
        <v>8</v>
      </c>
      <c r="B9" s="32" t="s">
        <v>62</v>
      </c>
      <c r="C9" s="32" t="str">
        <f>_xlfn.XLOOKUP(Table61011121316[[#This Row],[Category No]],Table8[Category No],Table8[Chapter List],FALSE)</f>
        <v>Rig Vedic Period</v>
      </c>
      <c r="D9" s="34" t="s">
        <v>395</v>
      </c>
      <c r="E9" s="33" t="s">
        <v>396</v>
      </c>
    </row>
    <row r="10" spans="1:5" x14ac:dyDescent="0.3">
      <c r="A10" s="32">
        <v>9</v>
      </c>
      <c r="B10" s="32" t="s">
        <v>62</v>
      </c>
      <c r="C10" s="32" t="str">
        <f>_xlfn.XLOOKUP(Table61011121316[[#This Row],[Category No]],Table8[Category No],Table8[Chapter List],FALSE)</f>
        <v>Rig Vedic Period</v>
      </c>
      <c r="D10" s="33" t="s">
        <v>397</v>
      </c>
      <c r="E10" s="34" t="s">
        <v>398</v>
      </c>
    </row>
    <row r="11" spans="1:5" x14ac:dyDescent="0.3">
      <c r="A11" s="32">
        <v>10</v>
      </c>
      <c r="B11" s="32" t="s">
        <v>62</v>
      </c>
      <c r="C11" s="32" t="str">
        <f>_xlfn.XLOOKUP(Table61011121316[[#This Row],[Category No]],Table8[Category No],Table8[Chapter List],FALSE)</f>
        <v>Rig Vedic Period</v>
      </c>
      <c r="D11" s="34" t="s">
        <v>399</v>
      </c>
      <c r="E11" s="34" t="s">
        <v>400</v>
      </c>
    </row>
    <row r="12" spans="1:5" x14ac:dyDescent="0.3">
      <c r="A12" s="32">
        <v>11</v>
      </c>
      <c r="B12" s="32" t="s">
        <v>62</v>
      </c>
      <c r="C12" s="32" t="str">
        <f>_xlfn.XLOOKUP(Table61011121316[[#This Row],[Category No]],Table8[Category No],Table8[Chapter List],FALSE)</f>
        <v>Rig Vedic Period</v>
      </c>
      <c r="D12" s="33" t="s">
        <v>401</v>
      </c>
      <c r="E12" s="34" t="s">
        <v>402</v>
      </c>
    </row>
    <row r="13" spans="1:5" x14ac:dyDescent="0.3">
      <c r="A13" s="32">
        <v>12</v>
      </c>
      <c r="B13" s="32" t="s">
        <v>62</v>
      </c>
      <c r="C13" s="32" t="str">
        <f>_xlfn.XLOOKUP(Table61011121316[[#This Row],[Category No]],Table8[Category No],Table8[Chapter List],FALSE)</f>
        <v>Rig Vedic Period</v>
      </c>
      <c r="D13" s="34" t="s">
        <v>403</v>
      </c>
      <c r="E13" s="34" t="s">
        <v>404</v>
      </c>
    </row>
    <row r="14" spans="1:5" x14ac:dyDescent="0.3">
      <c r="A14" s="32">
        <v>13</v>
      </c>
      <c r="B14" s="32" t="s">
        <v>62</v>
      </c>
      <c r="C14" s="32" t="str">
        <f>_xlfn.XLOOKUP(Table61011121316[[#This Row],[Category No]],Table8[Category No],Table8[Chapter List],FALSE)</f>
        <v>Rig Vedic Period</v>
      </c>
      <c r="D14" s="33" t="s">
        <v>405</v>
      </c>
      <c r="E14" s="34" t="s">
        <v>406</v>
      </c>
    </row>
    <row r="15" spans="1:5" x14ac:dyDescent="0.3">
      <c r="A15" s="32">
        <v>14</v>
      </c>
      <c r="B15" s="32" t="s">
        <v>62</v>
      </c>
      <c r="C15" s="32" t="str">
        <f>_xlfn.XLOOKUP(Table61011121316[[#This Row],[Category No]],Table8[Category No],Table8[Chapter List],FALSE)</f>
        <v>Rig Vedic Period</v>
      </c>
      <c r="D15" s="34" t="s">
        <v>407</v>
      </c>
      <c r="E15" s="34" t="s">
        <v>408</v>
      </c>
    </row>
    <row r="16" spans="1:5" ht="27.6" x14ac:dyDescent="0.3">
      <c r="A16" s="32">
        <v>15</v>
      </c>
      <c r="B16" s="32" t="s">
        <v>62</v>
      </c>
      <c r="C16" s="32" t="str">
        <f>_xlfn.XLOOKUP(Table61011121316[[#This Row],[Category No]],Table8[Category No],Table8[Chapter List],FALSE)</f>
        <v>Rig Vedic Period</v>
      </c>
      <c r="D16" s="33" t="s">
        <v>409</v>
      </c>
      <c r="E16" s="34" t="s">
        <v>410</v>
      </c>
    </row>
    <row r="17" spans="1:5" x14ac:dyDescent="0.3">
      <c r="A17" s="32">
        <v>16</v>
      </c>
      <c r="B17" s="32" t="s">
        <v>62</v>
      </c>
      <c r="C17" s="32" t="str">
        <f>_xlfn.XLOOKUP(Table61011121316[[#This Row],[Category No]],Table8[Category No],Table8[Chapter List],FALSE)</f>
        <v>Rig Vedic Period</v>
      </c>
      <c r="D17" s="34" t="s">
        <v>413</v>
      </c>
      <c r="E17" s="34" t="s">
        <v>414</v>
      </c>
    </row>
    <row r="18" spans="1:5" x14ac:dyDescent="0.3">
      <c r="A18" s="32">
        <v>17</v>
      </c>
      <c r="B18" s="32" t="s">
        <v>62</v>
      </c>
      <c r="C18" s="32" t="str">
        <f>_xlfn.XLOOKUP(Table61011121316[[#This Row],[Category No]],Table8[Category No],Table8[Chapter List],FALSE)</f>
        <v>Rig Vedic Period</v>
      </c>
      <c r="D18" s="34" t="s">
        <v>415</v>
      </c>
      <c r="E18" s="34" t="s">
        <v>416</v>
      </c>
    </row>
    <row r="19" spans="1:5" x14ac:dyDescent="0.3">
      <c r="A19" s="32">
        <v>18</v>
      </c>
      <c r="B19" s="32" t="s">
        <v>62</v>
      </c>
      <c r="C19" s="32" t="str">
        <f>_xlfn.XLOOKUP(Table61011121316[[#This Row],[Category No]],Table8[Category No],Table8[Chapter List],FALSE)</f>
        <v>Rig Vedic Period</v>
      </c>
      <c r="D19" s="34" t="s">
        <v>417</v>
      </c>
      <c r="E19" s="34" t="s">
        <v>418</v>
      </c>
    </row>
    <row r="20" spans="1:5" x14ac:dyDescent="0.3">
      <c r="A20" s="32">
        <v>19</v>
      </c>
      <c r="B20" s="32" t="s">
        <v>62</v>
      </c>
      <c r="C20" s="32" t="str">
        <f>_xlfn.XLOOKUP(Table61011121316[[#This Row],[Category No]],Table8[Category No],Table8[Chapter List],FALSE)</f>
        <v>Rig Vedic Period</v>
      </c>
      <c r="D20" s="34" t="s">
        <v>419</v>
      </c>
      <c r="E20" s="34" t="s">
        <v>420</v>
      </c>
    </row>
    <row r="21" spans="1:5" x14ac:dyDescent="0.3">
      <c r="A21" s="32">
        <v>20</v>
      </c>
      <c r="B21" s="32" t="s">
        <v>62</v>
      </c>
      <c r="C21" s="32" t="str">
        <f>_xlfn.XLOOKUP(Table61011121316[[#This Row],[Category No]],Table8[Category No],Table8[Chapter List],FALSE)</f>
        <v>Rig Vedic Period</v>
      </c>
      <c r="D21" s="34" t="s">
        <v>421</v>
      </c>
      <c r="E21" s="34" t="s">
        <v>422</v>
      </c>
    </row>
    <row r="22" spans="1:5" x14ac:dyDescent="0.3">
      <c r="A22" s="32">
        <v>21</v>
      </c>
      <c r="B22" s="32" t="s">
        <v>62</v>
      </c>
      <c r="C22" s="32" t="str">
        <f>_xlfn.XLOOKUP(Table61011121316[[#This Row],[Category No]],Table8[Category No],Table8[Chapter List],FALSE)</f>
        <v>Rig Vedic Period</v>
      </c>
      <c r="D22" s="34" t="s">
        <v>423</v>
      </c>
      <c r="E22" s="34" t="s">
        <v>424</v>
      </c>
    </row>
    <row r="23" spans="1:5" x14ac:dyDescent="0.3">
      <c r="A23" s="32">
        <v>22</v>
      </c>
      <c r="B23" s="32" t="s">
        <v>62</v>
      </c>
      <c r="C23" s="32" t="str">
        <f>_xlfn.XLOOKUP(Table61011121316[[#This Row],[Category No]],Table8[Category No],Table8[Chapter List],FALSE)</f>
        <v>Rig Vedic Period</v>
      </c>
      <c r="D23" s="34" t="s">
        <v>425</v>
      </c>
      <c r="E23" s="34" t="s">
        <v>361</v>
      </c>
    </row>
    <row r="24" spans="1:5" x14ac:dyDescent="0.3">
      <c r="A24" s="32">
        <v>23</v>
      </c>
      <c r="B24" s="32" t="s">
        <v>62</v>
      </c>
      <c r="C24" s="32" t="str">
        <f>_xlfn.XLOOKUP(Table61011121316[[#This Row],[Category No]],Table8[Category No],Table8[Chapter List],FALSE)</f>
        <v>Rig Vedic Period</v>
      </c>
      <c r="D24" s="34" t="s">
        <v>426</v>
      </c>
      <c r="E24" s="34" t="s">
        <v>427</v>
      </c>
    </row>
    <row r="25" spans="1:5" x14ac:dyDescent="0.3">
      <c r="A25" s="32">
        <v>24</v>
      </c>
      <c r="B25" s="32" t="s">
        <v>62</v>
      </c>
      <c r="C25" s="32" t="str">
        <f>_xlfn.XLOOKUP(Table61011121316[[#This Row],[Category No]],Table8[Category No],Table8[Chapter List],FALSE)</f>
        <v>Rig Vedic Period</v>
      </c>
      <c r="D25" s="34" t="s">
        <v>428</v>
      </c>
      <c r="E25" s="34" t="s">
        <v>429</v>
      </c>
    </row>
    <row r="26" spans="1:5" x14ac:dyDescent="0.3">
      <c r="A26" s="32">
        <v>25</v>
      </c>
      <c r="B26" s="32" t="s">
        <v>62</v>
      </c>
      <c r="C26" s="32" t="str">
        <f>_xlfn.XLOOKUP(Table61011121316[[#This Row],[Category No]],Table8[Category No],Table8[Chapter List],FALSE)</f>
        <v>Rig Vedic Period</v>
      </c>
      <c r="D26" s="34" t="s">
        <v>430</v>
      </c>
      <c r="E26" s="34" t="s">
        <v>431</v>
      </c>
    </row>
    <row r="27" spans="1:5" x14ac:dyDescent="0.3">
      <c r="A27" s="32">
        <v>26</v>
      </c>
      <c r="B27" s="32" t="s">
        <v>62</v>
      </c>
      <c r="C27" s="32" t="str">
        <f>_xlfn.XLOOKUP(Table61011121316[[#This Row],[Category No]],Table8[Category No],Table8[Chapter List],FALSE)</f>
        <v>Rig Vedic Period</v>
      </c>
      <c r="D27" s="34" t="s">
        <v>432</v>
      </c>
      <c r="E27" s="34" t="s">
        <v>433</v>
      </c>
    </row>
    <row r="28" spans="1:5" x14ac:dyDescent="0.3">
      <c r="A28" s="32">
        <v>27</v>
      </c>
      <c r="B28" s="32" t="s">
        <v>62</v>
      </c>
      <c r="C28" s="32" t="str">
        <f>_xlfn.XLOOKUP(Table61011121316[[#This Row],[Category No]],Table8[Category No],Table8[Chapter List],FALSE)</f>
        <v>Rig Vedic Period</v>
      </c>
      <c r="D28" s="34" t="s">
        <v>434</v>
      </c>
      <c r="E28" s="34" t="s">
        <v>435</v>
      </c>
    </row>
    <row r="29" spans="1:5" x14ac:dyDescent="0.3">
      <c r="A29" s="32">
        <v>28</v>
      </c>
      <c r="B29" s="32" t="s">
        <v>62</v>
      </c>
      <c r="C29" s="32" t="str">
        <f>_xlfn.XLOOKUP(Table61011121316[[#This Row],[Category No]],Table8[Category No],Table8[Chapter List],FALSE)</f>
        <v>Rig Vedic Period</v>
      </c>
      <c r="D29" s="34" t="s">
        <v>436</v>
      </c>
      <c r="E29" s="34" t="s">
        <v>437</v>
      </c>
    </row>
    <row r="30" spans="1:5" x14ac:dyDescent="0.3">
      <c r="A30" s="32">
        <v>29</v>
      </c>
      <c r="B30" s="32" t="s">
        <v>62</v>
      </c>
      <c r="C30" s="32" t="str">
        <f>_xlfn.XLOOKUP(Table61011121316[[#This Row],[Category No]],Table8[Category No],Table8[Chapter List],FALSE)</f>
        <v>Rig Vedic Period</v>
      </c>
      <c r="D30" s="34" t="s">
        <v>438</v>
      </c>
      <c r="E30" s="34" t="s">
        <v>439</v>
      </c>
    </row>
    <row r="31" spans="1:5" x14ac:dyDescent="0.3">
      <c r="A31" s="32">
        <v>30</v>
      </c>
      <c r="B31" s="32" t="s">
        <v>62</v>
      </c>
      <c r="C31" s="32" t="str">
        <f>_xlfn.XLOOKUP(Table61011121316[[#This Row],[Category No]],Table8[Category No],Table8[Chapter List],FALSE)</f>
        <v>Rig Vedic Period</v>
      </c>
      <c r="D31" s="34" t="s">
        <v>440</v>
      </c>
      <c r="E31" s="34" t="s">
        <v>441</v>
      </c>
    </row>
    <row r="32" spans="1:5" x14ac:dyDescent="0.3">
      <c r="A32" s="32">
        <v>31</v>
      </c>
      <c r="B32" s="32" t="s">
        <v>62</v>
      </c>
      <c r="C32" s="32" t="str">
        <f>_xlfn.XLOOKUP(Table61011121316[[#This Row],[Category No]],Table8[Category No],Table8[Chapter List],FALSE)</f>
        <v>Rig Vedic Period</v>
      </c>
      <c r="D32" s="34" t="s">
        <v>442</v>
      </c>
      <c r="E32" s="34" t="s">
        <v>443</v>
      </c>
    </row>
    <row r="33" spans="1:5" x14ac:dyDescent="0.3">
      <c r="A33" s="32">
        <v>32</v>
      </c>
      <c r="B33" s="32" t="s">
        <v>62</v>
      </c>
      <c r="C33" s="32" t="str">
        <f>_xlfn.XLOOKUP(Table61011121316[[#This Row],[Category No]],Table8[Category No],Table8[Chapter List],FALSE)</f>
        <v>Rig Vedic Period</v>
      </c>
      <c r="D33" s="34" t="s">
        <v>444</v>
      </c>
      <c r="E33" s="34" t="s">
        <v>445</v>
      </c>
    </row>
    <row r="34" spans="1:5" x14ac:dyDescent="0.3">
      <c r="A34" s="32">
        <v>33</v>
      </c>
      <c r="B34" s="32" t="s">
        <v>62</v>
      </c>
      <c r="C34" s="32" t="str">
        <f>_xlfn.XLOOKUP(Table61011121316[[#This Row],[Category No]],Table8[Category No],Table8[Chapter List],FALSE)</f>
        <v>Rig Vedic Period</v>
      </c>
      <c r="D34" s="34" t="s">
        <v>446</v>
      </c>
      <c r="E34" s="34" t="s">
        <v>447</v>
      </c>
    </row>
    <row r="35" spans="1:5" x14ac:dyDescent="0.3">
      <c r="A35" s="32">
        <v>34</v>
      </c>
      <c r="B35" s="32" t="s">
        <v>62</v>
      </c>
      <c r="C35" s="32" t="str">
        <f>_xlfn.XLOOKUP(Table61011121316[[#This Row],[Category No]],Table8[Category No],Table8[Chapter List],FALSE)</f>
        <v>Rig Vedic Period</v>
      </c>
      <c r="D35" s="34" t="s">
        <v>448</v>
      </c>
      <c r="E35" s="34" t="s">
        <v>449</v>
      </c>
    </row>
    <row r="36" spans="1:5" x14ac:dyDescent="0.3">
      <c r="A36" s="32">
        <v>35</v>
      </c>
      <c r="B36" s="32" t="s">
        <v>62</v>
      </c>
      <c r="C36" s="32" t="str">
        <f>_xlfn.XLOOKUP(Table61011121316[[#This Row],[Category No]],Table8[Category No],Table8[Chapter List],FALSE)</f>
        <v>Rig Vedic Period</v>
      </c>
      <c r="D36" s="34" t="s">
        <v>450</v>
      </c>
      <c r="E36" s="34" t="s">
        <v>451</v>
      </c>
    </row>
    <row r="37" spans="1:5" x14ac:dyDescent="0.3">
      <c r="A37" s="32">
        <v>36</v>
      </c>
      <c r="B37" s="32" t="s">
        <v>62</v>
      </c>
      <c r="C37" s="32" t="str">
        <f>_xlfn.XLOOKUP(Table61011121316[[#This Row],[Category No]],Table8[Category No],Table8[Chapter List],FALSE)</f>
        <v>Rig Vedic Period</v>
      </c>
      <c r="D37" s="34" t="s">
        <v>452</v>
      </c>
      <c r="E37" s="34" t="s">
        <v>453</v>
      </c>
    </row>
    <row r="38" spans="1:5" x14ac:dyDescent="0.3">
      <c r="A38" s="32">
        <v>37</v>
      </c>
      <c r="B38" s="32" t="s">
        <v>62</v>
      </c>
      <c r="C38" s="32" t="str">
        <f>_xlfn.XLOOKUP(Table61011121316[[#This Row],[Category No]],Table8[Category No],Table8[Chapter List],FALSE)</f>
        <v>Rig Vedic Period</v>
      </c>
      <c r="D38" s="34" t="s">
        <v>454</v>
      </c>
      <c r="E38" s="34" t="s">
        <v>455</v>
      </c>
    </row>
    <row r="39" spans="1:5" ht="27.6" x14ac:dyDescent="0.3">
      <c r="A39" s="32">
        <v>38</v>
      </c>
      <c r="B39" s="32" t="s">
        <v>62</v>
      </c>
      <c r="C39" s="32" t="str">
        <f>_xlfn.XLOOKUP(Table61011121316[[#This Row],[Category No]],Table8[Category No],Table8[Chapter List],FALSE)</f>
        <v>Rig Vedic Period</v>
      </c>
      <c r="D39" s="33" t="s">
        <v>456</v>
      </c>
      <c r="E39" s="34" t="s">
        <v>457</v>
      </c>
    </row>
    <row r="40" spans="1:5" x14ac:dyDescent="0.3">
      <c r="A40" s="32">
        <v>39</v>
      </c>
      <c r="B40" s="32" t="s">
        <v>62</v>
      </c>
      <c r="C40" s="32" t="str">
        <f>_xlfn.XLOOKUP(Table61011121316[[#This Row],[Category No]],Table8[Category No],Table8[Chapter List],FALSE)</f>
        <v>Rig Vedic Period</v>
      </c>
      <c r="D40" s="34" t="s">
        <v>458</v>
      </c>
      <c r="E40" s="34" t="s">
        <v>459</v>
      </c>
    </row>
    <row r="41" spans="1:5" x14ac:dyDescent="0.3">
      <c r="A41" s="32">
        <v>40</v>
      </c>
      <c r="B41" s="32" t="s">
        <v>62</v>
      </c>
      <c r="C41" s="32" t="str">
        <f>_xlfn.XLOOKUP(Table61011121316[[#This Row],[Category No]],Table8[Category No],Table8[Chapter List],FALSE)</f>
        <v>Rig Vedic Period</v>
      </c>
      <c r="D41" s="34" t="s">
        <v>464</v>
      </c>
      <c r="E41" s="34" t="s">
        <v>465</v>
      </c>
    </row>
    <row r="42" spans="1:5" x14ac:dyDescent="0.3">
      <c r="A42" s="32">
        <v>41</v>
      </c>
      <c r="B42" s="32" t="s">
        <v>62</v>
      </c>
      <c r="C42" s="32" t="str">
        <f>_xlfn.XLOOKUP(Table61011121316[[#This Row],[Category No]],Table8[Category No],Table8[Chapter List],FALSE)</f>
        <v>Rig Vedic Period</v>
      </c>
      <c r="D42" s="34" t="s">
        <v>466</v>
      </c>
      <c r="E42" s="34" t="s">
        <v>467</v>
      </c>
    </row>
    <row r="43" spans="1:5" x14ac:dyDescent="0.3">
      <c r="A43" s="32">
        <v>42</v>
      </c>
      <c r="B43" s="32" t="s">
        <v>62</v>
      </c>
      <c r="C43" s="32" t="str">
        <f>_xlfn.XLOOKUP(Table61011121316[[#This Row],[Category No]],Table8[Category No],Table8[Chapter List],FALSE)</f>
        <v>Rig Vedic Period</v>
      </c>
      <c r="D43" s="34" t="s">
        <v>468</v>
      </c>
      <c r="E43" s="34" t="s">
        <v>469</v>
      </c>
    </row>
    <row r="44" spans="1:5" x14ac:dyDescent="0.3">
      <c r="A44" s="32">
        <v>43</v>
      </c>
      <c r="B44" s="32" t="s">
        <v>62</v>
      </c>
      <c r="C44" s="32" t="str">
        <f>_xlfn.XLOOKUP(Table61011121316[[#This Row],[Category No]],Table8[Category No],Table8[Chapter List],FALSE)</f>
        <v>Rig Vedic Period</v>
      </c>
      <c r="D44" s="34" t="s">
        <v>470</v>
      </c>
      <c r="E44" s="34" t="s">
        <v>471</v>
      </c>
    </row>
    <row r="45" spans="1:5" x14ac:dyDescent="0.3">
      <c r="A45" s="32">
        <v>44</v>
      </c>
      <c r="B45" s="32" t="s">
        <v>62</v>
      </c>
      <c r="C45" s="32" t="str">
        <f>_xlfn.XLOOKUP(Table61011121316[[#This Row],[Category No]],Table8[Category No],Table8[Chapter List],FALSE)</f>
        <v>Rig Vedic Period</v>
      </c>
      <c r="D45" s="34" t="s">
        <v>472</v>
      </c>
      <c r="E45" s="34" t="s">
        <v>473</v>
      </c>
    </row>
    <row r="46" spans="1:5" x14ac:dyDescent="0.3">
      <c r="A46" s="32">
        <v>45</v>
      </c>
      <c r="B46" s="32" t="s">
        <v>62</v>
      </c>
      <c r="C46" s="32" t="str">
        <f>_xlfn.XLOOKUP(Table61011121316[[#This Row],[Category No]],Table8[Category No],Table8[Chapter List],FALSE)</f>
        <v>Rig Vedic Period</v>
      </c>
      <c r="D46" s="34" t="s">
        <v>474</v>
      </c>
      <c r="E46" s="34" t="s">
        <v>475</v>
      </c>
    </row>
    <row r="47" spans="1:5" x14ac:dyDescent="0.3">
      <c r="A47" s="32">
        <v>46</v>
      </c>
      <c r="B47" s="32" t="s">
        <v>62</v>
      </c>
      <c r="C47" s="32" t="str">
        <f>_xlfn.XLOOKUP(Table61011121316[[#This Row],[Category No]],Table8[Category No],Table8[Chapter List],FALSE)</f>
        <v>Rig Vedic Period</v>
      </c>
      <c r="D47" s="34" t="s">
        <v>476</v>
      </c>
      <c r="E47" s="34" t="s">
        <v>477</v>
      </c>
    </row>
    <row r="48" spans="1:5" x14ac:dyDescent="0.3">
      <c r="A48" s="32">
        <v>47</v>
      </c>
      <c r="B48" s="32" t="s">
        <v>62</v>
      </c>
      <c r="C48" s="32" t="str">
        <f>_xlfn.XLOOKUP(Table61011121316[[#This Row],[Category No]],Table8[Category No],Table8[Chapter List],FALSE)</f>
        <v>Rig Vedic Period</v>
      </c>
      <c r="D48" s="34" t="s">
        <v>478</v>
      </c>
      <c r="E48" s="34" t="s">
        <v>479</v>
      </c>
    </row>
    <row r="49" spans="1:6" x14ac:dyDescent="0.3">
      <c r="A49" s="32">
        <v>48</v>
      </c>
      <c r="B49" s="32" t="s">
        <v>62</v>
      </c>
      <c r="C49" s="32" t="str">
        <f>_xlfn.XLOOKUP(Table61011121316[[#This Row],[Category No]],Table8[Category No],Table8[Chapter List],FALSE)</f>
        <v>Rig Vedic Period</v>
      </c>
      <c r="D49" s="34" t="s">
        <v>480</v>
      </c>
      <c r="E49" s="34" t="s">
        <v>481</v>
      </c>
    </row>
    <row r="50" spans="1:6" x14ac:dyDescent="0.3">
      <c r="A50" s="32">
        <v>49</v>
      </c>
      <c r="B50" s="32" t="s">
        <v>62</v>
      </c>
      <c r="C50" s="32" t="str">
        <f>_xlfn.XLOOKUP(Table61011121316[[#This Row],[Category No]],Table8[Category No],Table8[Chapter List],FALSE)</f>
        <v>Rig Vedic Period</v>
      </c>
      <c r="D50" s="34" t="s">
        <v>482</v>
      </c>
      <c r="E50" s="34" t="s">
        <v>483</v>
      </c>
    </row>
    <row r="51" spans="1:6" x14ac:dyDescent="0.3">
      <c r="A51" s="32">
        <v>50</v>
      </c>
      <c r="B51" s="32" t="s">
        <v>63</v>
      </c>
      <c r="C51" s="32" t="str">
        <f>_xlfn.XLOOKUP(Table61011121316[[#This Row],[Category No]],Table8[Category No],Table8[Chapter List],FALSE)</f>
        <v>Later Vedic Period</v>
      </c>
      <c r="D51" s="34" t="s">
        <v>540</v>
      </c>
      <c r="E51" s="34" t="s">
        <v>541</v>
      </c>
    </row>
    <row r="52" spans="1:6" x14ac:dyDescent="0.3">
      <c r="A52" s="32">
        <v>51</v>
      </c>
      <c r="B52" s="32" t="s">
        <v>63</v>
      </c>
      <c r="C52" s="32" t="str">
        <f>_xlfn.XLOOKUP(Table61011121316[[#This Row],[Category No]],Table8[Category No],Table8[Chapter List],FALSE)</f>
        <v>Later Vedic Period</v>
      </c>
      <c r="D52" s="34" t="s">
        <v>478</v>
      </c>
      <c r="E52" s="34" t="s">
        <v>542</v>
      </c>
    </row>
    <row r="53" spans="1:6" x14ac:dyDescent="0.3">
      <c r="A53" s="32">
        <v>52</v>
      </c>
      <c r="B53" s="32" t="s">
        <v>63</v>
      </c>
      <c r="C53" s="32" t="str">
        <f>_xlfn.XLOOKUP(Table61011121316[[#This Row],[Category No]],Table8[Category No],Table8[Chapter List],FALSE)</f>
        <v>Later Vedic Period</v>
      </c>
      <c r="D53" s="34" t="s">
        <v>569</v>
      </c>
      <c r="E53" s="34" t="s">
        <v>570</v>
      </c>
      <c r="F53" s="57" t="s">
        <v>577</v>
      </c>
    </row>
    <row r="54" spans="1:6" x14ac:dyDescent="0.3">
      <c r="A54" s="32">
        <v>53</v>
      </c>
      <c r="B54" s="32" t="s">
        <v>63</v>
      </c>
      <c r="C54" s="32" t="str">
        <f>_xlfn.XLOOKUP(Table61011121316[[#This Row],[Category No]],Table8[Category No],Table8[Chapter List],FALSE)</f>
        <v>Later Vedic Period</v>
      </c>
      <c r="D54" s="34" t="s">
        <v>571</v>
      </c>
      <c r="E54" s="34" t="s">
        <v>572</v>
      </c>
      <c r="F54" s="57"/>
    </row>
    <row r="55" spans="1:6" x14ac:dyDescent="0.3">
      <c r="A55" s="32">
        <v>54</v>
      </c>
      <c r="B55" s="32" t="s">
        <v>63</v>
      </c>
      <c r="C55" s="32" t="str">
        <f>_xlfn.XLOOKUP(Table61011121316[[#This Row],[Category No]],Table8[Category No],Table8[Chapter List],FALSE)</f>
        <v>Later Vedic Period</v>
      </c>
      <c r="D55" s="34" t="s">
        <v>573</v>
      </c>
      <c r="E55" s="34" t="s">
        <v>574</v>
      </c>
      <c r="F55" s="57"/>
    </row>
    <row r="56" spans="1:6" x14ac:dyDescent="0.3">
      <c r="A56" s="32">
        <v>55</v>
      </c>
      <c r="B56" s="32" t="s">
        <v>63</v>
      </c>
      <c r="C56" s="32" t="str">
        <f>_xlfn.XLOOKUP(Table61011121316[[#This Row],[Category No]],Table8[Category No],Table8[Chapter List],FALSE)</f>
        <v>Later Vedic Period</v>
      </c>
      <c r="D56" s="33" t="s">
        <v>575</v>
      </c>
      <c r="E56" s="34" t="s">
        <v>576</v>
      </c>
      <c r="F56" s="57"/>
    </row>
    <row r="57" spans="1:6" x14ac:dyDescent="0.3">
      <c r="A57" s="32">
        <v>56</v>
      </c>
      <c r="B57" s="32" t="s">
        <v>63</v>
      </c>
      <c r="C57" s="32" t="str">
        <f>_xlfn.XLOOKUP(Table61011121316[[#This Row],[Category No]],Table8[Category No],Table8[Chapter List],FALSE)</f>
        <v>Later Vedic Period</v>
      </c>
      <c r="D57" s="34" t="s">
        <v>578</v>
      </c>
      <c r="E57" s="34" t="s">
        <v>579</v>
      </c>
      <c r="F57" s="57" t="s">
        <v>610</v>
      </c>
    </row>
    <row r="58" spans="1:6" x14ac:dyDescent="0.3">
      <c r="A58" s="32">
        <v>57</v>
      </c>
      <c r="B58" s="32" t="s">
        <v>63</v>
      </c>
      <c r="C58" s="32" t="str">
        <f>_xlfn.XLOOKUP(Table61011121316[[#This Row],[Category No]],Table8[Category No],Table8[Chapter List],FALSE)</f>
        <v>Later Vedic Period</v>
      </c>
      <c r="D58" s="34" t="s">
        <v>580</v>
      </c>
      <c r="E58" s="34" t="s">
        <v>581</v>
      </c>
      <c r="F58" s="57"/>
    </row>
    <row r="59" spans="1:6" x14ac:dyDescent="0.3">
      <c r="A59" s="32">
        <v>58</v>
      </c>
      <c r="B59" s="32" t="s">
        <v>63</v>
      </c>
      <c r="C59" s="32" t="str">
        <f>_xlfn.XLOOKUP(Table61011121316[[#This Row],[Category No]],Table8[Category No],Table8[Chapter List],FALSE)</f>
        <v>Later Vedic Period</v>
      </c>
      <c r="D59" s="34" t="s">
        <v>582</v>
      </c>
      <c r="E59" s="34" t="s">
        <v>583</v>
      </c>
      <c r="F59" s="57"/>
    </row>
    <row r="60" spans="1:6" x14ac:dyDescent="0.3">
      <c r="A60" s="32">
        <v>59</v>
      </c>
      <c r="B60" s="32" t="s">
        <v>63</v>
      </c>
      <c r="C60" s="32" t="str">
        <f>_xlfn.XLOOKUP(Table61011121316[[#This Row],[Category No]],Table8[Category No],Table8[Chapter List],FALSE)</f>
        <v>Later Vedic Period</v>
      </c>
      <c r="D60" s="34" t="s">
        <v>584</v>
      </c>
      <c r="E60" s="34" t="s">
        <v>585</v>
      </c>
      <c r="F60" s="57"/>
    </row>
    <row r="61" spans="1:6" x14ac:dyDescent="0.3">
      <c r="A61" s="32">
        <v>60</v>
      </c>
      <c r="B61" s="32" t="s">
        <v>63</v>
      </c>
      <c r="C61" s="32" t="str">
        <f>_xlfn.XLOOKUP(Table61011121316[[#This Row],[Category No]],Table8[Category No],Table8[Chapter List],FALSE)</f>
        <v>Later Vedic Period</v>
      </c>
      <c r="D61" s="34" t="s">
        <v>586</v>
      </c>
      <c r="E61" s="34" t="s">
        <v>587</v>
      </c>
      <c r="F61" s="57"/>
    </row>
    <row r="62" spans="1:6" x14ac:dyDescent="0.3">
      <c r="A62" s="32">
        <v>61</v>
      </c>
      <c r="B62" s="32" t="s">
        <v>63</v>
      </c>
      <c r="C62" s="32" t="str">
        <f>_xlfn.XLOOKUP(Table61011121316[[#This Row],[Category No]],Table8[Category No],Table8[Chapter List],FALSE)</f>
        <v>Later Vedic Period</v>
      </c>
      <c r="D62" s="34" t="s">
        <v>588</v>
      </c>
      <c r="E62" s="34" t="s">
        <v>589</v>
      </c>
      <c r="F62" s="57"/>
    </row>
    <row r="63" spans="1:6" x14ac:dyDescent="0.3">
      <c r="A63" s="32">
        <v>62</v>
      </c>
      <c r="B63" s="32" t="s">
        <v>63</v>
      </c>
      <c r="C63" s="32" t="str">
        <f>_xlfn.XLOOKUP(Table61011121316[[#This Row],[Category No]],Table8[Category No],Table8[Chapter List],FALSE)</f>
        <v>Later Vedic Period</v>
      </c>
      <c r="D63" s="34" t="s">
        <v>590</v>
      </c>
      <c r="E63" s="34" t="s">
        <v>591</v>
      </c>
      <c r="F63" s="57"/>
    </row>
    <row r="64" spans="1:6" x14ac:dyDescent="0.3">
      <c r="A64" s="32">
        <v>63</v>
      </c>
      <c r="B64" s="32" t="s">
        <v>63</v>
      </c>
      <c r="C64" s="32" t="str">
        <f>_xlfn.XLOOKUP(Table61011121316[[#This Row],[Category No]],Table8[Category No],Table8[Chapter List],FALSE)</f>
        <v>Later Vedic Period</v>
      </c>
      <c r="D64" s="34" t="s">
        <v>592</v>
      </c>
      <c r="E64" s="34" t="s">
        <v>593</v>
      </c>
      <c r="F64" s="57"/>
    </row>
    <row r="65" spans="1:6" x14ac:dyDescent="0.3">
      <c r="A65" s="32">
        <v>64</v>
      </c>
      <c r="B65" s="32" t="s">
        <v>63</v>
      </c>
      <c r="C65" s="32" t="str">
        <f>_xlfn.XLOOKUP(Table61011121316[[#This Row],[Category No]],Table8[Category No],Table8[Chapter List],FALSE)</f>
        <v>Later Vedic Period</v>
      </c>
      <c r="D65" s="34" t="s">
        <v>594</v>
      </c>
      <c r="E65" s="34" t="s">
        <v>595</v>
      </c>
      <c r="F65" s="57"/>
    </row>
    <row r="66" spans="1:6" x14ac:dyDescent="0.3">
      <c r="A66" s="32">
        <v>65</v>
      </c>
      <c r="B66" s="32" t="s">
        <v>63</v>
      </c>
      <c r="C66" s="32" t="str">
        <f>_xlfn.XLOOKUP(Table61011121316[[#This Row],[Category No]],Table8[Category No],Table8[Chapter List],FALSE)</f>
        <v>Later Vedic Period</v>
      </c>
      <c r="D66" s="34" t="s">
        <v>596</v>
      </c>
      <c r="E66" s="34" t="s">
        <v>597</v>
      </c>
      <c r="F66" s="57"/>
    </row>
    <row r="67" spans="1:6" x14ac:dyDescent="0.3">
      <c r="A67" s="32">
        <v>66</v>
      </c>
      <c r="B67" s="32" t="s">
        <v>63</v>
      </c>
      <c r="C67" s="32" t="str">
        <f>_xlfn.XLOOKUP(Table61011121316[[#This Row],[Category No]],Table8[Category No],Table8[Chapter List],FALSE)</f>
        <v>Later Vedic Period</v>
      </c>
      <c r="D67" s="34" t="s">
        <v>598</v>
      </c>
      <c r="E67" s="34" t="s">
        <v>599</v>
      </c>
      <c r="F67" s="57"/>
    </row>
    <row r="68" spans="1:6" x14ac:dyDescent="0.3">
      <c r="A68" s="32">
        <v>67</v>
      </c>
      <c r="B68" s="32" t="s">
        <v>63</v>
      </c>
      <c r="C68" s="32" t="str">
        <f>_xlfn.XLOOKUP(Table61011121316[[#This Row],[Category No]],Table8[Category No],Table8[Chapter List],FALSE)</f>
        <v>Later Vedic Period</v>
      </c>
      <c r="D68" s="34" t="s">
        <v>600</v>
      </c>
      <c r="E68" s="34" t="s">
        <v>601</v>
      </c>
      <c r="F68" s="57"/>
    </row>
    <row r="69" spans="1:6" x14ac:dyDescent="0.3">
      <c r="A69" s="32">
        <v>68</v>
      </c>
      <c r="B69" s="32" t="s">
        <v>63</v>
      </c>
      <c r="C69" s="32" t="str">
        <f>_xlfn.XLOOKUP(Table61011121316[[#This Row],[Category No]],Table8[Category No],Table8[Chapter List],FALSE)</f>
        <v>Later Vedic Period</v>
      </c>
      <c r="D69" s="34" t="s">
        <v>602</v>
      </c>
      <c r="E69" s="34" t="s">
        <v>603</v>
      </c>
      <c r="F69" s="57"/>
    </row>
    <row r="70" spans="1:6" x14ac:dyDescent="0.3">
      <c r="A70" s="32">
        <v>69</v>
      </c>
      <c r="B70" s="32" t="s">
        <v>63</v>
      </c>
      <c r="C70" s="32" t="str">
        <f>_xlfn.XLOOKUP(Table61011121316[[#This Row],[Category No]],Table8[Category No],Table8[Chapter List],FALSE)</f>
        <v>Later Vedic Period</v>
      </c>
      <c r="D70" s="34" t="s">
        <v>604</v>
      </c>
      <c r="E70" s="34" t="s">
        <v>605</v>
      </c>
      <c r="F70" s="57"/>
    </row>
    <row r="71" spans="1:6" x14ac:dyDescent="0.3">
      <c r="A71" s="32">
        <v>70</v>
      </c>
      <c r="B71" s="32" t="s">
        <v>63</v>
      </c>
      <c r="C71" s="32" t="str">
        <f>_xlfn.XLOOKUP(Table61011121316[[#This Row],[Category No]],Table8[Category No],Table8[Chapter List],FALSE)</f>
        <v>Later Vedic Period</v>
      </c>
      <c r="D71" s="34" t="s">
        <v>606</v>
      </c>
      <c r="E71" s="44" t="s">
        <v>607</v>
      </c>
      <c r="F71" s="57"/>
    </row>
    <row r="72" spans="1:6" x14ac:dyDescent="0.3">
      <c r="A72" s="32">
        <v>71</v>
      </c>
      <c r="B72" s="32" t="s">
        <v>63</v>
      </c>
      <c r="C72" s="32" t="str">
        <f>_xlfn.XLOOKUP(Table61011121316[[#This Row],[Category No]],Table8[Category No],Table8[Chapter List],FALSE)</f>
        <v>Later Vedic Period</v>
      </c>
      <c r="D72" s="33" t="s">
        <v>608</v>
      </c>
      <c r="E72" s="44" t="s">
        <v>609</v>
      </c>
      <c r="F72" s="57"/>
    </row>
    <row r="73" spans="1:6" x14ac:dyDescent="0.3">
      <c r="A73" s="32">
        <v>72</v>
      </c>
      <c r="B73" s="32" t="s">
        <v>63</v>
      </c>
      <c r="C73" s="32" t="str">
        <f>_xlfn.XLOOKUP(Table61011121316[[#This Row],[Category No]],Table8[Category No],Table8[Chapter List],FALSE)</f>
        <v>Later Vedic Period</v>
      </c>
      <c r="D73" s="34" t="s">
        <v>611</v>
      </c>
      <c r="E73" s="44" t="s">
        <v>612</v>
      </c>
      <c r="F73" s="57" t="s">
        <v>630</v>
      </c>
    </row>
    <row r="74" spans="1:6" x14ac:dyDescent="0.3">
      <c r="A74" s="32">
        <v>73</v>
      </c>
      <c r="B74" s="32" t="s">
        <v>63</v>
      </c>
      <c r="C74" s="32" t="str">
        <f>_xlfn.XLOOKUP(Table61011121316[[#This Row],[Category No]],Table8[Category No],Table8[Chapter List],FALSE)</f>
        <v>Later Vedic Period</v>
      </c>
      <c r="D74" s="34" t="s">
        <v>613</v>
      </c>
      <c r="E74" s="44" t="s">
        <v>696</v>
      </c>
      <c r="F74" s="57"/>
    </row>
    <row r="75" spans="1:6" x14ac:dyDescent="0.3">
      <c r="A75" s="32">
        <v>74</v>
      </c>
      <c r="B75" s="32" t="s">
        <v>63</v>
      </c>
      <c r="C75" s="32" t="str">
        <f>_xlfn.XLOOKUP(Table61011121316[[#This Row],[Category No]],Table8[Category No],Table8[Chapter List],FALSE)</f>
        <v>Later Vedic Period</v>
      </c>
      <c r="D75" s="34" t="s">
        <v>614</v>
      </c>
      <c r="E75" s="44" t="s">
        <v>615</v>
      </c>
      <c r="F75" s="57"/>
    </row>
    <row r="76" spans="1:6" x14ac:dyDescent="0.3">
      <c r="A76" s="32">
        <v>75</v>
      </c>
      <c r="B76" s="32" t="s">
        <v>63</v>
      </c>
      <c r="C76" s="32" t="str">
        <f>_xlfn.XLOOKUP(Table61011121316[[#This Row],[Category No]],Table8[Category No],Table8[Chapter List],FALSE)</f>
        <v>Later Vedic Period</v>
      </c>
      <c r="D76" s="34" t="s">
        <v>616</v>
      </c>
      <c r="E76" s="44" t="s">
        <v>617</v>
      </c>
      <c r="F76" s="57"/>
    </row>
    <row r="77" spans="1:6" x14ac:dyDescent="0.3">
      <c r="A77" s="32">
        <v>76</v>
      </c>
      <c r="B77" s="32" t="s">
        <v>63</v>
      </c>
      <c r="C77" s="32" t="str">
        <f>_xlfn.XLOOKUP(Table61011121316[[#This Row],[Category No]],Table8[Category No],Table8[Chapter List],FALSE)</f>
        <v>Later Vedic Period</v>
      </c>
      <c r="D77" s="34" t="s">
        <v>618</v>
      </c>
      <c r="E77" s="44" t="s">
        <v>619</v>
      </c>
      <c r="F77" s="57"/>
    </row>
    <row r="78" spans="1:6" x14ac:dyDescent="0.3">
      <c r="A78" s="32">
        <v>77</v>
      </c>
      <c r="B78" s="32" t="s">
        <v>63</v>
      </c>
      <c r="C78" s="32" t="str">
        <f>_xlfn.XLOOKUP(Table61011121316[[#This Row],[Category No]],Table8[Category No],Table8[Chapter List],FALSE)</f>
        <v>Later Vedic Period</v>
      </c>
      <c r="D78" s="34" t="s">
        <v>620</v>
      </c>
      <c r="E78" s="44" t="s">
        <v>621</v>
      </c>
      <c r="F78" s="57"/>
    </row>
    <row r="79" spans="1:6" x14ac:dyDescent="0.3">
      <c r="A79" s="32">
        <v>78</v>
      </c>
      <c r="B79" s="32" t="s">
        <v>63</v>
      </c>
      <c r="C79" s="32" t="str">
        <f>_xlfn.XLOOKUP(Table61011121316[[#This Row],[Category No]],Table8[Category No],Table8[Chapter List],FALSE)</f>
        <v>Later Vedic Period</v>
      </c>
      <c r="D79" s="34" t="s">
        <v>622</v>
      </c>
      <c r="E79" s="44" t="s">
        <v>623</v>
      </c>
      <c r="F79" s="57"/>
    </row>
    <row r="80" spans="1:6" x14ac:dyDescent="0.3">
      <c r="A80" s="32">
        <v>79</v>
      </c>
      <c r="B80" s="32" t="s">
        <v>63</v>
      </c>
      <c r="C80" s="32" t="str">
        <f>_xlfn.XLOOKUP(Table61011121316[[#This Row],[Category No]],Table8[Category No],Table8[Chapter List],FALSE)</f>
        <v>Later Vedic Period</v>
      </c>
      <c r="D80" s="34" t="s">
        <v>624</v>
      </c>
      <c r="E80" s="44" t="s">
        <v>625</v>
      </c>
      <c r="F80" s="57"/>
    </row>
    <row r="81" spans="1:6" x14ac:dyDescent="0.3">
      <c r="A81" s="32">
        <v>80</v>
      </c>
      <c r="B81" s="32" t="s">
        <v>63</v>
      </c>
      <c r="C81" s="32" t="str">
        <f>_xlfn.XLOOKUP(Table61011121316[[#This Row],[Category No]],Table8[Category No],Table8[Chapter List],FALSE)</f>
        <v>Later Vedic Period</v>
      </c>
      <c r="D81" s="34" t="s">
        <v>626</v>
      </c>
      <c r="E81" s="44" t="s">
        <v>627</v>
      </c>
      <c r="F81" s="57"/>
    </row>
    <row r="82" spans="1:6" x14ac:dyDescent="0.3">
      <c r="A82" s="32">
        <v>81</v>
      </c>
      <c r="B82" s="32" t="s">
        <v>63</v>
      </c>
      <c r="C82" s="32" t="str">
        <f>_xlfn.XLOOKUP(Table61011121316[[#This Row],[Category No]],Table8[Category No],Table8[Chapter List],FALSE)</f>
        <v>Later Vedic Period</v>
      </c>
      <c r="D82" s="34" t="s">
        <v>628</v>
      </c>
      <c r="E82" s="44" t="s">
        <v>629</v>
      </c>
      <c r="F82" s="57"/>
    </row>
    <row r="83" spans="1:6" x14ac:dyDescent="0.3">
      <c r="A83" s="32">
        <v>82</v>
      </c>
      <c r="B83" s="32" t="s">
        <v>63</v>
      </c>
      <c r="C83" s="32" t="str">
        <f>_xlfn.XLOOKUP(Table61011121316[[#This Row],[Category No]],Table8[Category No],Table8[Chapter List],FALSE)</f>
        <v>Later Vedic Period</v>
      </c>
      <c r="D83" s="34" t="s">
        <v>641</v>
      </c>
      <c r="E83" s="34" t="s">
        <v>642</v>
      </c>
    </row>
    <row r="84" spans="1:6" x14ac:dyDescent="0.3">
      <c r="A84" s="32">
        <v>83</v>
      </c>
      <c r="B84" s="32" t="s">
        <v>63</v>
      </c>
      <c r="C84" s="32" t="str">
        <f>_xlfn.XLOOKUP(Table61011121316[[#This Row],[Category No]],Table8[Category No],Table8[Chapter List],FALSE)</f>
        <v>Later Vedic Period</v>
      </c>
      <c r="D84" s="34" t="s">
        <v>643</v>
      </c>
      <c r="E84" s="34" t="s">
        <v>644</v>
      </c>
    </row>
    <row r="85" spans="1:6" x14ac:dyDescent="0.3">
      <c r="A85" s="32">
        <v>84</v>
      </c>
      <c r="B85" s="32" t="s">
        <v>63</v>
      </c>
      <c r="C85" s="32" t="str">
        <f>_xlfn.XLOOKUP(Table61011121316[[#This Row],[Category No]],Table8[Category No],Table8[Chapter List],FALSE)</f>
        <v>Later Vedic Period</v>
      </c>
      <c r="D85" s="34" t="s">
        <v>645</v>
      </c>
      <c r="E85" s="44" t="s">
        <v>646</v>
      </c>
      <c r="F85" s="45"/>
    </row>
    <row r="86" spans="1:6" x14ac:dyDescent="0.3">
      <c r="A86" s="32">
        <v>85</v>
      </c>
      <c r="B86" s="32" t="s">
        <v>63</v>
      </c>
      <c r="C86" s="32" t="str">
        <f>_xlfn.XLOOKUP(Table61011121316[[#This Row],[Category No]],Table8[Category No],Table8[Chapter List],FALSE)</f>
        <v>Later Vedic Period</v>
      </c>
      <c r="D86" s="34" t="s">
        <v>647</v>
      </c>
      <c r="E86" s="44" t="s">
        <v>648</v>
      </c>
      <c r="F86" s="45"/>
    </row>
    <row r="87" spans="1:6" x14ac:dyDescent="0.3">
      <c r="A87" s="32">
        <v>86</v>
      </c>
      <c r="B87" s="32" t="s">
        <v>63</v>
      </c>
      <c r="C87" s="32" t="str">
        <f>_xlfn.XLOOKUP(Table61011121316[[#This Row],[Category No]],Table8[Category No],Table8[Chapter List],FALSE)</f>
        <v>Later Vedic Period</v>
      </c>
      <c r="D87" s="34" t="s">
        <v>649</v>
      </c>
      <c r="E87" s="44" t="s">
        <v>650</v>
      </c>
      <c r="F87" s="45"/>
    </row>
    <row r="88" spans="1:6" x14ac:dyDescent="0.3">
      <c r="A88" s="32">
        <v>87</v>
      </c>
      <c r="B88" s="32" t="s">
        <v>63</v>
      </c>
      <c r="C88" s="32" t="str">
        <f>_xlfn.XLOOKUP(Table61011121316[[#This Row],[Category No]],Table8[Category No],Table8[Chapter List],FALSE)</f>
        <v>Later Vedic Period</v>
      </c>
      <c r="D88" s="34" t="s">
        <v>651</v>
      </c>
      <c r="E88" s="44" t="s">
        <v>652</v>
      </c>
      <c r="F88" s="45"/>
    </row>
    <row r="89" spans="1:6" x14ac:dyDescent="0.3">
      <c r="A89" s="32">
        <v>88</v>
      </c>
      <c r="B89" s="32" t="s">
        <v>63</v>
      </c>
      <c r="C89" s="32" t="str">
        <f>_xlfn.XLOOKUP(Table61011121316[[#This Row],[Category No]],Table8[Category No],Table8[Chapter List],FALSE)</f>
        <v>Later Vedic Period</v>
      </c>
      <c r="D89" s="34" t="s">
        <v>653</v>
      </c>
      <c r="E89" s="44" t="s">
        <v>654</v>
      </c>
      <c r="F89" s="45"/>
    </row>
    <row r="90" spans="1:6" x14ac:dyDescent="0.3">
      <c r="A90" s="32">
        <v>89</v>
      </c>
      <c r="B90" s="32" t="s">
        <v>63</v>
      </c>
      <c r="C90" s="32" t="str">
        <f>_xlfn.XLOOKUP(Table61011121316[[#This Row],[Category No]],Table8[Category No],Table8[Chapter List],FALSE)</f>
        <v>Later Vedic Period</v>
      </c>
      <c r="D90" s="34" t="s">
        <v>655</v>
      </c>
      <c r="E90" s="44" t="s">
        <v>656</v>
      </c>
      <c r="F90" s="45"/>
    </row>
    <row r="91" spans="1:6" x14ac:dyDescent="0.3">
      <c r="A91" s="32">
        <v>90</v>
      </c>
      <c r="B91" s="32" t="s">
        <v>63</v>
      </c>
      <c r="C91" s="32" t="str">
        <f>_xlfn.XLOOKUP(Table61011121316[[#This Row],[Category No]],Table8[Category No],Table8[Chapter List],FALSE)</f>
        <v>Later Vedic Period</v>
      </c>
      <c r="D91" s="33" t="s">
        <v>657</v>
      </c>
      <c r="E91" s="44" t="s">
        <v>658</v>
      </c>
      <c r="F91" s="45"/>
    </row>
    <row r="92" spans="1:6" x14ac:dyDescent="0.3">
      <c r="A92" s="32">
        <v>91</v>
      </c>
      <c r="B92" s="32" t="s">
        <v>64</v>
      </c>
      <c r="C92" s="32" t="str">
        <f>_xlfn.XLOOKUP(Table61011121316[[#This Row],[Category No]],Table8[Category No],Table8[Chapter List],FALSE)</f>
        <v>Evolution of Jainism and Buddhism</v>
      </c>
      <c r="D92" s="34" t="s">
        <v>792</v>
      </c>
      <c r="E92" s="44" t="s">
        <v>793</v>
      </c>
      <c r="F92" s="71" t="s">
        <v>816</v>
      </c>
    </row>
    <row r="93" spans="1:6" x14ac:dyDescent="0.3">
      <c r="A93" s="32">
        <v>92</v>
      </c>
      <c r="B93" s="32" t="s">
        <v>64</v>
      </c>
      <c r="C93" s="32" t="str">
        <f>_xlfn.XLOOKUP(Table61011121316[[#This Row],[Category No]],Table8[Category No],Table8[Chapter List],FALSE)</f>
        <v>Evolution of Jainism and Buddhism</v>
      </c>
      <c r="D93" s="34" t="s">
        <v>794</v>
      </c>
      <c r="E93" s="44" t="s">
        <v>795</v>
      </c>
      <c r="F93" s="71"/>
    </row>
    <row r="94" spans="1:6" x14ac:dyDescent="0.3">
      <c r="A94" s="32">
        <v>93</v>
      </c>
      <c r="B94" s="32" t="s">
        <v>64</v>
      </c>
      <c r="C94" s="32" t="str">
        <f>_xlfn.XLOOKUP(Table61011121316[[#This Row],[Category No]],Table8[Category No],Table8[Chapter List],FALSE)</f>
        <v>Evolution of Jainism and Buddhism</v>
      </c>
      <c r="D94" s="34" t="s">
        <v>796</v>
      </c>
      <c r="E94" s="44" t="s">
        <v>797</v>
      </c>
      <c r="F94" s="71"/>
    </row>
    <row r="95" spans="1:6" x14ac:dyDescent="0.3">
      <c r="A95" s="32">
        <v>94</v>
      </c>
      <c r="B95" s="32" t="s">
        <v>64</v>
      </c>
      <c r="C95" s="32" t="str">
        <f>_xlfn.XLOOKUP(Table61011121316[[#This Row],[Category No]],Table8[Category No],Table8[Chapter List],FALSE)</f>
        <v>Evolution of Jainism and Buddhism</v>
      </c>
      <c r="D95" s="34" t="s">
        <v>798</v>
      </c>
      <c r="E95" s="44" t="s">
        <v>799</v>
      </c>
      <c r="F95" s="71"/>
    </row>
    <row r="96" spans="1:6" x14ac:dyDescent="0.3">
      <c r="A96" s="32">
        <v>95</v>
      </c>
      <c r="B96" s="32" t="s">
        <v>64</v>
      </c>
      <c r="C96" s="32" t="str">
        <f>_xlfn.XLOOKUP(Table61011121316[[#This Row],[Category No]],Table8[Category No],Table8[Chapter List],FALSE)</f>
        <v>Evolution of Jainism and Buddhism</v>
      </c>
      <c r="D96" s="34" t="s">
        <v>800</v>
      </c>
      <c r="E96" s="44" t="s">
        <v>801</v>
      </c>
      <c r="F96" s="71"/>
    </row>
    <row r="97" spans="1:6" x14ac:dyDescent="0.3">
      <c r="A97" s="32">
        <v>96</v>
      </c>
      <c r="B97" s="32" t="s">
        <v>64</v>
      </c>
      <c r="C97" s="32" t="str">
        <f>_xlfn.XLOOKUP(Table61011121316[[#This Row],[Category No]],Table8[Category No],Table8[Chapter List],FALSE)</f>
        <v>Evolution of Jainism and Buddhism</v>
      </c>
      <c r="D97" s="34" t="s">
        <v>802</v>
      </c>
      <c r="E97" s="44" t="s">
        <v>811</v>
      </c>
      <c r="F97" s="71"/>
    </row>
    <row r="98" spans="1:6" x14ac:dyDescent="0.3">
      <c r="A98" s="32">
        <v>97</v>
      </c>
      <c r="B98" s="32" t="s">
        <v>64</v>
      </c>
      <c r="C98" s="32" t="str">
        <f>_xlfn.XLOOKUP(Table61011121316[[#This Row],[Category No]],Table8[Category No],Table8[Chapter List],FALSE)</f>
        <v>Evolution of Jainism and Buddhism</v>
      </c>
      <c r="D98" s="34" t="s">
        <v>803</v>
      </c>
      <c r="E98" s="44" t="s">
        <v>804</v>
      </c>
      <c r="F98" s="71"/>
    </row>
    <row r="99" spans="1:6" x14ac:dyDescent="0.3">
      <c r="A99" s="32">
        <v>98</v>
      </c>
      <c r="B99" s="32" t="s">
        <v>64</v>
      </c>
      <c r="C99" s="32" t="str">
        <f>_xlfn.XLOOKUP(Table61011121316[[#This Row],[Category No]],Table8[Category No],Table8[Chapter List],FALSE)</f>
        <v>Evolution of Jainism and Buddhism</v>
      </c>
      <c r="D99" s="34" t="s">
        <v>805</v>
      </c>
      <c r="E99" s="34" t="s">
        <v>812</v>
      </c>
    </row>
    <row r="100" spans="1:6" x14ac:dyDescent="0.3">
      <c r="A100" s="32">
        <v>99</v>
      </c>
      <c r="B100" s="32" t="s">
        <v>64</v>
      </c>
      <c r="C100" s="32" t="str">
        <f>_xlfn.XLOOKUP(Table61011121316[[#This Row],[Category No]],Table8[Category No],Table8[Chapter List],FALSE)</f>
        <v>Evolution of Jainism and Buddhism</v>
      </c>
      <c r="D100" s="34" t="s">
        <v>806</v>
      </c>
      <c r="E100" s="34" t="s">
        <v>807</v>
      </c>
    </row>
    <row r="101" spans="1:6" x14ac:dyDescent="0.3">
      <c r="A101" s="32">
        <v>100</v>
      </c>
      <c r="B101" s="32" t="s">
        <v>64</v>
      </c>
      <c r="C101" s="32" t="str">
        <f>_xlfn.XLOOKUP(Table61011121316[[#This Row],[Category No]],Table8[Category No],Table8[Chapter List],FALSE)</f>
        <v>Evolution of Jainism and Buddhism</v>
      </c>
      <c r="D101" s="34" t="s">
        <v>808</v>
      </c>
      <c r="E101" s="44" t="s">
        <v>813</v>
      </c>
      <c r="F101" s="41"/>
    </row>
    <row r="102" spans="1:6" x14ac:dyDescent="0.3">
      <c r="A102" s="32">
        <v>101</v>
      </c>
      <c r="B102" s="32" t="s">
        <v>64</v>
      </c>
      <c r="C102" s="32" t="str">
        <f>_xlfn.XLOOKUP(Table61011121316[[#This Row],[Category No]],Table8[Category No],Table8[Chapter List],FALSE)</f>
        <v>Evolution of Jainism and Buddhism</v>
      </c>
      <c r="D102" s="34" t="s">
        <v>809</v>
      </c>
      <c r="E102" s="44" t="s">
        <v>810</v>
      </c>
      <c r="F102" s="41"/>
    </row>
    <row r="103" spans="1:6" x14ac:dyDescent="0.3">
      <c r="A103" s="32">
        <v>102</v>
      </c>
      <c r="B103" s="32" t="s">
        <v>64</v>
      </c>
      <c r="C103" s="32" t="str">
        <f>_xlfn.XLOOKUP(Table61011121316[[#This Row],[Category No]],Table8[Category No],Table8[Chapter List],FALSE)</f>
        <v>Evolution of Jainism and Buddhism</v>
      </c>
      <c r="D103" s="34" t="s">
        <v>814</v>
      </c>
      <c r="E103" s="44" t="s">
        <v>815</v>
      </c>
      <c r="F103" s="41"/>
    </row>
    <row r="104" spans="1:6" x14ac:dyDescent="0.3">
      <c r="A104" s="32">
        <v>103</v>
      </c>
      <c r="B104" s="32" t="s">
        <v>64</v>
      </c>
      <c r="C104" s="32" t="str">
        <f>_xlfn.XLOOKUP(Table61011121316[[#This Row],[Category No]],Table8[Category No],Table8[Chapter List],FALSE)</f>
        <v>Evolution of Jainism and Buddhism</v>
      </c>
      <c r="D104" s="34" t="s">
        <v>817</v>
      </c>
      <c r="E104" s="44" t="s">
        <v>820</v>
      </c>
      <c r="F104" s="57" t="s">
        <v>823</v>
      </c>
    </row>
    <row r="105" spans="1:6" x14ac:dyDescent="0.3">
      <c r="A105" s="32">
        <v>104</v>
      </c>
      <c r="B105" s="32" t="s">
        <v>64</v>
      </c>
      <c r="C105" s="32" t="str">
        <f>_xlfn.XLOOKUP(Table61011121316[[#This Row],[Category No]],Table8[Category No],Table8[Chapter List],FALSE)</f>
        <v>Evolution of Jainism and Buddhism</v>
      </c>
      <c r="D105" s="34" t="s">
        <v>818</v>
      </c>
      <c r="E105" s="44" t="s">
        <v>821</v>
      </c>
      <c r="F105" s="57"/>
    </row>
    <row r="106" spans="1:6" x14ac:dyDescent="0.3">
      <c r="A106" s="32">
        <v>105</v>
      </c>
      <c r="B106" s="32" t="s">
        <v>64</v>
      </c>
      <c r="C106" s="32" t="str">
        <f>_xlfn.XLOOKUP(Table61011121316[[#This Row],[Category No]],Table8[Category No],Table8[Chapter List],FALSE)</f>
        <v>Evolution of Jainism and Buddhism</v>
      </c>
      <c r="D106" s="34" t="s">
        <v>819</v>
      </c>
      <c r="E106" s="44" t="s">
        <v>822</v>
      </c>
      <c r="F106" s="57"/>
    </row>
    <row r="107" spans="1:6" x14ac:dyDescent="0.3">
      <c r="A107" s="32">
        <v>106</v>
      </c>
      <c r="B107" s="32" t="s">
        <v>64</v>
      </c>
      <c r="C107" s="32" t="str">
        <f>_xlfn.XLOOKUP(Table61011121316[[#This Row],[Category No]],Table8[Category No],Table8[Chapter List],FALSE)</f>
        <v>Evolution of Jainism and Buddhism</v>
      </c>
      <c r="D107" s="34" t="s">
        <v>824</v>
      </c>
      <c r="E107" s="44" t="s">
        <v>825</v>
      </c>
      <c r="F107" s="41"/>
    </row>
    <row r="108" spans="1:6" x14ac:dyDescent="0.3">
      <c r="A108" s="32">
        <v>107</v>
      </c>
      <c r="B108" s="32" t="s">
        <v>64</v>
      </c>
      <c r="C108" s="32" t="str">
        <f>_xlfn.XLOOKUP(Table61011121316[[#This Row],[Category No]],Table8[Category No],Table8[Chapter List],FALSE)</f>
        <v>Evolution of Jainism and Buddhism</v>
      </c>
      <c r="D108" s="34" t="s">
        <v>826</v>
      </c>
      <c r="E108" s="44" t="s">
        <v>827</v>
      </c>
      <c r="F108" s="41"/>
    </row>
    <row r="109" spans="1:6" x14ac:dyDescent="0.3">
      <c r="A109" s="32">
        <v>108</v>
      </c>
      <c r="B109" s="32" t="s">
        <v>64</v>
      </c>
      <c r="C109" s="32" t="str">
        <f>_xlfn.XLOOKUP(Table61011121316[[#This Row],[Category No]],Table8[Category No],Table8[Chapter List],FALSE)</f>
        <v>Evolution of Jainism and Buddhism</v>
      </c>
      <c r="D109" s="34" t="s">
        <v>828</v>
      </c>
      <c r="E109" s="44" t="s">
        <v>829</v>
      </c>
      <c r="F109" s="41"/>
    </row>
    <row r="110" spans="1:6" x14ac:dyDescent="0.3">
      <c r="A110" s="32">
        <v>109</v>
      </c>
      <c r="B110" s="32" t="s">
        <v>64</v>
      </c>
      <c r="C110" s="32" t="str">
        <f>_xlfn.XLOOKUP(Table61011121316[[#This Row],[Category No]],Table8[Category No],Table8[Chapter List],FALSE)</f>
        <v>Evolution of Jainism and Buddhism</v>
      </c>
      <c r="D110" s="34" t="s">
        <v>831</v>
      </c>
      <c r="E110" s="44" t="s">
        <v>832</v>
      </c>
      <c r="F110" s="41"/>
    </row>
    <row r="111" spans="1:6" x14ac:dyDescent="0.3">
      <c r="A111" s="32">
        <v>110</v>
      </c>
      <c r="B111" s="32" t="s">
        <v>64</v>
      </c>
      <c r="C111" s="32" t="str">
        <f>_xlfn.XLOOKUP(Table61011121316[[#This Row],[Category No]],Table8[Category No],Table8[Chapter List],FALSE)</f>
        <v>Evolution of Jainism and Buddhism</v>
      </c>
      <c r="D111" s="34" t="s">
        <v>569</v>
      </c>
      <c r="E111" s="44" t="s">
        <v>830</v>
      </c>
      <c r="F111" s="41"/>
    </row>
    <row r="112" spans="1:6" x14ac:dyDescent="0.3">
      <c r="A112" s="32">
        <v>111</v>
      </c>
      <c r="B112" s="32" t="s">
        <v>64</v>
      </c>
      <c r="C112" s="32" t="str">
        <f>_xlfn.XLOOKUP(Table61011121316[[#This Row],[Category No]],Table8[Category No],Table8[Chapter List],FALSE)</f>
        <v>Evolution of Jainism and Buddhism</v>
      </c>
      <c r="D112" s="34" t="s">
        <v>833</v>
      </c>
      <c r="E112" s="44" t="s">
        <v>834</v>
      </c>
      <c r="F112" s="41"/>
    </row>
    <row r="113" spans="1:6" x14ac:dyDescent="0.3">
      <c r="A113" s="32">
        <v>112</v>
      </c>
      <c r="B113" s="32" t="s">
        <v>64</v>
      </c>
      <c r="C113" s="32" t="str">
        <f>_xlfn.XLOOKUP(Table61011121316[[#This Row],[Category No]],Table8[Category No],Table8[Chapter List],FALSE)</f>
        <v>Evolution of Jainism and Buddhism</v>
      </c>
      <c r="D113" s="34" t="s">
        <v>835</v>
      </c>
      <c r="E113" s="44" t="s">
        <v>836</v>
      </c>
      <c r="F113" s="41"/>
    </row>
    <row r="114" spans="1:6" x14ac:dyDescent="0.3">
      <c r="A114" s="32">
        <v>113</v>
      </c>
      <c r="B114" s="32" t="s">
        <v>64</v>
      </c>
      <c r="C114" s="32" t="str">
        <f>_xlfn.XLOOKUP(Table61011121316[[#This Row],[Category No]],Table8[Category No],Table8[Chapter List],FALSE)</f>
        <v>Evolution of Jainism and Buddhism</v>
      </c>
      <c r="D114" s="34" t="s">
        <v>837</v>
      </c>
      <c r="E114" s="44" t="s">
        <v>838</v>
      </c>
      <c r="F114" s="41"/>
    </row>
    <row r="115" spans="1:6" x14ac:dyDescent="0.3">
      <c r="A115" s="32">
        <v>114</v>
      </c>
      <c r="B115" s="32" t="s">
        <v>64</v>
      </c>
      <c r="C115" s="32" t="str">
        <f>_xlfn.XLOOKUP(Table61011121316[[#This Row],[Category No]],Table8[Category No],Table8[Chapter List],FALSE)</f>
        <v>Evolution of Jainism and Buddhism</v>
      </c>
      <c r="D115" s="34" t="s">
        <v>839</v>
      </c>
      <c r="E115" s="44" t="s">
        <v>840</v>
      </c>
      <c r="F115" s="41"/>
    </row>
    <row r="116" spans="1:6" x14ac:dyDescent="0.3">
      <c r="A116" s="32">
        <v>115</v>
      </c>
      <c r="B116" s="32" t="s">
        <v>64</v>
      </c>
      <c r="C116" s="32" t="str">
        <f>_xlfn.XLOOKUP(Table61011121316[[#This Row],[Category No]],Table8[Category No],Table8[Chapter List],FALSE)</f>
        <v>Evolution of Jainism and Buddhism</v>
      </c>
      <c r="D116" s="34" t="s">
        <v>841</v>
      </c>
      <c r="E116" s="44" t="s">
        <v>845</v>
      </c>
      <c r="F116" s="41"/>
    </row>
    <row r="117" spans="1:6" x14ac:dyDescent="0.3">
      <c r="A117" s="32">
        <v>116</v>
      </c>
      <c r="B117" s="32" t="s">
        <v>64</v>
      </c>
      <c r="C117" s="32" t="str">
        <f>_xlfn.XLOOKUP(Table61011121316[[#This Row],[Category No]],Table8[Category No],Table8[Chapter List],FALSE)</f>
        <v>Evolution of Jainism and Buddhism</v>
      </c>
      <c r="D117" s="33" t="s">
        <v>842</v>
      </c>
      <c r="E117" s="44" t="s">
        <v>846</v>
      </c>
      <c r="F117" s="41"/>
    </row>
    <row r="118" spans="1:6" x14ac:dyDescent="0.3">
      <c r="A118" s="32">
        <v>117</v>
      </c>
      <c r="B118" s="32" t="s">
        <v>64</v>
      </c>
      <c r="C118" s="32" t="str">
        <f>_xlfn.XLOOKUP(Table61011121316[[#This Row],[Category No]],Table8[Category No],Table8[Chapter List],FALSE)</f>
        <v>Evolution of Jainism and Buddhism</v>
      </c>
      <c r="D118" s="34" t="s">
        <v>843</v>
      </c>
      <c r="E118" s="44" t="s">
        <v>844</v>
      </c>
      <c r="F118" s="41"/>
    </row>
    <row r="119" spans="1:6" x14ac:dyDescent="0.3">
      <c r="A119" s="32">
        <v>118</v>
      </c>
      <c r="B119" s="32" t="s">
        <v>64</v>
      </c>
      <c r="C119" s="32" t="str">
        <f>_xlfn.XLOOKUP(Table61011121316[[#This Row],[Category No]],Table8[Category No],Table8[Chapter List],FALSE)</f>
        <v>Evolution of Jainism and Buddhism</v>
      </c>
      <c r="D119" s="34" t="s">
        <v>847</v>
      </c>
      <c r="E119" s="44" t="s">
        <v>848</v>
      </c>
      <c r="F119" s="41"/>
    </row>
    <row r="120" spans="1:6" x14ac:dyDescent="0.3">
      <c r="A120" s="32">
        <v>119</v>
      </c>
      <c r="B120" s="32" t="s">
        <v>64</v>
      </c>
      <c r="C120" s="32" t="str">
        <f>_xlfn.XLOOKUP(Table61011121316[[#This Row],[Category No]],Table8[Category No],Table8[Chapter List],FALSE)</f>
        <v>Evolution of Jainism and Buddhism</v>
      </c>
      <c r="D120" s="34" t="s">
        <v>849</v>
      </c>
      <c r="E120" s="44" t="s">
        <v>850</v>
      </c>
      <c r="F120" s="41"/>
    </row>
    <row r="121" spans="1:6" x14ac:dyDescent="0.3">
      <c r="A121" s="32">
        <v>120</v>
      </c>
      <c r="B121" s="32" t="s">
        <v>64</v>
      </c>
      <c r="C121" s="32" t="str">
        <f>_xlfn.XLOOKUP(Table61011121316[[#This Row],[Category No]],Table8[Category No],Table8[Chapter List],FALSE)</f>
        <v>Evolution of Jainism and Buddhism</v>
      </c>
      <c r="D121" s="34" t="s">
        <v>851</v>
      </c>
      <c r="E121" s="44" t="s">
        <v>852</v>
      </c>
      <c r="F121" s="41"/>
    </row>
    <row r="122" spans="1:6" x14ac:dyDescent="0.3">
      <c r="A122" s="32">
        <v>121</v>
      </c>
      <c r="B122" s="32" t="s">
        <v>64</v>
      </c>
      <c r="C122" s="32" t="str">
        <f>_xlfn.XLOOKUP(Table61011121316[[#This Row],[Category No]],Table8[Category No],Table8[Chapter List],FALSE)</f>
        <v>Evolution of Jainism and Buddhism</v>
      </c>
      <c r="D122" s="34" t="s">
        <v>853</v>
      </c>
      <c r="E122" s="44" t="s">
        <v>854</v>
      </c>
      <c r="F122" s="57" t="s">
        <v>873</v>
      </c>
    </row>
    <row r="123" spans="1:6" x14ac:dyDescent="0.3">
      <c r="A123" s="32">
        <v>122</v>
      </c>
      <c r="B123" s="32" t="s">
        <v>64</v>
      </c>
      <c r="C123" s="32" t="str">
        <f>_xlfn.XLOOKUP(Table61011121316[[#This Row],[Category No]],Table8[Category No],Table8[Chapter List],FALSE)</f>
        <v>Evolution of Jainism and Buddhism</v>
      </c>
      <c r="D123" s="34" t="s">
        <v>855</v>
      </c>
      <c r="E123" s="44" t="s">
        <v>856</v>
      </c>
      <c r="F123" s="57"/>
    </row>
    <row r="124" spans="1:6" x14ac:dyDescent="0.3">
      <c r="A124" s="32">
        <v>123</v>
      </c>
      <c r="B124" s="32" t="s">
        <v>64</v>
      </c>
      <c r="C124" s="32" t="str">
        <f>_xlfn.XLOOKUP(Table61011121316[[#This Row],[Category No]],Table8[Category No],Table8[Chapter List],FALSE)</f>
        <v>Evolution of Jainism and Buddhism</v>
      </c>
      <c r="D124" s="34" t="s">
        <v>857</v>
      </c>
      <c r="E124" s="44" t="s">
        <v>858</v>
      </c>
      <c r="F124" s="57"/>
    </row>
    <row r="125" spans="1:6" x14ac:dyDescent="0.3">
      <c r="A125" s="32">
        <v>124</v>
      </c>
      <c r="B125" s="32" t="s">
        <v>64</v>
      </c>
      <c r="C125" s="32" t="str">
        <f>_xlfn.XLOOKUP(Table61011121316[[#This Row],[Category No]],Table8[Category No],Table8[Chapter List],FALSE)</f>
        <v>Evolution of Jainism and Buddhism</v>
      </c>
      <c r="D125" s="34" t="s">
        <v>859</v>
      </c>
      <c r="E125" s="44" t="s">
        <v>860</v>
      </c>
      <c r="F125" s="57"/>
    </row>
    <row r="126" spans="1:6" x14ac:dyDescent="0.3">
      <c r="A126" s="32">
        <v>125</v>
      </c>
      <c r="B126" s="32" t="s">
        <v>64</v>
      </c>
      <c r="C126" s="32" t="str">
        <f>_xlfn.XLOOKUP(Table61011121316[[#This Row],[Category No]],Table8[Category No],Table8[Chapter List],FALSE)</f>
        <v>Evolution of Jainism and Buddhism</v>
      </c>
      <c r="D126" s="34" t="s">
        <v>861</v>
      </c>
      <c r="E126" s="44" t="s">
        <v>862</v>
      </c>
      <c r="F126" s="57"/>
    </row>
    <row r="127" spans="1:6" x14ac:dyDescent="0.3">
      <c r="A127" s="32">
        <v>126</v>
      </c>
      <c r="B127" s="32" t="s">
        <v>64</v>
      </c>
      <c r="C127" s="32" t="str">
        <f>_xlfn.XLOOKUP(Table61011121316[[#This Row],[Category No]],Table8[Category No],Table8[Chapter List],FALSE)</f>
        <v>Evolution of Jainism and Buddhism</v>
      </c>
      <c r="D127" s="34" t="s">
        <v>863</v>
      </c>
      <c r="E127" s="44" t="s">
        <v>864</v>
      </c>
      <c r="F127" s="57"/>
    </row>
    <row r="128" spans="1:6" x14ac:dyDescent="0.3">
      <c r="A128" s="32">
        <v>127</v>
      </c>
      <c r="B128" s="32" t="s">
        <v>64</v>
      </c>
      <c r="C128" s="32" t="str">
        <f>_xlfn.XLOOKUP(Table61011121316[[#This Row],[Category No]],Table8[Category No],Table8[Chapter List],FALSE)</f>
        <v>Evolution of Jainism and Buddhism</v>
      </c>
      <c r="D128" s="34" t="s">
        <v>865</v>
      </c>
      <c r="E128" s="44" t="s">
        <v>866</v>
      </c>
      <c r="F128" s="57"/>
    </row>
    <row r="129" spans="1:6" x14ac:dyDescent="0.3">
      <c r="A129" s="32">
        <v>128</v>
      </c>
      <c r="B129" s="32" t="s">
        <v>64</v>
      </c>
      <c r="C129" s="32" t="str">
        <f>_xlfn.XLOOKUP(Table61011121316[[#This Row],[Category No]],Table8[Category No],Table8[Chapter List],FALSE)</f>
        <v>Evolution of Jainism and Buddhism</v>
      </c>
      <c r="D129" s="34" t="s">
        <v>867</v>
      </c>
      <c r="E129" s="44" t="s">
        <v>868</v>
      </c>
      <c r="F129" s="57"/>
    </row>
    <row r="130" spans="1:6" x14ac:dyDescent="0.3">
      <c r="A130" s="32">
        <v>129</v>
      </c>
      <c r="B130" s="32" t="s">
        <v>64</v>
      </c>
      <c r="C130" s="32" t="str">
        <f>_xlfn.XLOOKUP(Table61011121316[[#This Row],[Category No]],Table8[Category No],Table8[Chapter List],FALSE)</f>
        <v>Evolution of Jainism and Buddhism</v>
      </c>
      <c r="D130" s="34" t="s">
        <v>869</v>
      </c>
      <c r="E130" s="44" t="s">
        <v>870</v>
      </c>
      <c r="F130" s="57"/>
    </row>
    <row r="131" spans="1:6" x14ac:dyDescent="0.3">
      <c r="A131" s="32">
        <v>130</v>
      </c>
      <c r="B131" s="32" t="s">
        <v>64</v>
      </c>
      <c r="C131" s="32" t="str">
        <f>_xlfn.XLOOKUP(Table61011121316[[#This Row],[Category No]],Table8[Category No],Table8[Chapter List],FALSE)</f>
        <v>Evolution of Jainism and Buddhism</v>
      </c>
      <c r="D131" s="34" t="s">
        <v>871</v>
      </c>
      <c r="E131" s="44" t="s">
        <v>872</v>
      </c>
      <c r="F131" s="57"/>
    </row>
    <row r="132" spans="1:6" x14ac:dyDescent="0.3">
      <c r="A132" s="32">
        <v>131</v>
      </c>
      <c r="B132" s="32" t="s">
        <v>64</v>
      </c>
      <c r="C132" s="32" t="str">
        <f>_xlfn.XLOOKUP(Table61011121316[[#This Row],[Category No]],Table8[Category No],Table8[Chapter List],FALSE)</f>
        <v>Evolution of Jainism and Buddhism</v>
      </c>
      <c r="D132" s="34" t="s">
        <v>871</v>
      </c>
      <c r="E132" s="34" t="s">
        <v>874</v>
      </c>
      <c r="F132" s="57" t="s">
        <v>880</v>
      </c>
    </row>
    <row r="133" spans="1:6" x14ac:dyDescent="0.3">
      <c r="A133" s="32">
        <v>132</v>
      </c>
      <c r="B133" s="32" t="s">
        <v>64</v>
      </c>
      <c r="C133" s="32" t="str">
        <f>_xlfn.XLOOKUP(Table61011121316[[#This Row],[Category No]],Table8[Category No],Table8[Chapter List],FALSE)</f>
        <v>Evolution of Jainism and Buddhism</v>
      </c>
      <c r="D133" s="34" t="s">
        <v>875</v>
      </c>
      <c r="E133" s="34" t="s">
        <v>868</v>
      </c>
      <c r="F133" s="57"/>
    </row>
    <row r="134" spans="1:6" x14ac:dyDescent="0.3">
      <c r="A134" s="32">
        <v>133</v>
      </c>
      <c r="B134" s="32" t="s">
        <v>64</v>
      </c>
      <c r="C134" s="32" t="str">
        <f>_xlfn.XLOOKUP(Table61011121316[[#This Row],[Category No]],Table8[Category No],Table8[Chapter List],FALSE)</f>
        <v>Evolution of Jainism and Buddhism</v>
      </c>
      <c r="D134" s="34" t="s">
        <v>876</v>
      </c>
      <c r="E134" s="34" t="s">
        <v>877</v>
      </c>
      <c r="F134" s="57"/>
    </row>
    <row r="135" spans="1:6" x14ac:dyDescent="0.3">
      <c r="A135" s="32">
        <v>134</v>
      </c>
      <c r="B135" s="32" t="s">
        <v>64</v>
      </c>
      <c r="C135" s="32" t="str">
        <f>_xlfn.XLOOKUP(Table61011121316[[#This Row],[Category No]],Table8[Category No],Table8[Chapter List],FALSE)</f>
        <v>Evolution of Jainism and Buddhism</v>
      </c>
      <c r="D135" s="34" t="s">
        <v>878</v>
      </c>
      <c r="E135" s="34" t="s">
        <v>879</v>
      </c>
      <c r="F135" s="57"/>
    </row>
    <row r="136" spans="1:6" x14ac:dyDescent="0.3">
      <c r="A136" s="32">
        <v>135</v>
      </c>
      <c r="B136" s="32" t="s">
        <v>64</v>
      </c>
      <c r="C136" s="32" t="str">
        <f>_xlfn.XLOOKUP(Table61011121316[[#This Row],[Category No]],Table8[Category No],Table8[Chapter List],FALSE)</f>
        <v>Evolution of Jainism and Buddhism</v>
      </c>
      <c r="D136" s="34" t="s">
        <v>881</v>
      </c>
      <c r="E136" s="34" t="s">
        <v>882</v>
      </c>
    </row>
    <row r="137" spans="1:6" x14ac:dyDescent="0.3">
      <c r="A137" s="32">
        <v>136</v>
      </c>
      <c r="B137" s="32" t="s">
        <v>64</v>
      </c>
      <c r="C137" s="32" t="str">
        <f>_xlfn.XLOOKUP(Table61011121316[[#This Row],[Category No]],Table8[Category No],Table8[Chapter List],FALSE)</f>
        <v>Evolution of Jainism and Buddhism</v>
      </c>
      <c r="D137" s="34" t="s">
        <v>883</v>
      </c>
      <c r="E137" s="34" t="s">
        <v>884</v>
      </c>
    </row>
    <row r="138" spans="1:6" x14ac:dyDescent="0.3">
      <c r="A138" s="32">
        <v>137</v>
      </c>
      <c r="B138" s="32" t="s">
        <v>64</v>
      </c>
      <c r="C138" s="32" t="str">
        <f>_xlfn.XLOOKUP(Table61011121316[[#This Row],[Category No]],Table8[Category No],Table8[Chapter List],FALSE)</f>
        <v>Evolution of Jainism and Buddhism</v>
      </c>
      <c r="D138" s="34" t="s">
        <v>885</v>
      </c>
      <c r="E138" s="34" t="s">
        <v>886</v>
      </c>
    </row>
    <row r="139" spans="1:6" x14ac:dyDescent="0.3">
      <c r="A139" s="32">
        <v>138</v>
      </c>
      <c r="B139" s="32" t="s">
        <v>64</v>
      </c>
      <c r="C139" s="32" t="str">
        <f>_xlfn.XLOOKUP(Table61011121316[[#This Row],[Category No]],Table8[Category No],Table8[Chapter List],FALSE)</f>
        <v>Evolution of Jainism and Buddhism</v>
      </c>
      <c r="D139" s="34" t="s">
        <v>887</v>
      </c>
      <c r="E139" s="34" t="s">
        <v>888</v>
      </c>
    </row>
    <row r="140" spans="1:6" x14ac:dyDescent="0.3">
      <c r="A140" s="32">
        <v>139</v>
      </c>
      <c r="B140" s="32" t="s">
        <v>64</v>
      </c>
      <c r="C140" s="32" t="str">
        <f>_xlfn.XLOOKUP(Table61011121316[[#This Row],[Category No]],Table8[Category No],Table8[Chapter List],FALSE)</f>
        <v>Evolution of Jainism and Buddhism</v>
      </c>
      <c r="D140" s="34" t="s">
        <v>889</v>
      </c>
      <c r="E140" s="34" t="s">
        <v>890</v>
      </c>
    </row>
    <row r="141" spans="1:6" x14ac:dyDescent="0.3">
      <c r="A141" s="32">
        <v>140</v>
      </c>
      <c r="B141" s="32" t="s">
        <v>64</v>
      </c>
      <c r="C141" s="32" t="str">
        <f>_xlfn.XLOOKUP(Table61011121316[[#This Row],[Category No]],Table8[Category No],Table8[Chapter List],FALSE)</f>
        <v>Evolution of Jainism and Buddhism</v>
      </c>
      <c r="D141" s="34" t="s">
        <v>891</v>
      </c>
      <c r="E141" s="34" t="s">
        <v>894</v>
      </c>
    </row>
    <row r="142" spans="1:6" x14ac:dyDescent="0.3">
      <c r="A142" s="32">
        <v>141</v>
      </c>
      <c r="B142" s="32" t="s">
        <v>64</v>
      </c>
      <c r="C142" s="32" t="str">
        <f>_xlfn.XLOOKUP(Table61011121316[[#This Row],[Category No]],Table8[Category No],Table8[Chapter List],FALSE)</f>
        <v>Evolution of Jainism and Buddhism</v>
      </c>
      <c r="D142" s="34" t="s">
        <v>892</v>
      </c>
      <c r="E142" s="34" t="s">
        <v>893</v>
      </c>
    </row>
    <row r="143" spans="1:6" x14ac:dyDescent="0.3">
      <c r="A143" s="32">
        <v>142</v>
      </c>
      <c r="B143" s="32" t="s">
        <v>64</v>
      </c>
      <c r="C143" s="32" t="str">
        <f>_xlfn.XLOOKUP(Table61011121316[[#This Row],[Category No]],Table8[Category No],Table8[Chapter List],FALSE)</f>
        <v>Evolution of Jainism and Buddhism</v>
      </c>
      <c r="D143" s="34" t="s">
        <v>895</v>
      </c>
      <c r="E143" s="34" t="s">
        <v>896</v>
      </c>
    </row>
    <row r="144" spans="1:6" x14ac:dyDescent="0.3">
      <c r="A144" s="32">
        <v>143</v>
      </c>
      <c r="B144" s="32" t="s">
        <v>64</v>
      </c>
      <c r="C144" s="32" t="str">
        <f>_xlfn.XLOOKUP(Table61011121316[[#This Row],[Category No]],Table8[Category No],Table8[Chapter List],FALSE)</f>
        <v>Evolution of Jainism and Buddhism</v>
      </c>
      <c r="D144" s="34" t="s">
        <v>897</v>
      </c>
      <c r="E144" s="34" t="s">
        <v>898</v>
      </c>
    </row>
    <row r="145" spans="1:6" x14ac:dyDescent="0.3">
      <c r="A145" s="32">
        <v>144</v>
      </c>
      <c r="B145" s="32" t="s">
        <v>64</v>
      </c>
      <c r="C145" s="32" t="str">
        <f>_xlfn.XLOOKUP(Table61011121316[[#This Row],[Category No]],Table8[Category No],Table8[Chapter List],FALSE)</f>
        <v>Evolution of Jainism and Buddhism</v>
      </c>
      <c r="D145" s="34" t="s">
        <v>899</v>
      </c>
      <c r="E145" s="34" t="s">
        <v>900</v>
      </c>
      <c r="F145" s="57" t="s">
        <v>909</v>
      </c>
    </row>
    <row r="146" spans="1:6" x14ac:dyDescent="0.3">
      <c r="A146" s="32">
        <v>145</v>
      </c>
      <c r="B146" s="32" t="s">
        <v>64</v>
      </c>
      <c r="C146" s="32" t="str">
        <f>_xlfn.XLOOKUP(Table61011121316[[#This Row],[Category No]],Table8[Category No],Table8[Chapter List],FALSE)</f>
        <v>Evolution of Jainism and Buddhism</v>
      </c>
      <c r="D146" s="34" t="s">
        <v>901</v>
      </c>
      <c r="E146" s="34" t="s">
        <v>902</v>
      </c>
      <c r="F146" s="57"/>
    </row>
    <row r="147" spans="1:6" x14ac:dyDescent="0.3">
      <c r="A147" s="32">
        <v>146</v>
      </c>
      <c r="B147" s="32" t="s">
        <v>64</v>
      </c>
      <c r="C147" s="32" t="str">
        <f>_xlfn.XLOOKUP(Table61011121316[[#This Row],[Category No]],Table8[Category No],Table8[Chapter List],FALSE)</f>
        <v>Evolution of Jainism and Buddhism</v>
      </c>
      <c r="D147" s="34" t="s">
        <v>903</v>
      </c>
      <c r="E147" s="34" t="s">
        <v>904</v>
      </c>
      <c r="F147" s="57"/>
    </row>
    <row r="148" spans="1:6" x14ac:dyDescent="0.3">
      <c r="A148" s="32">
        <v>147</v>
      </c>
      <c r="B148" s="32" t="s">
        <v>64</v>
      </c>
      <c r="C148" s="32" t="str">
        <f>_xlfn.XLOOKUP(Table61011121316[[#This Row],[Category No]],Table8[Category No],Table8[Chapter List],FALSE)</f>
        <v>Evolution of Jainism and Buddhism</v>
      </c>
      <c r="D148" s="34" t="s">
        <v>905</v>
      </c>
      <c r="E148" s="34" t="s">
        <v>906</v>
      </c>
      <c r="F148" s="57"/>
    </row>
    <row r="149" spans="1:6" x14ac:dyDescent="0.3">
      <c r="A149" s="32">
        <v>148</v>
      </c>
      <c r="B149" s="32" t="s">
        <v>64</v>
      </c>
      <c r="C149" s="32" t="str">
        <f>_xlfn.XLOOKUP(Table61011121316[[#This Row],[Category No]],Table8[Category No],Table8[Chapter List],FALSE)</f>
        <v>Evolution of Jainism and Buddhism</v>
      </c>
      <c r="D149" s="34" t="s">
        <v>907</v>
      </c>
      <c r="E149" s="34" t="s">
        <v>908</v>
      </c>
      <c r="F149" s="57"/>
    </row>
    <row r="150" spans="1:6" x14ac:dyDescent="0.3">
      <c r="A150" s="32">
        <v>149</v>
      </c>
      <c r="B150" s="32" t="s">
        <v>64</v>
      </c>
      <c r="C150" s="32" t="str">
        <f>_xlfn.XLOOKUP(Table61011121316[[#This Row],[Category No]],Table8[Category No],Table8[Chapter List],FALSE)</f>
        <v>Evolution of Jainism and Buddhism</v>
      </c>
      <c r="D150" s="34" t="s">
        <v>910</v>
      </c>
      <c r="E150" s="34" t="s">
        <v>893</v>
      </c>
      <c r="F150" s="57" t="s">
        <v>914</v>
      </c>
    </row>
    <row r="151" spans="1:6" x14ac:dyDescent="0.3">
      <c r="A151" s="32">
        <v>150</v>
      </c>
      <c r="B151" s="32" t="s">
        <v>64</v>
      </c>
      <c r="C151" s="32" t="str">
        <f>_xlfn.XLOOKUP(Table61011121316[[#This Row],[Category No]],Table8[Category No],Table8[Chapter List],FALSE)</f>
        <v>Evolution of Jainism and Buddhism</v>
      </c>
      <c r="D151" s="34" t="s">
        <v>911</v>
      </c>
      <c r="E151" s="34"/>
      <c r="F151" s="57"/>
    </row>
    <row r="152" spans="1:6" x14ac:dyDescent="0.3">
      <c r="A152" s="32">
        <v>151</v>
      </c>
      <c r="B152" s="32" t="s">
        <v>64</v>
      </c>
      <c r="C152" s="32" t="str">
        <f>_xlfn.XLOOKUP(Table61011121316[[#This Row],[Category No]],Table8[Category No],Table8[Chapter List],FALSE)</f>
        <v>Evolution of Jainism and Buddhism</v>
      </c>
      <c r="D152" s="34" t="s">
        <v>912</v>
      </c>
      <c r="E152" s="34" t="s">
        <v>913</v>
      </c>
      <c r="F152" s="57"/>
    </row>
    <row r="153" spans="1:6" x14ac:dyDescent="0.3">
      <c r="A153" s="32">
        <v>152</v>
      </c>
      <c r="B153" s="32" t="s">
        <v>64</v>
      </c>
      <c r="C153" s="32" t="str">
        <f>_xlfn.XLOOKUP(Table61011121316[[#This Row],[Category No]],Table8[Category No],Table8[Chapter List],FALSE)</f>
        <v>Evolution of Jainism and Buddhism</v>
      </c>
      <c r="D153" s="34" t="s">
        <v>915</v>
      </c>
      <c r="E153" s="34" t="s">
        <v>916</v>
      </c>
    </row>
    <row r="154" spans="1:6" x14ac:dyDescent="0.3">
      <c r="A154" s="32">
        <v>153</v>
      </c>
      <c r="B154" s="32" t="s">
        <v>64</v>
      </c>
      <c r="C154" s="32" t="str">
        <f>_xlfn.XLOOKUP(Table61011121316[[#This Row],[Category No]],Table8[Category No],Table8[Chapter List],FALSE)</f>
        <v>Evolution of Jainism and Buddhism</v>
      </c>
      <c r="D154" s="34" t="s">
        <v>917</v>
      </c>
      <c r="E154" s="34" t="s">
        <v>918</v>
      </c>
    </row>
    <row r="155" spans="1:6" x14ac:dyDescent="0.3">
      <c r="A155" s="32">
        <v>154</v>
      </c>
      <c r="B155" s="32" t="s">
        <v>64</v>
      </c>
      <c r="C155" s="32" t="str">
        <f>_xlfn.XLOOKUP(Table61011121316[[#This Row],[Category No]],Table8[Category No],Table8[Chapter List],FALSE)</f>
        <v>Evolution of Jainism and Buddhism</v>
      </c>
      <c r="D155" s="34" t="s">
        <v>919</v>
      </c>
      <c r="E155" s="34" t="s">
        <v>920</v>
      </c>
    </row>
    <row r="156" spans="1:6" x14ac:dyDescent="0.3">
      <c r="A156" s="32">
        <v>155</v>
      </c>
      <c r="B156" s="32" t="s">
        <v>64</v>
      </c>
      <c r="C156" s="32" t="str">
        <f>_xlfn.XLOOKUP(Table61011121316[[#This Row],[Category No]],Table8[Category No],Table8[Chapter List],FALSE)</f>
        <v>Evolution of Jainism and Buddhism</v>
      </c>
      <c r="D156" s="34" t="s">
        <v>921</v>
      </c>
      <c r="E156" s="34" t="s">
        <v>922</v>
      </c>
    </row>
    <row r="157" spans="1:6" x14ac:dyDescent="0.3">
      <c r="A157" s="32">
        <v>156</v>
      </c>
      <c r="B157" s="32" t="s">
        <v>64</v>
      </c>
      <c r="C157" s="32" t="str">
        <f>_xlfn.XLOOKUP(Table61011121316[[#This Row],[Category No]],Table8[Category No],Table8[Chapter List],FALSE)</f>
        <v>Evolution of Jainism and Buddhism</v>
      </c>
      <c r="D157" s="34" t="s">
        <v>923</v>
      </c>
      <c r="E157" s="34" t="s">
        <v>924</v>
      </c>
    </row>
    <row r="158" spans="1:6" x14ac:dyDescent="0.3">
      <c r="A158" s="32">
        <v>157</v>
      </c>
      <c r="B158" s="32" t="s">
        <v>64</v>
      </c>
      <c r="C158" s="32" t="str">
        <f>_xlfn.XLOOKUP(Table61011121316[[#This Row],[Category No]],Table8[Category No],Table8[Chapter List],FALSE)</f>
        <v>Evolution of Jainism and Buddhism</v>
      </c>
      <c r="D158" s="34" t="s">
        <v>925</v>
      </c>
      <c r="E158" s="34" t="s">
        <v>926</v>
      </c>
    </row>
    <row r="159" spans="1:6" x14ac:dyDescent="0.3">
      <c r="A159" s="32">
        <v>158</v>
      </c>
      <c r="B159" s="32" t="s">
        <v>64</v>
      </c>
      <c r="C159" s="32" t="str">
        <f>_xlfn.XLOOKUP(Table61011121316[[#This Row],[Category No]],Table8[Category No],Table8[Chapter List],FALSE)</f>
        <v>Evolution of Jainism and Buddhism</v>
      </c>
      <c r="D159" s="34" t="s">
        <v>927</v>
      </c>
      <c r="E159" s="34" t="s">
        <v>928</v>
      </c>
    </row>
    <row r="160" spans="1:6" x14ac:dyDescent="0.3">
      <c r="A160" s="32">
        <v>159</v>
      </c>
      <c r="B160" s="32" t="s">
        <v>64</v>
      </c>
      <c r="C160" s="32" t="str">
        <f>_xlfn.XLOOKUP(Table61011121316[[#This Row],[Category No]],Table8[Category No],Table8[Chapter List],FALSE)</f>
        <v>Evolution of Jainism and Buddhism</v>
      </c>
      <c r="D160" s="34" t="s">
        <v>929</v>
      </c>
      <c r="E160" s="34" t="s">
        <v>930</v>
      </c>
    </row>
    <row r="161" spans="1:6" x14ac:dyDescent="0.3">
      <c r="A161" s="32">
        <v>160</v>
      </c>
      <c r="B161" s="32" t="s">
        <v>64</v>
      </c>
      <c r="C161" s="32" t="str">
        <f>_xlfn.XLOOKUP(Table61011121316[[#This Row],[Category No]],Table8[Category No],Table8[Chapter List],FALSE)</f>
        <v>Evolution of Jainism and Buddhism</v>
      </c>
      <c r="D161" s="34" t="s">
        <v>931</v>
      </c>
      <c r="E161" s="34" t="s">
        <v>932</v>
      </c>
    </row>
    <row r="162" spans="1:6" x14ac:dyDescent="0.3">
      <c r="A162" s="32">
        <v>161</v>
      </c>
      <c r="B162" s="32" t="s">
        <v>64</v>
      </c>
      <c r="C162" s="32" t="str">
        <f>_xlfn.XLOOKUP(Table61011121316[[#This Row],[Category No]],Table8[Category No],Table8[Chapter List],FALSE)</f>
        <v>Evolution of Jainism and Buddhism</v>
      </c>
      <c r="D162" s="34" t="s">
        <v>933</v>
      </c>
      <c r="E162" s="34" t="s">
        <v>936</v>
      </c>
    </row>
    <row r="163" spans="1:6" x14ac:dyDescent="0.3">
      <c r="A163" s="32">
        <v>162</v>
      </c>
      <c r="B163" s="32" t="s">
        <v>64</v>
      </c>
      <c r="C163" s="32" t="str">
        <f>_xlfn.XLOOKUP(Table61011121316[[#This Row],[Category No]],Table8[Category No],Table8[Chapter List],FALSE)</f>
        <v>Evolution of Jainism and Buddhism</v>
      </c>
      <c r="D163" s="34" t="s">
        <v>934</v>
      </c>
      <c r="E163" s="34" t="s">
        <v>935</v>
      </c>
    </row>
    <row r="164" spans="1:6" x14ac:dyDescent="0.3">
      <c r="A164" s="32">
        <v>163</v>
      </c>
      <c r="B164" s="32" t="s">
        <v>64</v>
      </c>
      <c r="C164" s="32" t="str">
        <f>_xlfn.XLOOKUP(Table61011121316[[#This Row],[Category No]],Table8[Category No],Table8[Chapter List],FALSE)</f>
        <v>Evolution of Jainism and Buddhism</v>
      </c>
      <c r="D164" s="34" t="s">
        <v>937</v>
      </c>
      <c r="E164" s="34" t="s">
        <v>938</v>
      </c>
    </row>
    <row r="165" spans="1:6" x14ac:dyDescent="0.3">
      <c r="A165" s="32">
        <v>164</v>
      </c>
      <c r="B165" s="32" t="s">
        <v>64</v>
      </c>
      <c r="C165" s="32" t="str">
        <f>_xlfn.XLOOKUP(Table61011121316[[#This Row],[Category No]],Table8[Category No],Table8[Chapter List],FALSE)</f>
        <v>Evolution of Jainism and Buddhism</v>
      </c>
      <c r="D165" s="34" t="s">
        <v>939</v>
      </c>
      <c r="E165" s="34" t="s">
        <v>940</v>
      </c>
    </row>
    <row r="166" spans="1:6" x14ac:dyDescent="0.3">
      <c r="A166" s="32">
        <v>165</v>
      </c>
      <c r="B166" s="32" t="s">
        <v>64</v>
      </c>
      <c r="C166" s="32" t="str">
        <f>_xlfn.XLOOKUP(Table61011121316[[#This Row],[Category No]],Table8[Category No],Table8[Chapter List],FALSE)</f>
        <v>Evolution of Jainism and Buddhism</v>
      </c>
      <c r="D166" s="34" t="s">
        <v>941</v>
      </c>
      <c r="E166" s="34" t="s">
        <v>942</v>
      </c>
    </row>
    <row r="167" spans="1:6" x14ac:dyDescent="0.3">
      <c r="A167" s="32">
        <v>166</v>
      </c>
      <c r="B167" s="32" t="s">
        <v>64</v>
      </c>
      <c r="C167" s="32" t="str">
        <f>_xlfn.XLOOKUP(Table61011121316[[#This Row],[Category No]],Table8[Category No],Table8[Chapter List],FALSE)</f>
        <v>Evolution of Jainism and Buddhism</v>
      </c>
      <c r="D167" s="34" t="s">
        <v>943</v>
      </c>
      <c r="E167" s="34" t="s">
        <v>947</v>
      </c>
    </row>
    <row r="168" spans="1:6" x14ac:dyDescent="0.3">
      <c r="A168" s="32">
        <v>167</v>
      </c>
      <c r="B168" s="32" t="s">
        <v>64</v>
      </c>
      <c r="C168" s="32" t="str">
        <f>_xlfn.XLOOKUP(Table61011121316[[#This Row],[Category No]],Table8[Category No],Table8[Chapter List],FALSE)</f>
        <v>Evolution of Jainism and Buddhism</v>
      </c>
      <c r="D168" s="34" t="s">
        <v>944</v>
      </c>
      <c r="E168" s="34" t="s">
        <v>948</v>
      </c>
    </row>
    <row r="169" spans="1:6" x14ac:dyDescent="0.3">
      <c r="A169" s="32">
        <v>168</v>
      </c>
      <c r="B169" s="32" t="s">
        <v>64</v>
      </c>
      <c r="C169" s="32" t="str">
        <f>_xlfn.XLOOKUP(Table61011121316[[#This Row],[Category No]],Table8[Category No],Table8[Chapter List],FALSE)</f>
        <v>Evolution of Jainism and Buddhism</v>
      </c>
      <c r="D169" s="34" t="s">
        <v>945</v>
      </c>
      <c r="E169" s="34" t="s">
        <v>946</v>
      </c>
    </row>
    <row r="170" spans="1:6" x14ac:dyDescent="0.3">
      <c r="A170" s="32">
        <v>169</v>
      </c>
      <c r="B170" s="32" t="s">
        <v>64</v>
      </c>
      <c r="C170" s="32" t="str">
        <f>_xlfn.XLOOKUP(Table61011121316[[#This Row],[Category No]],Table8[Category No],Table8[Chapter List],FALSE)</f>
        <v>Evolution of Jainism and Buddhism</v>
      </c>
      <c r="D170" s="34" t="s">
        <v>949</v>
      </c>
      <c r="E170" s="34" t="s">
        <v>950</v>
      </c>
    </row>
    <row r="171" spans="1:6" x14ac:dyDescent="0.3">
      <c r="A171" s="32">
        <v>170</v>
      </c>
      <c r="B171" s="32" t="s">
        <v>64</v>
      </c>
      <c r="C171" s="32" t="str">
        <f>_xlfn.XLOOKUP(Table61011121316[[#This Row],[Category No]],Table8[Category No],Table8[Chapter List],FALSE)</f>
        <v>Evolution of Jainism and Buddhism</v>
      </c>
      <c r="D171" s="34" t="s">
        <v>917</v>
      </c>
      <c r="E171" s="34" t="s">
        <v>953</v>
      </c>
    </row>
    <row r="172" spans="1:6" x14ac:dyDescent="0.3">
      <c r="A172" s="32">
        <v>171</v>
      </c>
      <c r="B172" s="32" t="s">
        <v>64</v>
      </c>
      <c r="C172" s="32" t="str">
        <f>_xlfn.XLOOKUP(Table61011121316[[#This Row],[Category No]],Table8[Category No],Table8[Chapter List],FALSE)</f>
        <v>Evolution of Jainism and Buddhism</v>
      </c>
      <c r="D172" s="34" t="s">
        <v>951</v>
      </c>
      <c r="E172" s="34" t="s">
        <v>954</v>
      </c>
    </row>
    <row r="173" spans="1:6" x14ac:dyDescent="0.3">
      <c r="A173" s="32">
        <v>172</v>
      </c>
      <c r="B173" s="32" t="s">
        <v>64</v>
      </c>
      <c r="C173" s="32" t="str">
        <f>_xlfn.XLOOKUP(Table61011121316[[#This Row],[Category No]],Table8[Category No],Table8[Chapter List],FALSE)</f>
        <v>Evolution of Jainism and Buddhism</v>
      </c>
      <c r="D173" s="34" t="s">
        <v>952</v>
      </c>
      <c r="E173" s="34" t="s">
        <v>955</v>
      </c>
    </row>
    <row r="174" spans="1:6" x14ac:dyDescent="0.3">
      <c r="A174" s="32">
        <v>173</v>
      </c>
      <c r="B174" s="32" t="s">
        <v>64</v>
      </c>
      <c r="C174" s="32" t="str">
        <f>_xlfn.XLOOKUP(Table61011121316[[#This Row],[Category No]],Table8[Category No],Table8[Chapter List],FALSE)</f>
        <v>Evolution of Jainism and Buddhism</v>
      </c>
      <c r="D174" s="34" t="s">
        <v>805</v>
      </c>
      <c r="E174" s="34" t="s">
        <v>956</v>
      </c>
    </row>
    <row r="175" spans="1:6" x14ac:dyDescent="0.3">
      <c r="A175" s="32">
        <v>174</v>
      </c>
      <c r="B175" s="32" t="s">
        <v>64</v>
      </c>
      <c r="C175" s="32" t="str">
        <f>_xlfn.XLOOKUP(Table61011121316[[#This Row],[Category No]],Table8[Category No],Table8[Chapter List],FALSE)</f>
        <v>Evolution of Jainism and Buddhism</v>
      </c>
      <c r="D175" s="34" t="s">
        <v>957</v>
      </c>
      <c r="E175" s="34" t="s">
        <v>958</v>
      </c>
    </row>
    <row r="176" spans="1:6" x14ac:dyDescent="0.3">
      <c r="A176" s="32">
        <v>175</v>
      </c>
      <c r="B176" s="32" t="s">
        <v>67</v>
      </c>
      <c r="C176" s="32" t="str">
        <f>_xlfn.XLOOKUP(Table61011121316[[#This Row],[Category No]],Table8[Category No],Table8[Chapter List],FALSE)</f>
        <v>Post-Mauryan India (200 BC - 300 CE)</v>
      </c>
      <c r="D176" s="34" t="s">
        <v>1285</v>
      </c>
      <c r="E176" s="34" t="s">
        <v>1286</v>
      </c>
      <c r="F176" s="57" t="s">
        <v>1217</v>
      </c>
    </row>
    <row r="177" spans="1:6" x14ac:dyDescent="0.3">
      <c r="A177" s="32">
        <v>176</v>
      </c>
      <c r="B177" s="32" t="s">
        <v>67</v>
      </c>
      <c r="C177" s="32" t="str">
        <f>_xlfn.XLOOKUP(Table61011121316[[#This Row],[Category No]],Table8[Category No],Table8[Chapter List],FALSE)</f>
        <v>Post-Mauryan India (200 BC - 300 CE)</v>
      </c>
      <c r="D177" s="34" t="s">
        <v>1287</v>
      </c>
      <c r="E177" s="34" t="s">
        <v>1288</v>
      </c>
      <c r="F177" s="57"/>
    </row>
    <row r="178" spans="1:6" x14ac:dyDescent="0.3">
      <c r="A178" s="32">
        <v>177</v>
      </c>
      <c r="B178" s="32" t="s">
        <v>67</v>
      </c>
      <c r="C178" s="32" t="str">
        <f>_xlfn.XLOOKUP(Table61011121316[[#This Row],[Category No]],Table8[Category No],Table8[Chapter List],FALSE)</f>
        <v>Post-Mauryan India (200 BC - 300 CE)</v>
      </c>
      <c r="D178" s="34" t="s">
        <v>1289</v>
      </c>
      <c r="E178" s="34" t="s">
        <v>1290</v>
      </c>
      <c r="F178" s="57"/>
    </row>
    <row r="179" spans="1:6" x14ac:dyDescent="0.3">
      <c r="A179" s="32">
        <v>178</v>
      </c>
      <c r="B179" s="32" t="s">
        <v>67</v>
      </c>
      <c r="C179" s="32" t="str">
        <f>_xlfn.XLOOKUP(Table61011121316[[#This Row],[Category No]],Table8[Category No],Table8[Chapter List],FALSE)</f>
        <v>Post-Mauryan India (200 BC - 300 CE)</v>
      </c>
      <c r="D179" s="34" t="s">
        <v>1291</v>
      </c>
      <c r="E179" s="34" t="s">
        <v>1292</v>
      </c>
      <c r="F179" s="57"/>
    </row>
    <row r="180" spans="1:6" ht="27.6" x14ac:dyDescent="0.3">
      <c r="A180" s="32">
        <v>179</v>
      </c>
      <c r="B180" s="32" t="s">
        <v>67</v>
      </c>
      <c r="C180" s="32" t="str">
        <f>_xlfn.XLOOKUP(Table61011121316[[#This Row],[Category No]],Table8[Category No],Table8[Chapter List],FALSE)</f>
        <v>Post-Mauryan India (200 BC - 300 CE)</v>
      </c>
      <c r="D180" s="34" t="s">
        <v>1293</v>
      </c>
      <c r="E180" s="33" t="s">
        <v>1294</v>
      </c>
      <c r="F180" s="57"/>
    </row>
    <row r="181" spans="1:6" x14ac:dyDescent="0.3">
      <c r="A181" s="32">
        <v>180</v>
      </c>
      <c r="B181" s="32" t="s">
        <v>67</v>
      </c>
      <c r="C181" s="32" t="str">
        <f>_xlfn.XLOOKUP(Table61011121316[[#This Row],[Category No]],Table8[Category No],Table8[Chapter List],FALSE)</f>
        <v>Post-Mauryan India (200 BC - 300 CE)</v>
      </c>
      <c r="D181" s="34" t="s">
        <v>1346</v>
      </c>
      <c r="E181" s="34" t="s">
        <v>1347</v>
      </c>
      <c r="F181" s="57" t="s">
        <v>1219</v>
      </c>
    </row>
    <row r="182" spans="1:6" x14ac:dyDescent="0.3">
      <c r="A182" s="32">
        <v>181</v>
      </c>
      <c r="B182" s="32" t="s">
        <v>67</v>
      </c>
      <c r="C182" s="32" t="str">
        <f>_xlfn.XLOOKUP(Table61011121316[[#This Row],[Category No]],Table8[Category No],Table8[Chapter List],FALSE)</f>
        <v>Post-Mauryan India (200 BC - 300 CE)</v>
      </c>
      <c r="D182" s="34" t="s">
        <v>1348</v>
      </c>
      <c r="E182" s="34" t="s">
        <v>1349</v>
      </c>
      <c r="F182" s="57"/>
    </row>
    <row r="183" spans="1:6" x14ac:dyDescent="0.3">
      <c r="A183" s="32">
        <v>182</v>
      </c>
      <c r="B183" s="32" t="s">
        <v>67</v>
      </c>
      <c r="C183" s="32" t="str">
        <f>_xlfn.XLOOKUP(Table61011121316[[#This Row],[Category No]],Table8[Category No],Table8[Chapter List],FALSE)</f>
        <v>Post-Mauryan India (200 BC - 300 CE)</v>
      </c>
      <c r="D183" s="34" t="s">
        <v>626</v>
      </c>
      <c r="E183" s="34" t="s">
        <v>1352</v>
      </c>
      <c r="F183" s="57"/>
    </row>
    <row r="184" spans="1:6" x14ac:dyDescent="0.3">
      <c r="A184" s="32">
        <v>183</v>
      </c>
      <c r="B184" s="32" t="s">
        <v>67</v>
      </c>
      <c r="C184" s="32" t="str">
        <f>_xlfn.XLOOKUP(Table61011121316[[#This Row],[Category No]],Table8[Category No],Table8[Chapter List],FALSE)</f>
        <v>Post-Mauryan India (200 BC - 300 CE)</v>
      </c>
      <c r="D184" s="34" t="s">
        <v>1353</v>
      </c>
      <c r="E184" s="34" t="s">
        <v>1354</v>
      </c>
      <c r="F184" s="57"/>
    </row>
    <row r="185" spans="1:6" ht="27.6" x14ac:dyDescent="0.3">
      <c r="A185" s="32">
        <v>184</v>
      </c>
      <c r="B185" s="32" t="s">
        <v>67</v>
      </c>
      <c r="C185" s="32" t="str">
        <f>_xlfn.XLOOKUP(Table61011121316[[#This Row],[Category No]],Table8[Category No],Table8[Chapter List],FALSE)</f>
        <v>Post-Mauryan India (200 BC - 300 CE)</v>
      </c>
      <c r="D185" s="34" t="s">
        <v>1377</v>
      </c>
      <c r="E185" s="33" t="s">
        <v>1437</v>
      </c>
      <c r="F185" s="57" t="s">
        <v>1220</v>
      </c>
    </row>
    <row r="186" spans="1:6" x14ac:dyDescent="0.3">
      <c r="A186" s="32">
        <v>185</v>
      </c>
      <c r="B186" s="32" t="s">
        <v>67</v>
      </c>
      <c r="C186" s="32" t="str">
        <f>_xlfn.XLOOKUP(Table61011121316[[#This Row],[Category No]],Table8[Category No],Table8[Chapter List],FALSE)</f>
        <v>Post-Mauryan India (200 BC - 300 CE)</v>
      </c>
      <c r="D186" s="34" t="s">
        <v>1378</v>
      </c>
      <c r="E186" s="34" t="s">
        <v>1379</v>
      </c>
      <c r="F186" s="57"/>
    </row>
    <row r="187" spans="1:6" x14ac:dyDescent="0.3">
      <c r="A187" s="32">
        <v>186</v>
      </c>
      <c r="B187" s="32" t="s">
        <v>67</v>
      </c>
      <c r="C187" s="32" t="str">
        <f>_xlfn.XLOOKUP(Table61011121316[[#This Row],[Category No]],Table8[Category No],Table8[Chapter List],FALSE)</f>
        <v>Post-Mauryan India (200 BC - 300 CE)</v>
      </c>
      <c r="D187" s="34" t="s">
        <v>1380</v>
      </c>
      <c r="E187" s="34" t="s">
        <v>1381</v>
      </c>
      <c r="F187" s="57"/>
    </row>
    <row r="188" spans="1:6" x14ac:dyDescent="0.3">
      <c r="A188" s="32">
        <v>187</v>
      </c>
      <c r="B188" s="32" t="s">
        <v>67</v>
      </c>
      <c r="C188" s="32" t="str">
        <f>_xlfn.XLOOKUP(Table61011121316[[#This Row],[Category No]],Table8[Category No],Table8[Chapter List],FALSE)</f>
        <v>Post-Mauryan India (200 BC - 300 CE)</v>
      </c>
      <c r="D188" s="34" t="s">
        <v>1393</v>
      </c>
      <c r="E188" s="34" t="s">
        <v>1394</v>
      </c>
      <c r="F188" s="57"/>
    </row>
    <row r="189" spans="1:6" x14ac:dyDescent="0.3">
      <c r="A189" s="32">
        <v>188</v>
      </c>
      <c r="B189" s="32" t="s">
        <v>67</v>
      </c>
      <c r="C189" s="32" t="str">
        <f>_xlfn.XLOOKUP(Table61011121316[[#This Row],[Category No]],Table8[Category No],Table8[Chapter List],FALSE)</f>
        <v>Post-Mauryan India (200 BC - 300 CE)</v>
      </c>
      <c r="D189" s="34" t="s">
        <v>1422</v>
      </c>
      <c r="E189" s="34" t="s">
        <v>1423</v>
      </c>
      <c r="F189" s="57"/>
    </row>
    <row r="190" spans="1:6" x14ac:dyDescent="0.3">
      <c r="A190" s="32">
        <v>189</v>
      </c>
      <c r="B190" s="32" t="s">
        <v>67</v>
      </c>
      <c r="C190" s="32" t="str">
        <f>_xlfn.XLOOKUP(Table61011121316[[#This Row],[Category No]],Table8[Category No],Table8[Chapter List],FALSE)</f>
        <v>Post-Mauryan India (200 BC - 300 CE)</v>
      </c>
      <c r="D190" s="34" t="s">
        <v>1424</v>
      </c>
      <c r="E190" s="34" t="s">
        <v>1425</v>
      </c>
      <c r="F190" s="57"/>
    </row>
    <row r="191" spans="1:6" x14ac:dyDescent="0.3">
      <c r="A191" s="32">
        <v>190</v>
      </c>
      <c r="B191" s="32" t="s">
        <v>67</v>
      </c>
      <c r="C191" s="32" t="str">
        <f>_xlfn.XLOOKUP(Table61011121316[[#This Row],[Category No]],Table8[Category No],Table8[Chapter List],FALSE)</f>
        <v>Post-Mauryan India (200 BC - 300 CE)</v>
      </c>
      <c r="D191" s="34" t="s">
        <v>1426</v>
      </c>
      <c r="E191" s="34" t="s">
        <v>1427</v>
      </c>
      <c r="F191" s="57"/>
    </row>
    <row r="192" spans="1:6" x14ac:dyDescent="0.3">
      <c r="A192" s="32">
        <v>191</v>
      </c>
      <c r="B192" s="32" t="s">
        <v>68</v>
      </c>
      <c r="C192" s="32" t="str">
        <f>_xlfn.XLOOKUP(Table61011121316[[#This Row],[Category No]],Table8[Category No],Table8[Chapter List],FALSE)</f>
        <v>Sangam Period (South Indian Dynasties)</v>
      </c>
      <c r="D192" s="34" t="s">
        <v>1450</v>
      </c>
      <c r="E192" s="34" t="s">
        <v>1451</v>
      </c>
    </row>
    <row r="193" spans="1:5" x14ac:dyDescent="0.3">
      <c r="A193" s="32">
        <v>192</v>
      </c>
      <c r="B193" s="32" t="s">
        <v>68</v>
      </c>
      <c r="C193" s="32" t="str">
        <f>_xlfn.XLOOKUP(Table61011121316[[#This Row],[Category No]],Table8[Category No],Table8[Chapter List],FALSE)</f>
        <v>Sangam Period (South Indian Dynasties)</v>
      </c>
      <c r="D193" s="34" t="s">
        <v>1560</v>
      </c>
      <c r="E193" s="34" t="s">
        <v>1561</v>
      </c>
    </row>
    <row r="194" spans="1:5" x14ac:dyDescent="0.3">
      <c r="A194" s="32">
        <v>193</v>
      </c>
      <c r="B194" s="32" t="s">
        <v>68</v>
      </c>
      <c r="C194" s="32" t="str">
        <f>_xlfn.XLOOKUP(Table61011121316[[#This Row],[Category No]],Table8[Category No],Table8[Chapter List],FALSE)</f>
        <v>Sangam Period (South Indian Dynasties)</v>
      </c>
      <c r="D194" s="34" t="s">
        <v>1562</v>
      </c>
      <c r="E194" s="34" t="s">
        <v>1563</v>
      </c>
    </row>
    <row r="195" spans="1:5" x14ac:dyDescent="0.3">
      <c r="A195" s="32">
        <v>194</v>
      </c>
      <c r="B195" s="32" t="s">
        <v>68</v>
      </c>
      <c r="C195" s="32" t="str">
        <f>_xlfn.XLOOKUP(Table61011121316[[#This Row],[Category No]],Table8[Category No],Table8[Chapter List],FALSE)</f>
        <v>Sangam Period (South Indian Dynasties)</v>
      </c>
      <c r="D195" s="34" t="s">
        <v>1564</v>
      </c>
      <c r="E195" s="34" t="s">
        <v>1565</v>
      </c>
    </row>
    <row r="196" spans="1:5" x14ac:dyDescent="0.3">
      <c r="A196" s="32">
        <v>195</v>
      </c>
      <c r="B196" s="32" t="s">
        <v>68</v>
      </c>
      <c r="C196" s="32" t="str">
        <f>_xlfn.XLOOKUP(Table61011121316[[#This Row],[Category No]],Table8[Category No],Table8[Chapter List],FALSE)</f>
        <v>Sangam Period (South Indian Dynasties)</v>
      </c>
      <c r="D196" s="34" t="s">
        <v>1566</v>
      </c>
      <c r="E196" s="34" t="s">
        <v>1567</v>
      </c>
    </row>
    <row r="197" spans="1:5" x14ac:dyDescent="0.3">
      <c r="A197" s="32">
        <v>196</v>
      </c>
      <c r="B197" s="32" t="s">
        <v>68</v>
      </c>
      <c r="C197" s="32" t="str">
        <f>_xlfn.XLOOKUP(Table61011121316[[#This Row],[Category No]],Table8[Category No],Table8[Chapter List],FALSE)</f>
        <v>Sangam Period (South Indian Dynasties)</v>
      </c>
      <c r="D197" s="34" t="s">
        <v>1568</v>
      </c>
      <c r="E197" s="34" t="s">
        <v>1569</v>
      </c>
    </row>
    <row r="198" spans="1:5" x14ac:dyDescent="0.3">
      <c r="A198" s="32">
        <v>197</v>
      </c>
      <c r="B198" s="32" t="s">
        <v>68</v>
      </c>
      <c r="C198" s="32" t="str">
        <f>_xlfn.XLOOKUP(Table61011121316[[#This Row],[Category No]],Table8[Category No],Table8[Chapter List],FALSE)</f>
        <v>Sangam Period (South Indian Dynasties)</v>
      </c>
      <c r="D198" s="34" t="s">
        <v>1570</v>
      </c>
      <c r="E198" s="34" t="s">
        <v>1571</v>
      </c>
    </row>
    <row r="199" spans="1:5" x14ac:dyDescent="0.3">
      <c r="A199" s="32">
        <v>198</v>
      </c>
      <c r="B199" s="32" t="s">
        <v>68</v>
      </c>
      <c r="C199" s="32" t="str">
        <f>_xlfn.XLOOKUP(Table61011121316[[#This Row],[Category No]],Table8[Category No],Table8[Chapter List],FALSE)</f>
        <v>Sangam Period (South Indian Dynasties)</v>
      </c>
      <c r="D199" s="34" t="s">
        <v>1572</v>
      </c>
      <c r="E199" s="34" t="s">
        <v>1573</v>
      </c>
    </row>
    <row r="200" spans="1:5" x14ac:dyDescent="0.3">
      <c r="A200" s="32">
        <v>199</v>
      </c>
      <c r="B200" s="32" t="s">
        <v>68</v>
      </c>
      <c r="C200" s="32" t="str">
        <f>_xlfn.XLOOKUP(Table61011121316[[#This Row],[Category No]],Table8[Category No],Table8[Chapter List],FALSE)</f>
        <v>Sangam Period (South Indian Dynasties)</v>
      </c>
      <c r="D200" s="34" t="s">
        <v>1574</v>
      </c>
      <c r="E200" s="34" t="s">
        <v>1575</v>
      </c>
    </row>
    <row r="201" spans="1:5" x14ac:dyDescent="0.3">
      <c r="A201" s="32">
        <v>200</v>
      </c>
      <c r="B201" s="32" t="s">
        <v>68</v>
      </c>
      <c r="C201" s="32" t="str">
        <f>_xlfn.XLOOKUP(Table61011121316[[#This Row],[Category No]],Table8[Category No],Table8[Chapter List],FALSE)</f>
        <v>Sangam Period (South Indian Dynasties)</v>
      </c>
      <c r="D201" s="34" t="s">
        <v>1576</v>
      </c>
      <c r="E201" s="34" t="s">
        <v>1577</v>
      </c>
    </row>
    <row r="202" spans="1:5" x14ac:dyDescent="0.3">
      <c r="A202" s="32">
        <v>201</v>
      </c>
      <c r="B202" s="32" t="s">
        <v>68</v>
      </c>
      <c r="C202" s="32" t="str">
        <f>_xlfn.XLOOKUP(Table61011121316[[#This Row],[Category No]],Table8[Category No],Table8[Chapter List],FALSE)</f>
        <v>Sangam Period (South Indian Dynasties)</v>
      </c>
      <c r="D202" s="34" t="s">
        <v>1578</v>
      </c>
      <c r="E202" s="34" t="s">
        <v>1579</v>
      </c>
    </row>
    <row r="203" spans="1:5" x14ac:dyDescent="0.3">
      <c r="A203" s="32">
        <v>202</v>
      </c>
      <c r="B203" s="32" t="s">
        <v>68</v>
      </c>
      <c r="C203" s="32" t="str">
        <f>_xlfn.XLOOKUP(Table61011121316[[#This Row],[Category No]],Table8[Category No],Table8[Chapter List],FALSE)</f>
        <v>Sangam Period (South Indian Dynasties)</v>
      </c>
      <c r="D203" s="34" t="s">
        <v>1580</v>
      </c>
      <c r="E203" s="34" t="s">
        <v>1581</v>
      </c>
    </row>
    <row r="204" spans="1:5" x14ac:dyDescent="0.3">
      <c r="A204" s="32">
        <v>203</v>
      </c>
      <c r="B204" s="32" t="s">
        <v>68</v>
      </c>
      <c r="C204" s="32" t="str">
        <f>_xlfn.XLOOKUP(Table61011121316[[#This Row],[Category No]],Table8[Category No],Table8[Chapter List],FALSE)</f>
        <v>Sangam Period (South Indian Dynasties)</v>
      </c>
      <c r="D204" s="34" t="s">
        <v>1582</v>
      </c>
      <c r="E204" s="34" t="s">
        <v>1583</v>
      </c>
    </row>
    <row r="205" spans="1:5" x14ac:dyDescent="0.3">
      <c r="A205" s="32">
        <v>204</v>
      </c>
      <c r="B205" s="32" t="s">
        <v>68</v>
      </c>
      <c r="C205" s="32" t="str">
        <f>_xlfn.XLOOKUP(Table61011121316[[#This Row],[Category No]],Table8[Category No],Table8[Chapter List],FALSE)</f>
        <v>Sangam Period (South Indian Dynasties)</v>
      </c>
      <c r="D205" s="34" t="s">
        <v>1584</v>
      </c>
      <c r="E205" s="34" t="s">
        <v>1585</v>
      </c>
    </row>
    <row r="206" spans="1:5" x14ac:dyDescent="0.3">
      <c r="A206" s="32">
        <v>205</v>
      </c>
      <c r="B206" s="32" t="s">
        <v>68</v>
      </c>
      <c r="C206" s="32" t="str">
        <f>_xlfn.XLOOKUP(Table61011121316[[#This Row],[Category No]],Table8[Category No],Table8[Chapter List],FALSE)</f>
        <v>Sangam Period (South Indian Dynasties)</v>
      </c>
      <c r="D206" s="34" t="s">
        <v>1586</v>
      </c>
      <c r="E206" s="34" t="s">
        <v>1587</v>
      </c>
    </row>
    <row r="207" spans="1:5" x14ac:dyDescent="0.3">
      <c r="A207" s="32">
        <v>206</v>
      </c>
      <c r="B207" s="32" t="s">
        <v>68</v>
      </c>
      <c r="C207" s="32" t="str">
        <f>_xlfn.XLOOKUP(Table61011121316[[#This Row],[Category No]],Table8[Category No],Table8[Chapter List],FALSE)</f>
        <v>Sangam Period (South Indian Dynasties)</v>
      </c>
      <c r="D207" s="34" t="s">
        <v>1588</v>
      </c>
      <c r="E207" s="34" t="s">
        <v>1589</v>
      </c>
    </row>
    <row r="208" spans="1:5" x14ac:dyDescent="0.3">
      <c r="A208" s="32">
        <v>207</v>
      </c>
      <c r="B208" s="32" t="s">
        <v>68</v>
      </c>
      <c r="C208" s="32" t="str">
        <f>_xlfn.XLOOKUP(Table61011121316[[#This Row],[Category No]],Table8[Category No],Table8[Chapter List],FALSE)</f>
        <v>Sangam Period (South Indian Dynasties)</v>
      </c>
      <c r="D208" s="34" t="s">
        <v>1590</v>
      </c>
      <c r="E208" s="34" t="s">
        <v>1591</v>
      </c>
    </row>
    <row r="209" spans="1:5" x14ac:dyDescent="0.3">
      <c r="A209" s="32">
        <v>208</v>
      </c>
      <c r="B209" s="32" t="s">
        <v>68</v>
      </c>
      <c r="C209" s="32" t="str">
        <f>_xlfn.XLOOKUP(Table61011121316[[#This Row],[Category No]],Table8[Category No],Table8[Chapter List],FALSE)</f>
        <v>Sangam Period (South Indian Dynasties)</v>
      </c>
      <c r="D209" s="34" t="s">
        <v>1592</v>
      </c>
      <c r="E209" s="34" t="s">
        <v>1593</v>
      </c>
    </row>
    <row r="210" spans="1:5" x14ac:dyDescent="0.3">
      <c r="A210" s="32">
        <v>209</v>
      </c>
      <c r="B210" s="32" t="s">
        <v>68</v>
      </c>
      <c r="C210" s="32" t="str">
        <f>_xlfn.XLOOKUP(Table61011121316[[#This Row],[Category No]],Table8[Category No],Table8[Chapter List],FALSE)</f>
        <v>Sangam Period (South Indian Dynasties)</v>
      </c>
      <c r="D210" s="34" t="s">
        <v>1594</v>
      </c>
      <c r="E210" s="34" t="s">
        <v>1595</v>
      </c>
    </row>
    <row r="211" spans="1:5" x14ac:dyDescent="0.3">
      <c r="A211" s="32">
        <v>210</v>
      </c>
      <c r="B211" s="32" t="s">
        <v>68</v>
      </c>
      <c r="C211" s="32" t="str">
        <f>_xlfn.XLOOKUP(Table61011121316[[#This Row],[Category No]],Table8[Category No],Table8[Chapter List],FALSE)</f>
        <v>Sangam Period (South Indian Dynasties)</v>
      </c>
      <c r="D211" s="34" t="s">
        <v>1596</v>
      </c>
      <c r="E211" s="34" t="s">
        <v>1597</v>
      </c>
    </row>
    <row r="212" spans="1:5" x14ac:dyDescent="0.3">
      <c r="A212" s="32">
        <v>211</v>
      </c>
      <c r="B212" s="32" t="s">
        <v>68</v>
      </c>
      <c r="C212" s="32" t="str">
        <f>_xlfn.XLOOKUP(Table61011121316[[#This Row],[Category No]],Table8[Category No],Table8[Chapter List],FALSE)</f>
        <v>Sangam Period (South Indian Dynasties)</v>
      </c>
      <c r="D212" s="34" t="s">
        <v>1598</v>
      </c>
      <c r="E212" s="34" t="s">
        <v>1599</v>
      </c>
    </row>
    <row r="213" spans="1:5" x14ac:dyDescent="0.3">
      <c r="A213" s="32">
        <v>212</v>
      </c>
      <c r="B213" s="32" t="s">
        <v>68</v>
      </c>
      <c r="C213" s="32" t="str">
        <f>_xlfn.XLOOKUP(Table61011121316[[#This Row],[Category No]],Table8[Category No],Table8[Chapter List],FALSE)</f>
        <v>Sangam Period (South Indian Dynasties)</v>
      </c>
      <c r="D213" s="34" t="s">
        <v>1600</v>
      </c>
      <c r="E213" s="34" t="s">
        <v>1601</v>
      </c>
    </row>
    <row r="214" spans="1:5" x14ac:dyDescent="0.3">
      <c r="A214" s="32">
        <v>213</v>
      </c>
      <c r="B214" s="32" t="s">
        <v>68</v>
      </c>
      <c r="C214" s="32" t="str">
        <f>_xlfn.XLOOKUP(Table61011121316[[#This Row],[Category No]],Table8[Category No],Table8[Chapter List],FALSE)</f>
        <v>Sangam Period (South Indian Dynasties)</v>
      </c>
      <c r="D214" s="34" t="s">
        <v>1602</v>
      </c>
      <c r="E214" s="34" t="s">
        <v>532</v>
      </c>
    </row>
    <row r="215" spans="1:5" x14ac:dyDescent="0.3">
      <c r="A215" s="32">
        <v>214</v>
      </c>
      <c r="B215" s="32" t="s">
        <v>68</v>
      </c>
      <c r="C215" s="32" t="str">
        <f>_xlfn.XLOOKUP(Table61011121316[[#This Row],[Category No]],Table8[Category No],Table8[Chapter List],FALSE)</f>
        <v>Sangam Period (South Indian Dynasties)</v>
      </c>
      <c r="D215" s="34" t="s">
        <v>1603</v>
      </c>
      <c r="E215" s="34" t="s">
        <v>1604</v>
      </c>
    </row>
    <row r="216" spans="1:5" x14ac:dyDescent="0.3">
      <c r="A216" s="32">
        <v>215</v>
      </c>
      <c r="B216" s="32" t="s">
        <v>68</v>
      </c>
      <c r="C216" s="32" t="str">
        <f>_xlfn.XLOOKUP(Table61011121316[[#This Row],[Category No]],Table8[Category No],Table8[Chapter List],FALSE)</f>
        <v>Sangam Period (South Indian Dynasties)</v>
      </c>
      <c r="D216" s="34" t="s">
        <v>1605</v>
      </c>
      <c r="E216" s="34" t="s">
        <v>1606</v>
      </c>
    </row>
    <row r="217" spans="1:5" x14ac:dyDescent="0.3">
      <c r="A217" s="32">
        <v>216</v>
      </c>
      <c r="B217" s="32" t="s">
        <v>68</v>
      </c>
      <c r="C217" s="32" t="str">
        <f>_xlfn.XLOOKUP(Table61011121316[[#This Row],[Category No]],Table8[Category No],Table8[Chapter List],FALSE)</f>
        <v>Sangam Period (South Indian Dynasties)</v>
      </c>
      <c r="D217" s="34" t="s">
        <v>1607</v>
      </c>
      <c r="E217" s="34" t="s">
        <v>378</v>
      </c>
    </row>
    <row r="218" spans="1:5" x14ac:dyDescent="0.3">
      <c r="A218" s="32">
        <v>217</v>
      </c>
      <c r="B218" s="32" t="s">
        <v>68</v>
      </c>
      <c r="C218" s="32" t="str">
        <f>_xlfn.XLOOKUP(Table61011121316[[#This Row],[Category No]],Table8[Category No],Table8[Chapter List],FALSE)</f>
        <v>Sangam Period (South Indian Dynasties)</v>
      </c>
      <c r="D218" s="34" t="s">
        <v>1608</v>
      </c>
      <c r="E218" s="34" t="s">
        <v>1609</v>
      </c>
    </row>
    <row r="219" spans="1:5" x14ac:dyDescent="0.3">
      <c r="A219" s="32">
        <v>218</v>
      </c>
      <c r="B219" s="32" t="s">
        <v>68</v>
      </c>
      <c r="C219" s="32" t="str">
        <f>_xlfn.XLOOKUP(Table61011121316[[#This Row],[Category No]],Table8[Category No],Table8[Chapter List],FALSE)</f>
        <v>Sangam Period (South Indian Dynasties)</v>
      </c>
      <c r="D219" s="34" t="s">
        <v>1610</v>
      </c>
      <c r="E219" s="34" t="s">
        <v>1611</v>
      </c>
    </row>
    <row r="220" spans="1:5" x14ac:dyDescent="0.3">
      <c r="A220" s="32">
        <v>219</v>
      </c>
      <c r="B220" s="32" t="s">
        <v>69</v>
      </c>
      <c r="C220" s="32" t="str">
        <f>_xlfn.XLOOKUP(Table61011121316[[#This Row],[Category No]],Table8[Category No],Table8[Chapter List],FALSE)</f>
        <v>Imperial Guptas &amp; Vakataks, Post Gupta Empire</v>
      </c>
      <c r="D220" s="34" t="s">
        <v>1821</v>
      </c>
      <c r="E220" s="34" t="s">
        <v>1822</v>
      </c>
    </row>
    <row r="221" spans="1:5" x14ac:dyDescent="0.3">
      <c r="A221" s="32">
        <v>220</v>
      </c>
      <c r="B221" s="32" t="s">
        <v>69</v>
      </c>
      <c r="C221" s="32" t="str">
        <f>_xlfn.XLOOKUP(Table61011121316[[#This Row],[Category No]],Table8[Category No],Table8[Chapter List],FALSE)</f>
        <v>Imperial Guptas &amp; Vakataks, Post Gupta Empire</v>
      </c>
      <c r="D221" s="34" t="s">
        <v>1823</v>
      </c>
      <c r="E221" s="34" t="s">
        <v>1824</v>
      </c>
    </row>
    <row r="222" spans="1:5" x14ac:dyDescent="0.3">
      <c r="A222" s="32">
        <v>221</v>
      </c>
      <c r="B222" s="32" t="s">
        <v>69</v>
      </c>
      <c r="C222" s="32" t="str">
        <f>_xlfn.XLOOKUP(Table61011121316[[#This Row],[Category No]],Table8[Category No],Table8[Chapter List],FALSE)</f>
        <v>Imperial Guptas &amp; Vakataks, Post Gupta Empire</v>
      </c>
      <c r="D222" s="34" t="s">
        <v>1825</v>
      </c>
      <c r="E222" s="34" t="s">
        <v>1826</v>
      </c>
    </row>
    <row r="223" spans="1:5" x14ac:dyDescent="0.3">
      <c r="A223" s="32">
        <v>222</v>
      </c>
      <c r="B223" s="32" t="s">
        <v>69</v>
      </c>
      <c r="C223" s="32" t="str">
        <f>_xlfn.XLOOKUP(Table61011121316[[#This Row],[Category No]],Table8[Category No],Table8[Chapter List],FALSE)</f>
        <v>Imperial Guptas &amp; Vakataks, Post Gupta Empire</v>
      </c>
      <c r="D223" s="34" t="s">
        <v>1827</v>
      </c>
      <c r="E223" s="34" t="s">
        <v>1828</v>
      </c>
    </row>
    <row r="224" spans="1:5" x14ac:dyDescent="0.3">
      <c r="A224" s="32">
        <v>223</v>
      </c>
      <c r="B224" s="32" t="s">
        <v>69</v>
      </c>
      <c r="C224" s="32" t="str">
        <f>_xlfn.XLOOKUP(Table61011121316[[#This Row],[Category No]],Table8[Category No],Table8[Chapter List],FALSE)</f>
        <v>Imperial Guptas &amp; Vakataks, Post Gupta Empire</v>
      </c>
      <c r="D224" s="34" t="s">
        <v>421</v>
      </c>
      <c r="E224" s="34" t="s">
        <v>1829</v>
      </c>
    </row>
    <row r="225" spans="1:6" x14ac:dyDescent="0.3">
      <c r="A225" s="32">
        <v>224</v>
      </c>
      <c r="B225" s="32" t="s">
        <v>69</v>
      </c>
      <c r="C225" s="32" t="str">
        <f>_xlfn.XLOOKUP(Table61011121316[[#This Row],[Category No]],Table8[Category No],Table8[Chapter List],FALSE)</f>
        <v>Imperial Guptas &amp; Vakataks, Post Gupta Empire</v>
      </c>
      <c r="D225" s="34" t="s">
        <v>1830</v>
      </c>
      <c r="E225" s="34" t="s">
        <v>1831</v>
      </c>
    </row>
    <row r="226" spans="1:6" x14ac:dyDescent="0.3">
      <c r="A226" s="32">
        <v>225</v>
      </c>
      <c r="B226" s="32" t="s">
        <v>69</v>
      </c>
      <c r="C226" s="32" t="str">
        <f>_xlfn.XLOOKUP(Table61011121316[[#This Row],[Category No]],Table8[Category No],Table8[Chapter List],FALSE)</f>
        <v>Imperial Guptas &amp; Vakataks, Post Gupta Empire</v>
      </c>
      <c r="D226" s="34" t="s">
        <v>1832</v>
      </c>
      <c r="E226" s="34" t="s">
        <v>1833</v>
      </c>
    </row>
    <row r="227" spans="1:6" x14ac:dyDescent="0.3">
      <c r="A227" s="32">
        <v>226</v>
      </c>
      <c r="B227" s="32" t="s">
        <v>69</v>
      </c>
      <c r="C227" s="32" t="str">
        <f>_xlfn.XLOOKUP(Table61011121316[[#This Row],[Category No]],Table8[Category No],Table8[Chapter List],FALSE)</f>
        <v>Imperial Guptas &amp; Vakataks, Post Gupta Empire</v>
      </c>
      <c r="D227" s="34" t="s">
        <v>1834</v>
      </c>
      <c r="E227" s="34" t="s">
        <v>1835</v>
      </c>
    </row>
    <row r="228" spans="1:6" x14ac:dyDescent="0.3">
      <c r="A228" s="32">
        <v>227</v>
      </c>
      <c r="B228" s="32" t="s">
        <v>69</v>
      </c>
      <c r="C228" s="32" t="str">
        <f>_xlfn.XLOOKUP(Table61011121316[[#This Row],[Category No]],Table8[Category No],Table8[Chapter List],FALSE)</f>
        <v>Imperial Guptas &amp; Vakataks, Post Gupta Empire</v>
      </c>
      <c r="D228" s="34" t="s">
        <v>1836</v>
      </c>
      <c r="E228" s="34" t="s">
        <v>1837</v>
      </c>
    </row>
    <row r="229" spans="1:6" x14ac:dyDescent="0.3">
      <c r="A229" s="32">
        <v>228</v>
      </c>
      <c r="B229" s="32" t="s">
        <v>69</v>
      </c>
      <c r="C229" s="32" t="str">
        <f>_xlfn.XLOOKUP(Table61011121316[[#This Row],[Category No]],Table8[Category No],Table8[Chapter List],FALSE)</f>
        <v>Imperial Guptas &amp; Vakataks, Post Gupta Empire</v>
      </c>
      <c r="D229" s="34" t="s">
        <v>1838</v>
      </c>
      <c r="E229" s="34" t="s">
        <v>1839</v>
      </c>
    </row>
    <row r="230" spans="1:6" x14ac:dyDescent="0.3">
      <c r="A230" s="32">
        <v>229</v>
      </c>
      <c r="B230" s="32" t="s">
        <v>69</v>
      </c>
      <c r="C230" s="32" t="str">
        <f>_xlfn.XLOOKUP(Table61011121316[[#This Row],[Category No]],Table8[Category No],Table8[Chapter List],FALSE)</f>
        <v>Imperial Guptas &amp; Vakataks, Post Gupta Empire</v>
      </c>
      <c r="D230" s="34" t="s">
        <v>1846</v>
      </c>
      <c r="E230" s="34" t="s">
        <v>1849</v>
      </c>
    </row>
    <row r="231" spans="1:6" x14ac:dyDescent="0.3">
      <c r="A231" s="32">
        <v>230</v>
      </c>
      <c r="B231" s="32" t="s">
        <v>69</v>
      </c>
      <c r="C231" s="32" t="str">
        <f>_xlfn.XLOOKUP(Table61011121316[[#This Row],[Category No]],Table8[Category No],Table8[Chapter List],FALSE)</f>
        <v>Imperial Guptas &amp; Vakataks, Post Gupta Empire</v>
      </c>
      <c r="D231" s="34" t="s">
        <v>1847</v>
      </c>
      <c r="E231" s="34" t="s">
        <v>1850</v>
      </c>
    </row>
    <row r="232" spans="1:6" x14ac:dyDescent="0.3">
      <c r="A232" s="32">
        <v>231</v>
      </c>
      <c r="B232" s="32" t="s">
        <v>69</v>
      </c>
      <c r="C232" s="32" t="str">
        <f>_xlfn.XLOOKUP(Table61011121316[[#This Row],[Category No]],Table8[Category No],Table8[Chapter List],FALSE)</f>
        <v>Imperial Guptas &amp; Vakataks, Post Gupta Empire</v>
      </c>
      <c r="D232" s="34" t="s">
        <v>1848</v>
      </c>
      <c r="E232" s="34" t="s">
        <v>1851</v>
      </c>
    </row>
    <row r="233" spans="1:6" x14ac:dyDescent="0.3">
      <c r="A233" s="32">
        <v>232</v>
      </c>
      <c r="B233" s="32" t="s">
        <v>70</v>
      </c>
      <c r="C233" s="32" t="str">
        <f>_xlfn.XLOOKUP(Table61011121316[[#This Row],[Category No]],Table8[Category No],Table8[Chapter List],FALSE)</f>
        <v>Harshavardhana/ Vardhan Dynasty/ Pushyabhuti Dynasty</v>
      </c>
      <c r="D233" s="34" t="s">
        <v>1838</v>
      </c>
      <c r="E233" s="34" t="s">
        <v>1917</v>
      </c>
    </row>
    <row r="234" spans="1:6" x14ac:dyDescent="0.3">
      <c r="A234" s="32">
        <v>233</v>
      </c>
      <c r="B234" s="32" t="s">
        <v>70</v>
      </c>
      <c r="C234" s="32" t="str">
        <f>_xlfn.XLOOKUP(Table61011121316[[#This Row],[Category No]],Table8[Category No],Table8[Chapter List],FALSE)</f>
        <v>Harshavardhana/ Vardhan Dynasty/ Pushyabhuti Dynasty</v>
      </c>
      <c r="D234" s="34" t="s">
        <v>1918</v>
      </c>
      <c r="E234" s="34" t="s">
        <v>1919</v>
      </c>
    </row>
    <row r="235" spans="1:6" x14ac:dyDescent="0.3">
      <c r="A235" s="32">
        <v>234</v>
      </c>
      <c r="B235" s="32" t="s">
        <v>70</v>
      </c>
      <c r="C235" s="32" t="str">
        <f>_xlfn.XLOOKUP(Table61011121316[[#This Row],[Category No]],Table8[Category No],Table8[Chapter List],FALSE)</f>
        <v>Harshavardhana/ Vardhan Dynasty/ Pushyabhuti Dynasty</v>
      </c>
      <c r="D235" s="34" t="s">
        <v>1920</v>
      </c>
      <c r="E235" s="34" t="s">
        <v>1921</v>
      </c>
    </row>
    <row r="236" spans="1:6" x14ac:dyDescent="0.3">
      <c r="A236" s="32">
        <v>235</v>
      </c>
      <c r="B236" s="42" t="s">
        <v>74</v>
      </c>
      <c r="C236" s="32" t="str">
        <f>_xlfn.XLOOKUP(Table61011121316[[#This Row],[Category No]],Table8[Category No],Table8[Chapter List],FALSE)</f>
        <v>Early Medieval India's Major Dynasties Part 1 - (550 - 750)CE</v>
      </c>
      <c r="D236" s="34" t="s">
        <v>2086</v>
      </c>
      <c r="E236" s="34" t="s">
        <v>2087</v>
      </c>
    </row>
    <row r="237" spans="1:6" x14ac:dyDescent="0.3">
      <c r="A237" s="32">
        <v>236</v>
      </c>
      <c r="B237" s="42" t="s">
        <v>74</v>
      </c>
      <c r="C237" s="32" t="str">
        <f>_xlfn.XLOOKUP(Table61011121316[[#This Row],[Category No]],Table8[Category No],Table8[Chapter List],FALSE)</f>
        <v>Early Medieval India's Major Dynasties Part 1 - (550 - 750)CE</v>
      </c>
      <c r="D237" s="34" t="s">
        <v>2088</v>
      </c>
      <c r="E237" s="34" t="s">
        <v>2089</v>
      </c>
    </row>
    <row r="238" spans="1:6" x14ac:dyDescent="0.3">
      <c r="A238" s="32">
        <v>237</v>
      </c>
      <c r="B238" s="42" t="s">
        <v>74</v>
      </c>
      <c r="C238" s="32" t="str">
        <f>_xlfn.XLOOKUP(Table61011121316[[#This Row],[Category No]],Table8[Category No],Table8[Chapter List],FALSE)</f>
        <v>Early Medieval India's Major Dynasties Part 1 - (550 - 750)CE</v>
      </c>
      <c r="D238" s="34" t="s">
        <v>2090</v>
      </c>
      <c r="E238" s="34" t="s">
        <v>2091</v>
      </c>
    </row>
    <row r="239" spans="1:6" x14ac:dyDescent="0.3">
      <c r="A239" s="32">
        <v>238</v>
      </c>
      <c r="B239" s="42" t="s">
        <v>74</v>
      </c>
      <c r="C239" s="32" t="str">
        <f>_xlfn.XLOOKUP(Table61011121316[[#This Row],[Category No]],Table8[Category No],Table8[Chapter List],FALSE)</f>
        <v>Early Medieval India's Major Dynasties Part 1 - (550 - 750)CE</v>
      </c>
      <c r="D239" s="34" t="s">
        <v>2092</v>
      </c>
      <c r="E239" s="34" t="s">
        <v>2093</v>
      </c>
    </row>
    <row r="240" spans="1:6" x14ac:dyDescent="0.3">
      <c r="A240" s="32">
        <v>239</v>
      </c>
      <c r="B240" s="42" t="s">
        <v>74</v>
      </c>
      <c r="C240" s="32" t="str">
        <f>_xlfn.XLOOKUP(Table61011121316[[#This Row],[Category No]],Table8[Category No],Table8[Chapter List],FALSE)</f>
        <v>Early Medieval India's Major Dynasties Part 1 - (550 - 750)CE</v>
      </c>
      <c r="D240" s="34" t="s">
        <v>2094</v>
      </c>
      <c r="E240" s="34" t="s">
        <v>2095</v>
      </c>
      <c r="F240" s="57" t="s">
        <v>2035</v>
      </c>
    </row>
    <row r="241" spans="1:6" x14ac:dyDescent="0.3">
      <c r="A241" s="32">
        <v>240</v>
      </c>
      <c r="B241" s="42" t="s">
        <v>74</v>
      </c>
      <c r="C241" s="32" t="str">
        <f>_xlfn.XLOOKUP(Table61011121316[[#This Row],[Category No]],Table8[Category No],Table8[Chapter List],FALSE)</f>
        <v>Early Medieval India's Major Dynasties Part 1 - (550 - 750)CE</v>
      </c>
      <c r="D241" s="34" t="s">
        <v>2096</v>
      </c>
      <c r="E241" s="34" t="s">
        <v>2097</v>
      </c>
      <c r="F241" s="57"/>
    </row>
    <row r="242" spans="1:6" x14ac:dyDescent="0.3">
      <c r="A242" s="32">
        <v>241</v>
      </c>
      <c r="B242" s="42" t="s">
        <v>75</v>
      </c>
      <c r="C242" s="32" t="str">
        <f>_xlfn.XLOOKUP(Table61011121316[[#This Row],[Category No]],Table8[Category No],Table8[Chapter List],FALSE)</f>
        <v>Early Medieval India's Major Dynasties Part 2 - (750 - 1000)CE</v>
      </c>
      <c r="D242" s="34" t="s">
        <v>2224</v>
      </c>
      <c r="E242" s="34" t="s">
        <v>2233</v>
      </c>
      <c r="F242" s="54" t="s">
        <v>2204</v>
      </c>
    </row>
    <row r="243" spans="1:6" x14ac:dyDescent="0.3">
      <c r="A243" s="32">
        <v>242</v>
      </c>
      <c r="B243" s="42" t="s">
        <v>75</v>
      </c>
      <c r="C243" s="32" t="str">
        <f>_xlfn.XLOOKUP(Table61011121316[[#This Row],[Category No]],Table8[Category No],Table8[Chapter List],FALSE)</f>
        <v>Early Medieval India's Major Dynasties Part 2 - (750 - 1000)CE</v>
      </c>
      <c r="D243" s="34" t="s">
        <v>2282</v>
      </c>
      <c r="E243" s="34" t="s">
        <v>2285</v>
      </c>
      <c r="F243" s="57" t="s">
        <v>2244</v>
      </c>
    </row>
    <row r="244" spans="1:6" x14ac:dyDescent="0.3">
      <c r="A244" s="32">
        <v>243</v>
      </c>
      <c r="B244" s="42" t="s">
        <v>75</v>
      </c>
      <c r="C244" s="32" t="str">
        <f>_xlfn.XLOOKUP(Table61011121316[[#This Row],[Category No]],Table8[Category No],Table8[Chapter List],FALSE)</f>
        <v>Early Medieval India's Major Dynasties Part 2 - (750 - 1000)CE</v>
      </c>
      <c r="D244" s="34" t="s">
        <v>2283</v>
      </c>
      <c r="E244" s="34" t="s">
        <v>2285</v>
      </c>
      <c r="F244" s="57"/>
    </row>
    <row r="245" spans="1:6" x14ac:dyDescent="0.3">
      <c r="A245" s="32">
        <v>244</v>
      </c>
      <c r="B245" s="42" t="s">
        <v>75</v>
      </c>
      <c r="C245" s="32" t="str">
        <f>_xlfn.XLOOKUP(Table61011121316[[#This Row],[Category No]],Table8[Category No],Table8[Chapter List],FALSE)</f>
        <v>Early Medieval India's Major Dynasties Part 2 - (750 - 1000)CE</v>
      </c>
      <c r="D245" s="34" t="s">
        <v>2284</v>
      </c>
      <c r="E245" s="34" t="s">
        <v>2285</v>
      </c>
      <c r="F245" s="57"/>
    </row>
    <row r="246" spans="1:6" x14ac:dyDescent="0.3">
      <c r="A246" s="32">
        <v>245</v>
      </c>
      <c r="B246" s="32"/>
      <c r="C246" s="32" t="b">
        <f>_xlfn.XLOOKUP(Table61011121316[[#This Row],[Category No]],Table8[Category No],Table8[Chapter List],FALSE)</f>
        <v>0</v>
      </c>
      <c r="D246" s="34"/>
      <c r="E246" s="34"/>
    </row>
    <row r="247" spans="1:6" x14ac:dyDescent="0.3">
      <c r="A247" s="32">
        <v>246</v>
      </c>
      <c r="B247" s="32"/>
      <c r="C247" s="32" t="b">
        <f>_xlfn.XLOOKUP(Table61011121316[[#This Row],[Category No]],Table8[Category No],Table8[Chapter List],FALSE)</f>
        <v>0</v>
      </c>
      <c r="D247" s="34"/>
      <c r="E247" s="34"/>
    </row>
    <row r="248" spans="1:6" x14ac:dyDescent="0.3">
      <c r="A248" s="32">
        <v>247</v>
      </c>
      <c r="B248" s="32"/>
      <c r="C248" s="32" t="b">
        <f>_xlfn.XLOOKUP(Table61011121316[[#This Row],[Category No]],Table8[Category No],Table8[Chapter List],FALSE)</f>
        <v>0</v>
      </c>
      <c r="D248" s="34"/>
      <c r="E248" s="34"/>
    </row>
    <row r="249" spans="1:6" x14ac:dyDescent="0.3">
      <c r="A249" s="32">
        <v>248</v>
      </c>
      <c r="B249" s="32"/>
      <c r="C249" s="32" t="b">
        <f>_xlfn.XLOOKUP(Table61011121316[[#This Row],[Category No]],Table8[Category No],Table8[Chapter List],FALSE)</f>
        <v>0</v>
      </c>
      <c r="D249" s="34"/>
      <c r="E249" s="34"/>
    </row>
    <row r="250" spans="1:6" x14ac:dyDescent="0.3">
      <c r="A250" s="32">
        <v>249</v>
      </c>
      <c r="B250" s="32"/>
      <c r="C250" s="32" t="b">
        <f>_xlfn.XLOOKUP(Table61011121316[[#This Row],[Category No]],Table8[Category No],Table8[Chapter List],FALSE)</f>
        <v>0</v>
      </c>
      <c r="D250" s="34"/>
      <c r="E250" s="34"/>
    </row>
    <row r="251" spans="1:6" x14ac:dyDescent="0.3">
      <c r="A251" s="32">
        <v>250</v>
      </c>
      <c r="B251" s="32"/>
      <c r="C251" s="32" t="b">
        <f>_xlfn.XLOOKUP(Table61011121316[[#This Row],[Category No]],Table8[Category No],Table8[Chapter List],FALSE)</f>
        <v>0</v>
      </c>
      <c r="D251" s="34"/>
      <c r="E251" s="34"/>
    </row>
    <row r="252" spans="1:6" x14ac:dyDescent="0.3">
      <c r="A252" s="32">
        <v>251</v>
      </c>
      <c r="B252" s="32"/>
      <c r="C252" s="32" t="b">
        <f>_xlfn.XLOOKUP(Table61011121316[[#This Row],[Category No]],Table8[Category No],Table8[Chapter List],FALSE)</f>
        <v>0</v>
      </c>
      <c r="D252" s="34"/>
      <c r="E252" s="34"/>
    </row>
    <row r="253" spans="1:6" x14ac:dyDescent="0.3">
      <c r="A253" s="32">
        <v>252</v>
      </c>
      <c r="B253" s="32"/>
      <c r="C253" s="32" t="b">
        <f>_xlfn.XLOOKUP(Table61011121316[[#This Row],[Category No]],Table8[Category No],Table8[Chapter List],FALSE)</f>
        <v>0</v>
      </c>
      <c r="D253" s="34"/>
      <c r="E253" s="34"/>
    </row>
    <row r="254" spans="1:6" x14ac:dyDescent="0.3">
      <c r="A254" s="32">
        <v>253</v>
      </c>
      <c r="B254" s="32"/>
      <c r="C254" s="32" t="b">
        <f>_xlfn.XLOOKUP(Table61011121316[[#This Row],[Category No]],Table8[Category No],Table8[Chapter List],FALSE)</f>
        <v>0</v>
      </c>
      <c r="D254" s="34"/>
      <c r="E254" s="34"/>
    </row>
    <row r="255" spans="1:6" x14ac:dyDescent="0.3">
      <c r="A255" s="32">
        <v>254</v>
      </c>
      <c r="B255" s="32"/>
      <c r="C255" s="32" t="b">
        <f>_xlfn.XLOOKUP(Table61011121316[[#This Row],[Category No]],Table8[Category No],Table8[Chapter List],FALSE)</f>
        <v>0</v>
      </c>
      <c r="D255" s="34"/>
      <c r="E255" s="34"/>
    </row>
    <row r="256" spans="1:6" x14ac:dyDescent="0.3">
      <c r="A256" s="32">
        <v>255</v>
      </c>
      <c r="B256" s="32"/>
      <c r="C256" s="32" t="b">
        <f>_xlfn.XLOOKUP(Table61011121316[[#This Row],[Category No]],Table8[Category No],Table8[Chapter List],FALSE)</f>
        <v>0</v>
      </c>
      <c r="D256" s="34"/>
      <c r="E256" s="34"/>
    </row>
    <row r="257" spans="1:5" x14ac:dyDescent="0.3">
      <c r="A257" s="32">
        <v>256</v>
      </c>
      <c r="B257" s="32"/>
      <c r="C257" s="32" t="b">
        <f>_xlfn.XLOOKUP(Table61011121316[[#This Row],[Category No]],Table8[Category No],Table8[Chapter List],FALSE)</f>
        <v>0</v>
      </c>
      <c r="D257" s="34"/>
      <c r="E257" s="34"/>
    </row>
    <row r="258" spans="1:5" x14ac:dyDescent="0.3">
      <c r="A258" s="32">
        <v>257</v>
      </c>
      <c r="B258" s="32"/>
      <c r="C258" s="32" t="b">
        <f>_xlfn.XLOOKUP(Table61011121316[[#This Row],[Category No]],Table8[Category No],Table8[Chapter List],FALSE)</f>
        <v>0</v>
      </c>
      <c r="D258" s="34"/>
      <c r="E258" s="34"/>
    </row>
    <row r="259" spans="1:5" x14ac:dyDescent="0.3">
      <c r="A259" s="32">
        <v>258</v>
      </c>
      <c r="B259" s="32"/>
      <c r="C259" s="32" t="b">
        <f>_xlfn.XLOOKUP(Table61011121316[[#This Row],[Category No]],Table8[Category No],Table8[Chapter List],FALSE)</f>
        <v>0</v>
      </c>
      <c r="D259" s="34"/>
      <c r="E259" s="34"/>
    </row>
    <row r="260" spans="1:5" x14ac:dyDescent="0.3">
      <c r="A260" s="32">
        <v>259</v>
      </c>
      <c r="B260" s="32"/>
      <c r="C260" s="32" t="b">
        <f>_xlfn.XLOOKUP(Table61011121316[[#This Row],[Category No]],Table8[Category No],Table8[Chapter List],FALSE)</f>
        <v>0</v>
      </c>
      <c r="D260" s="34"/>
      <c r="E260" s="34"/>
    </row>
    <row r="261" spans="1:5" x14ac:dyDescent="0.3">
      <c r="A261" s="32">
        <v>260</v>
      </c>
      <c r="B261" s="32"/>
      <c r="C261" s="32" t="b">
        <f>_xlfn.XLOOKUP(Table61011121316[[#This Row],[Category No]],Table8[Category No],Table8[Chapter List],FALSE)</f>
        <v>0</v>
      </c>
      <c r="D261" s="34"/>
      <c r="E261" s="34"/>
    </row>
    <row r="262" spans="1:5" x14ac:dyDescent="0.3">
      <c r="A262" s="32">
        <v>261</v>
      </c>
      <c r="B262" s="32"/>
      <c r="C262" s="32" t="b">
        <f>_xlfn.XLOOKUP(Table61011121316[[#This Row],[Category No]],Table8[Category No],Table8[Chapter List],FALSE)</f>
        <v>0</v>
      </c>
      <c r="D262" s="34"/>
      <c r="E262" s="34"/>
    </row>
    <row r="263" spans="1:5" x14ac:dyDescent="0.3">
      <c r="A263" s="32">
        <v>262</v>
      </c>
      <c r="B263" s="32"/>
      <c r="C263" s="32" t="b">
        <f>_xlfn.XLOOKUP(Table61011121316[[#This Row],[Category No]],Table8[Category No],Table8[Chapter List],FALSE)</f>
        <v>0</v>
      </c>
      <c r="D263" s="34"/>
      <c r="E263" s="34"/>
    </row>
    <row r="264" spans="1:5" x14ac:dyDescent="0.3">
      <c r="A264" s="32">
        <v>263</v>
      </c>
      <c r="B264" s="32"/>
      <c r="C264" s="32" t="b">
        <f>_xlfn.XLOOKUP(Table61011121316[[#This Row],[Category No]],Table8[Category No],Table8[Chapter List],FALSE)</f>
        <v>0</v>
      </c>
      <c r="D264" s="34"/>
      <c r="E264" s="34"/>
    </row>
    <row r="265" spans="1:5" x14ac:dyDescent="0.3">
      <c r="A265" s="32">
        <v>264</v>
      </c>
      <c r="B265" s="32"/>
      <c r="C265" s="32" t="b">
        <f>_xlfn.XLOOKUP(Table61011121316[[#This Row],[Category No]],Table8[Category No],Table8[Chapter List],FALSE)</f>
        <v>0</v>
      </c>
      <c r="D265" s="34"/>
      <c r="E265" s="34"/>
    </row>
    <row r="266" spans="1:5" x14ac:dyDescent="0.3">
      <c r="A266" s="32">
        <v>265</v>
      </c>
      <c r="B266" s="32"/>
      <c r="C266" s="32" t="b">
        <f>_xlfn.XLOOKUP(Table61011121316[[#This Row],[Category No]],Table8[Category No],Table8[Chapter List],FALSE)</f>
        <v>0</v>
      </c>
      <c r="D266" s="34"/>
      <c r="E266" s="34"/>
    </row>
    <row r="267" spans="1:5" x14ac:dyDescent="0.3">
      <c r="A267" s="32">
        <v>266</v>
      </c>
      <c r="B267" s="32"/>
      <c r="C267" s="32" t="b">
        <f>_xlfn.XLOOKUP(Table61011121316[[#This Row],[Category No]],Table8[Category No],Table8[Chapter List],FALSE)</f>
        <v>0</v>
      </c>
      <c r="D267" s="34"/>
      <c r="E267" s="34"/>
    </row>
    <row r="268" spans="1:5" x14ac:dyDescent="0.3">
      <c r="A268" s="32">
        <v>267</v>
      </c>
      <c r="B268" s="32"/>
      <c r="C268" s="32" t="b">
        <f>_xlfn.XLOOKUP(Table61011121316[[#This Row],[Category No]],Table8[Category No],Table8[Chapter List],FALSE)</f>
        <v>0</v>
      </c>
      <c r="D268" s="34"/>
      <c r="E268" s="34"/>
    </row>
    <row r="269" spans="1:5" x14ac:dyDescent="0.3">
      <c r="A269" s="32">
        <v>268</v>
      </c>
      <c r="B269" s="32"/>
      <c r="C269" s="32" t="b">
        <f>_xlfn.XLOOKUP(Table61011121316[[#This Row],[Category No]],Table8[Category No],Table8[Chapter List],FALSE)</f>
        <v>0</v>
      </c>
      <c r="D269" s="34"/>
      <c r="E269" s="34"/>
    </row>
    <row r="270" spans="1:5" x14ac:dyDescent="0.3">
      <c r="A270" s="32">
        <v>269</v>
      </c>
      <c r="B270" s="32"/>
      <c r="C270" s="32" t="b">
        <f>_xlfn.XLOOKUP(Table61011121316[[#This Row],[Category No]],Table8[Category No],Table8[Chapter List],FALSE)</f>
        <v>0</v>
      </c>
      <c r="D270" s="34"/>
      <c r="E270" s="34"/>
    </row>
    <row r="271" spans="1:5" x14ac:dyDescent="0.3">
      <c r="A271" s="32">
        <v>270</v>
      </c>
      <c r="B271" s="32"/>
      <c r="C271" s="32" t="b">
        <f>_xlfn.XLOOKUP(Table61011121316[[#This Row],[Category No]],Table8[Category No],Table8[Chapter List],FALSE)</f>
        <v>0</v>
      </c>
      <c r="D271" s="34"/>
      <c r="E271" s="34"/>
    </row>
    <row r="272" spans="1:5" x14ac:dyDescent="0.3">
      <c r="A272" s="32">
        <v>271</v>
      </c>
      <c r="B272" s="32"/>
      <c r="C272" s="32" t="b">
        <f>_xlfn.XLOOKUP(Table61011121316[[#This Row],[Category No]],Table8[Category No],Table8[Chapter List],FALSE)</f>
        <v>0</v>
      </c>
      <c r="D272" s="34"/>
      <c r="E272" s="34"/>
    </row>
    <row r="273" spans="1:5" x14ac:dyDescent="0.3">
      <c r="A273" s="32">
        <v>272</v>
      </c>
      <c r="B273" s="32"/>
      <c r="C273" s="32" t="b">
        <f>_xlfn.XLOOKUP(Table61011121316[[#This Row],[Category No]],Table8[Category No],Table8[Chapter List],FALSE)</f>
        <v>0</v>
      </c>
      <c r="D273" s="34"/>
      <c r="E273" s="34"/>
    </row>
    <row r="274" spans="1:5" x14ac:dyDescent="0.3">
      <c r="A274" s="32">
        <v>273</v>
      </c>
      <c r="B274" s="32"/>
      <c r="C274" s="32" t="b">
        <f>_xlfn.XLOOKUP(Table61011121316[[#This Row],[Category No]],Table8[Category No],Table8[Chapter List],FALSE)</f>
        <v>0</v>
      </c>
      <c r="D274" s="34"/>
      <c r="E274" s="34"/>
    </row>
    <row r="275" spans="1:5" x14ac:dyDescent="0.3">
      <c r="A275" s="32">
        <v>274</v>
      </c>
      <c r="B275" s="32"/>
      <c r="C275" s="32" t="b">
        <f>_xlfn.XLOOKUP(Table61011121316[[#This Row],[Category No]],Table8[Category No],Table8[Chapter List],FALSE)</f>
        <v>0</v>
      </c>
      <c r="D275" s="34"/>
      <c r="E275" s="34"/>
    </row>
    <row r="276" spans="1:5" x14ac:dyDescent="0.3">
      <c r="A276" s="32">
        <v>275</v>
      </c>
      <c r="B276" s="32"/>
      <c r="C276" s="32" t="b">
        <f>_xlfn.XLOOKUP(Table61011121316[[#This Row],[Category No]],Table8[Category No],Table8[Chapter List],FALSE)</f>
        <v>0</v>
      </c>
      <c r="D276" s="34"/>
      <c r="E276" s="34"/>
    </row>
    <row r="277" spans="1:5" x14ac:dyDescent="0.3">
      <c r="A277" s="32">
        <v>276</v>
      </c>
      <c r="B277" s="32"/>
      <c r="C277" s="32" t="b">
        <f>_xlfn.XLOOKUP(Table61011121316[[#This Row],[Category No]],Table8[Category No],Table8[Chapter List],FALSE)</f>
        <v>0</v>
      </c>
      <c r="D277" s="34"/>
      <c r="E277" s="34"/>
    </row>
    <row r="278" spans="1:5" x14ac:dyDescent="0.3">
      <c r="A278" s="32">
        <v>277</v>
      </c>
      <c r="B278" s="32"/>
      <c r="C278" s="32" t="b">
        <f>_xlfn.XLOOKUP(Table61011121316[[#This Row],[Category No]],Table8[Category No],Table8[Chapter List],FALSE)</f>
        <v>0</v>
      </c>
      <c r="D278" s="34"/>
      <c r="E278" s="34"/>
    </row>
    <row r="279" spans="1:5" x14ac:dyDescent="0.3">
      <c r="A279" s="32">
        <v>278</v>
      </c>
      <c r="B279" s="32"/>
      <c r="C279" s="32" t="b">
        <f>_xlfn.XLOOKUP(Table61011121316[[#This Row],[Category No]],Table8[Category No],Table8[Chapter List],FALSE)</f>
        <v>0</v>
      </c>
      <c r="D279" s="34"/>
      <c r="E279" s="34"/>
    </row>
    <row r="280" spans="1:5" x14ac:dyDescent="0.3">
      <c r="A280" s="32">
        <v>279</v>
      </c>
      <c r="B280" s="32"/>
      <c r="C280" s="32" t="b">
        <f>_xlfn.XLOOKUP(Table61011121316[[#This Row],[Category No]],Table8[Category No],Table8[Chapter List],FALSE)</f>
        <v>0</v>
      </c>
      <c r="D280" s="34"/>
      <c r="E280" s="34"/>
    </row>
    <row r="281" spans="1:5" x14ac:dyDescent="0.3">
      <c r="A281" s="32">
        <v>280</v>
      </c>
      <c r="B281" s="32"/>
      <c r="C281" s="32" t="b">
        <f>_xlfn.XLOOKUP(Table61011121316[[#This Row],[Category No]],Table8[Category No],Table8[Chapter List],FALSE)</f>
        <v>0</v>
      </c>
      <c r="D281" s="34"/>
      <c r="E281" s="34"/>
    </row>
    <row r="282" spans="1:5" x14ac:dyDescent="0.3">
      <c r="A282" s="32">
        <v>281</v>
      </c>
      <c r="B282" s="32"/>
      <c r="C282" s="32" t="b">
        <f>_xlfn.XLOOKUP(Table61011121316[[#This Row],[Category No]],Table8[Category No],Table8[Chapter List],FALSE)</f>
        <v>0</v>
      </c>
      <c r="D282" s="34"/>
      <c r="E282" s="34"/>
    </row>
    <row r="283" spans="1:5" x14ac:dyDescent="0.3">
      <c r="A283" s="32">
        <v>282</v>
      </c>
      <c r="B283" s="32"/>
      <c r="C283" s="32" t="b">
        <f>_xlfn.XLOOKUP(Table61011121316[[#This Row],[Category No]],Table8[Category No],Table8[Chapter List],FALSE)</f>
        <v>0</v>
      </c>
      <c r="D283" s="34"/>
      <c r="E283" s="34"/>
    </row>
    <row r="284" spans="1:5" x14ac:dyDescent="0.3">
      <c r="A284" s="32">
        <v>283</v>
      </c>
      <c r="B284" s="32"/>
      <c r="C284" s="32" t="b">
        <f>_xlfn.XLOOKUP(Table61011121316[[#This Row],[Category No]],Table8[Category No],Table8[Chapter List],FALSE)</f>
        <v>0</v>
      </c>
      <c r="D284" s="34"/>
      <c r="E284" s="34"/>
    </row>
    <row r="285" spans="1:5" x14ac:dyDescent="0.3">
      <c r="A285" s="32">
        <v>284</v>
      </c>
      <c r="B285" s="32"/>
      <c r="C285" s="32" t="b">
        <f>_xlfn.XLOOKUP(Table61011121316[[#This Row],[Category No]],Table8[Category No],Table8[Chapter List],FALSE)</f>
        <v>0</v>
      </c>
      <c r="D285" s="34"/>
      <c r="E285" s="34"/>
    </row>
    <row r="286" spans="1:5" x14ac:dyDescent="0.3">
      <c r="A286" s="32">
        <v>285</v>
      </c>
      <c r="B286" s="32"/>
      <c r="C286" s="32" t="b">
        <f>_xlfn.XLOOKUP(Table61011121316[[#This Row],[Category No]],Table8[Category No],Table8[Chapter List],FALSE)</f>
        <v>0</v>
      </c>
      <c r="D286" s="34"/>
      <c r="E286" s="34"/>
    </row>
    <row r="287" spans="1:5" x14ac:dyDescent="0.3">
      <c r="A287" s="32">
        <v>286</v>
      </c>
      <c r="B287" s="32"/>
      <c r="C287" s="32" t="b">
        <f>_xlfn.XLOOKUP(Table61011121316[[#This Row],[Category No]],Table8[Category No],Table8[Chapter List],FALSE)</f>
        <v>0</v>
      </c>
      <c r="D287" s="34"/>
      <c r="E287" s="34"/>
    </row>
    <row r="288" spans="1:5" x14ac:dyDescent="0.3">
      <c r="A288" s="32">
        <v>287</v>
      </c>
      <c r="B288" s="32"/>
      <c r="C288" s="32" t="b">
        <f>_xlfn.XLOOKUP(Table61011121316[[#This Row],[Category No]],Table8[Category No],Table8[Chapter List],FALSE)</f>
        <v>0</v>
      </c>
      <c r="D288" s="34"/>
      <c r="E288" s="34"/>
    </row>
    <row r="289" spans="1:5" x14ac:dyDescent="0.3">
      <c r="A289" s="32">
        <v>288</v>
      </c>
      <c r="B289" s="32"/>
      <c r="C289" s="32" t="b">
        <f>_xlfn.XLOOKUP(Table61011121316[[#This Row],[Category No]],Table8[Category No],Table8[Chapter List],FALSE)</f>
        <v>0</v>
      </c>
      <c r="D289" s="34"/>
      <c r="E289" s="34"/>
    </row>
    <row r="290" spans="1:5" x14ac:dyDescent="0.3">
      <c r="A290" s="32">
        <v>289</v>
      </c>
      <c r="B290" s="32"/>
      <c r="C290" s="32" t="b">
        <f>_xlfn.XLOOKUP(Table61011121316[[#This Row],[Category No]],Table8[Category No],Table8[Chapter List],FALSE)</f>
        <v>0</v>
      </c>
      <c r="D290" s="34"/>
      <c r="E290" s="34"/>
    </row>
    <row r="291" spans="1:5" x14ac:dyDescent="0.3">
      <c r="A291" s="32">
        <v>290</v>
      </c>
      <c r="B291" s="32"/>
      <c r="C291" s="32" t="b">
        <f>_xlfn.XLOOKUP(Table61011121316[[#This Row],[Category No]],Table8[Category No],Table8[Chapter List],FALSE)</f>
        <v>0</v>
      </c>
      <c r="D291" s="34"/>
      <c r="E291" s="34"/>
    </row>
    <row r="292" spans="1:5" x14ac:dyDescent="0.3">
      <c r="A292" s="32">
        <v>291</v>
      </c>
      <c r="B292" s="32"/>
      <c r="C292" s="32" t="b">
        <f>_xlfn.XLOOKUP(Table61011121316[[#This Row],[Category No]],Table8[Category No],Table8[Chapter List],FALSE)</f>
        <v>0</v>
      </c>
      <c r="D292" s="34"/>
      <c r="E292" s="34"/>
    </row>
    <row r="293" spans="1:5" x14ac:dyDescent="0.3">
      <c r="A293" s="32">
        <v>292</v>
      </c>
      <c r="B293" s="32"/>
      <c r="C293" s="32" t="b">
        <f>_xlfn.XLOOKUP(Table61011121316[[#This Row],[Category No]],Table8[Category No],Table8[Chapter List],FALSE)</f>
        <v>0</v>
      </c>
      <c r="D293" s="34"/>
      <c r="E293" s="34"/>
    </row>
    <row r="294" spans="1:5" x14ac:dyDescent="0.3">
      <c r="A294" s="32">
        <v>293</v>
      </c>
      <c r="B294" s="32"/>
      <c r="C294" s="32" t="b">
        <f>_xlfn.XLOOKUP(Table61011121316[[#This Row],[Category No]],Table8[Category No],Table8[Chapter List],FALSE)</f>
        <v>0</v>
      </c>
      <c r="D294" s="34"/>
      <c r="E294" s="34"/>
    </row>
    <row r="295" spans="1:5" x14ac:dyDescent="0.3">
      <c r="A295" s="32">
        <v>294</v>
      </c>
      <c r="B295" s="32"/>
      <c r="C295" s="32" t="b">
        <f>_xlfn.XLOOKUP(Table61011121316[[#This Row],[Category No]],Table8[Category No],Table8[Chapter List],FALSE)</f>
        <v>0</v>
      </c>
      <c r="D295" s="34"/>
      <c r="E295" s="34"/>
    </row>
    <row r="296" spans="1:5" x14ac:dyDescent="0.3">
      <c r="A296" s="32">
        <v>295</v>
      </c>
      <c r="B296" s="32"/>
      <c r="C296" s="32" t="b">
        <f>_xlfn.XLOOKUP(Table61011121316[[#This Row],[Category No]],Table8[Category No],Table8[Chapter List],FALSE)</f>
        <v>0</v>
      </c>
      <c r="D296" s="34"/>
      <c r="E296" s="34"/>
    </row>
    <row r="297" spans="1:5" x14ac:dyDescent="0.3">
      <c r="A297" s="32">
        <v>296</v>
      </c>
      <c r="B297" s="32"/>
      <c r="C297" s="32" t="b">
        <f>_xlfn.XLOOKUP(Table61011121316[[#This Row],[Category No]],Table8[Category No],Table8[Chapter List],FALSE)</f>
        <v>0</v>
      </c>
      <c r="D297" s="34"/>
      <c r="E297" s="34"/>
    </row>
    <row r="298" spans="1:5" x14ac:dyDescent="0.3">
      <c r="A298" s="32">
        <v>297</v>
      </c>
      <c r="B298" s="32"/>
      <c r="C298" s="32" t="b">
        <f>_xlfn.XLOOKUP(Table61011121316[[#This Row],[Category No]],Table8[Category No],Table8[Chapter List],FALSE)</f>
        <v>0</v>
      </c>
      <c r="D298" s="34"/>
      <c r="E298" s="34"/>
    </row>
    <row r="299" spans="1:5" x14ac:dyDescent="0.3">
      <c r="A299" s="32">
        <v>298</v>
      </c>
      <c r="B299" s="32"/>
      <c r="C299" s="32" t="b">
        <f>_xlfn.XLOOKUP(Table61011121316[[#This Row],[Category No]],Table8[Category No],Table8[Chapter List],FALSE)</f>
        <v>0</v>
      </c>
      <c r="D299" s="34"/>
      <c r="E299" s="34"/>
    </row>
    <row r="300" spans="1:5" x14ac:dyDescent="0.3">
      <c r="A300" s="32">
        <v>299</v>
      </c>
      <c r="B300" s="32"/>
      <c r="C300" s="32" t="b">
        <f>_xlfn.XLOOKUP(Table61011121316[[#This Row],[Category No]],Table8[Category No],Table8[Chapter List],FALSE)</f>
        <v>0</v>
      </c>
      <c r="D300" s="34"/>
      <c r="E300" s="34"/>
    </row>
    <row r="301" spans="1:5" x14ac:dyDescent="0.3">
      <c r="A301" s="32">
        <v>300</v>
      </c>
      <c r="B301" s="32"/>
      <c r="C301" s="32" t="b">
        <f>_xlfn.XLOOKUP(Table61011121316[[#This Row],[Category No]],Table8[Category No],Table8[Chapter List],FALSE)</f>
        <v>0</v>
      </c>
      <c r="D301" s="34"/>
      <c r="E301" s="34"/>
    </row>
    <row r="302" spans="1:5" x14ac:dyDescent="0.3">
      <c r="A302" s="32">
        <v>301</v>
      </c>
      <c r="B302" s="32"/>
      <c r="C302" s="32" t="b">
        <f>_xlfn.XLOOKUP(Table61011121316[[#This Row],[Category No]],Table8[Category No],Table8[Chapter List],FALSE)</f>
        <v>0</v>
      </c>
      <c r="D302" s="34"/>
      <c r="E302" s="34"/>
    </row>
    <row r="303" spans="1:5" x14ac:dyDescent="0.3">
      <c r="A303" s="32">
        <v>302</v>
      </c>
      <c r="B303" s="32"/>
      <c r="C303" s="32" t="b">
        <f>_xlfn.XLOOKUP(Table61011121316[[#This Row],[Category No]],Table8[Category No],Table8[Chapter List],FALSE)</f>
        <v>0</v>
      </c>
      <c r="D303" s="34"/>
      <c r="E303" s="34"/>
    </row>
    <row r="304" spans="1:5" x14ac:dyDescent="0.3">
      <c r="A304" s="32">
        <v>303</v>
      </c>
      <c r="B304" s="32"/>
      <c r="C304" s="32" t="b">
        <f>_xlfn.XLOOKUP(Table61011121316[[#This Row],[Category No]],Table8[Category No],Table8[Chapter List],FALSE)</f>
        <v>0</v>
      </c>
      <c r="D304" s="34"/>
      <c r="E304" s="34"/>
    </row>
    <row r="305" spans="1:5" x14ac:dyDescent="0.3">
      <c r="A305" s="32">
        <v>304</v>
      </c>
      <c r="B305" s="32"/>
      <c r="C305" s="32" t="b">
        <f>_xlfn.XLOOKUP(Table61011121316[[#This Row],[Category No]],Table8[Category No],Table8[Chapter List],FALSE)</f>
        <v>0</v>
      </c>
      <c r="D305" s="34"/>
      <c r="E305" s="34"/>
    </row>
    <row r="306" spans="1:5" x14ac:dyDescent="0.3">
      <c r="A306" s="32">
        <v>305</v>
      </c>
      <c r="B306" s="32"/>
      <c r="C306" s="32" t="b">
        <f>_xlfn.XLOOKUP(Table61011121316[[#This Row],[Category No]],Table8[Category No],Table8[Chapter List],FALSE)</f>
        <v>0</v>
      </c>
      <c r="D306" s="34"/>
      <c r="E306" s="34"/>
    </row>
    <row r="307" spans="1:5" x14ac:dyDescent="0.3">
      <c r="A307" s="32">
        <v>306</v>
      </c>
      <c r="B307" s="32"/>
      <c r="C307" s="32" t="b">
        <f>_xlfn.XLOOKUP(Table61011121316[[#This Row],[Category No]],Table8[Category No],Table8[Chapter List],FALSE)</f>
        <v>0</v>
      </c>
      <c r="D307" s="34"/>
      <c r="E307" s="34"/>
    </row>
    <row r="308" spans="1:5" x14ac:dyDescent="0.3">
      <c r="A308" s="32">
        <v>307</v>
      </c>
      <c r="B308" s="32"/>
      <c r="C308" s="32" t="b">
        <f>_xlfn.XLOOKUP(Table61011121316[[#This Row],[Category No]],Table8[Category No],Table8[Chapter List],FALSE)</f>
        <v>0</v>
      </c>
      <c r="D308" s="34"/>
      <c r="E308" s="34"/>
    </row>
    <row r="309" spans="1:5" x14ac:dyDescent="0.3">
      <c r="A309" s="32">
        <v>308</v>
      </c>
      <c r="B309" s="32"/>
      <c r="C309" s="32" t="b">
        <f>_xlfn.XLOOKUP(Table61011121316[[#This Row],[Category No]],Table8[Category No],Table8[Chapter List],FALSE)</f>
        <v>0</v>
      </c>
      <c r="D309" s="34"/>
      <c r="E309" s="34"/>
    </row>
    <row r="310" spans="1:5" x14ac:dyDescent="0.3">
      <c r="A310" s="32">
        <v>309</v>
      </c>
      <c r="B310" s="32"/>
      <c r="C310" s="32" t="b">
        <f>_xlfn.XLOOKUP(Table61011121316[[#This Row],[Category No]],Table8[Category No],Table8[Chapter List],FALSE)</f>
        <v>0</v>
      </c>
      <c r="D310" s="34"/>
      <c r="E310" s="34"/>
    </row>
    <row r="311" spans="1:5" x14ac:dyDescent="0.3">
      <c r="A311" s="32">
        <v>310</v>
      </c>
      <c r="B311" s="32"/>
      <c r="C311" s="32" t="b">
        <f>_xlfn.XLOOKUP(Table61011121316[[#This Row],[Category No]],Table8[Category No],Table8[Chapter List],FALSE)</f>
        <v>0</v>
      </c>
      <c r="D311" s="34"/>
      <c r="E311" s="34"/>
    </row>
    <row r="312" spans="1:5" x14ac:dyDescent="0.3">
      <c r="A312" s="32">
        <v>311</v>
      </c>
      <c r="B312" s="32"/>
      <c r="C312" s="32" t="b">
        <f>_xlfn.XLOOKUP(Table61011121316[[#This Row],[Category No]],Table8[Category No],Table8[Chapter List],FALSE)</f>
        <v>0</v>
      </c>
      <c r="D312" s="34"/>
      <c r="E312" s="34"/>
    </row>
    <row r="313" spans="1:5" x14ac:dyDescent="0.3">
      <c r="A313" s="32">
        <v>312</v>
      </c>
      <c r="B313" s="32"/>
      <c r="C313" s="32" t="b">
        <f>_xlfn.XLOOKUP(Table61011121316[[#This Row],[Category No]],Table8[Category No],Table8[Chapter List],FALSE)</f>
        <v>0</v>
      </c>
      <c r="D313" s="34"/>
      <c r="E313" s="34"/>
    </row>
    <row r="314" spans="1:5" x14ac:dyDescent="0.3">
      <c r="A314" s="32">
        <v>313</v>
      </c>
      <c r="B314" s="32"/>
      <c r="C314" s="32" t="b">
        <f>_xlfn.XLOOKUP(Table61011121316[[#This Row],[Category No]],Table8[Category No],Table8[Chapter List],FALSE)</f>
        <v>0</v>
      </c>
      <c r="D314" s="34"/>
      <c r="E314" s="34"/>
    </row>
    <row r="315" spans="1:5" x14ac:dyDescent="0.3">
      <c r="A315" s="32">
        <v>314</v>
      </c>
      <c r="B315" s="32"/>
      <c r="C315" s="32" t="b">
        <f>_xlfn.XLOOKUP(Table61011121316[[#This Row],[Category No]],Table8[Category No],Table8[Chapter List],FALSE)</f>
        <v>0</v>
      </c>
      <c r="D315" s="34"/>
      <c r="E315" s="34"/>
    </row>
    <row r="316" spans="1:5" x14ac:dyDescent="0.3">
      <c r="A316" s="32">
        <v>315</v>
      </c>
      <c r="B316" s="32"/>
      <c r="C316" s="32" t="b">
        <f>_xlfn.XLOOKUP(Table61011121316[[#This Row],[Category No]],Table8[Category No],Table8[Chapter List],FALSE)</f>
        <v>0</v>
      </c>
      <c r="D316" s="34"/>
      <c r="E316" s="34"/>
    </row>
    <row r="317" spans="1:5" x14ac:dyDescent="0.3">
      <c r="A317" s="32">
        <v>316</v>
      </c>
      <c r="B317" s="32"/>
      <c r="C317" s="32" t="b">
        <f>_xlfn.XLOOKUP(Table61011121316[[#This Row],[Category No]],Table8[Category No],Table8[Chapter List],FALSE)</f>
        <v>0</v>
      </c>
      <c r="D317" s="34"/>
      <c r="E317" s="34"/>
    </row>
    <row r="318" spans="1:5" x14ac:dyDescent="0.3">
      <c r="A318" s="32">
        <v>317</v>
      </c>
      <c r="B318" s="32"/>
      <c r="C318" s="32" t="b">
        <f>_xlfn.XLOOKUP(Table61011121316[[#This Row],[Category No]],Table8[Category No],Table8[Chapter List],FALSE)</f>
        <v>0</v>
      </c>
      <c r="D318" s="34"/>
      <c r="E318" s="34"/>
    </row>
    <row r="319" spans="1:5" x14ac:dyDescent="0.3">
      <c r="A319" s="32">
        <v>318</v>
      </c>
      <c r="B319" s="32"/>
      <c r="C319" s="32" t="b">
        <f>_xlfn.XLOOKUP(Table61011121316[[#This Row],[Category No]],Table8[Category No],Table8[Chapter List],FALSE)</f>
        <v>0</v>
      </c>
      <c r="D319" s="34"/>
      <c r="E319" s="34"/>
    </row>
    <row r="320" spans="1:5" x14ac:dyDescent="0.3">
      <c r="A320" s="32">
        <v>319</v>
      </c>
      <c r="B320" s="32"/>
      <c r="C320" s="32" t="b">
        <f>_xlfn.XLOOKUP(Table61011121316[[#This Row],[Category No]],Table8[Category No],Table8[Chapter List],FALSE)</f>
        <v>0</v>
      </c>
      <c r="D320" s="34"/>
      <c r="E320" s="34"/>
    </row>
    <row r="321" spans="1:5" x14ac:dyDescent="0.3">
      <c r="A321" s="32">
        <v>320</v>
      </c>
      <c r="B321" s="32"/>
      <c r="C321" s="32" t="b">
        <f>_xlfn.XLOOKUP(Table61011121316[[#This Row],[Category No]],Table8[Category No],Table8[Chapter List],FALSE)</f>
        <v>0</v>
      </c>
      <c r="D321" s="34"/>
      <c r="E321" s="34"/>
    </row>
    <row r="322" spans="1:5" x14ac:dyDescent="0.3">
      <c r="A322" s="32">
        <v>321</v>
      </c>
      <c r="B322" s="32"/>
      <c r="C322" s="32" t="b">
        <f>_xlfn.XLOOKUP(Table61011121316[[#This Row],[Category No]],Table8[Category No],Table8[Chapter List],FALSE)</f>
        <v>0</v>
      </c>
      <c r="D322" s="34"/>
      <c r="E322" s="34"/>
    </row>
    <row r="323" spans="1:5" x14ac:dyDescent="0.3">
      <c r="A323" s="32">
        <v>322</v>
      </c>
      <c r="B323" s="32"/>
      <c r="C323" s="32" t="b">
        <f>_xlfn.XLOOKUP(Table61011121316[[#This Row],[Category No]],Table8[Category No],Table8[Chapter List],FALSE)</f>
        <v>0</v>
      </c>
      <c r="D323" s="34"/>
      <c r="E323" s="34"/>
    </row>
    <row r="324" spans="1:5" x14ac:dyDescent="0.3">
      <c r="A324" s="32">
        <v>323</v>
      </c>
      <c r="B324" s="32"/>
      <c r="C324" s="32" t="b">
        <f>_xlfn.XLOOKUP(Table61011121316[[#This Row],[Category No]],Table8[Category No],Table8[Chapter List],FALSE)</f>
        <v>0</v>
      </c>
      <c r="D324" s="34"/>
      <c r="E324" s="34"/>
    </row>
    <row r="325" spans="1:5" x14ac:dyDescent="0.3">
      <c r="A325" s="32">
        <v>324</v>
      </c>
      <c r="B325" s="32"/>
      <c r="C325" s="32" t="b">
        <f>_xlfn.XLOOKUP(Table61011121316[[#This Row],[Category No]],Table8[Category No],Table8[Chapter List],FALSE)</f>
        <v>0</v>
      </c>
      <c r="D325" s="34"/>
      <c r="E325" s="34"/>
    </row>
    <row r="326" spans="1:5" x14ac:dyDescent="0.3">
      <c r="A326" s="32">
        <v>325</v>
      </c>
      <c r="B326" s="32"/>
      <c r="C326" s="32" t="b">
        <f>_xlfn.XLOOKUP(Table61011121316[[#This Row],[Category No]],Table8[Category No],Table8[Chapter List],FALSE)</f>
        <v>0</v>
      </c>
      <c r="D326" s="34"/>
      <c r="E326" s="34"/>
    </row>
    <row r="327" spans="1:5" x14ac:dyDescent="0.3">
      <c r="A327" s="32">
        <v>326</v>
      </c>
      <c r="B327" s="32"/>
      <c r="C327" s="32" t="b">
        <f>_xlfn.XLOOKUP(Table61011121316[[#This Row],[Category No]],Table8[Category No],Table8[Chapter List],FALSE)</f>
        <v>0</v>
      </c>
      <c r="D327" s="34"/>
      <c r="E327" s="34"/>
    </row>
    <row r="328" spans="1:5" x14ac:dyDescent="0.3">
      <c r="A328" s="32">
        <v>327</v>
      </c>
      <c r="B328" s="32"/>
      <c r="C328" s="32" t="b">
        <f>_xlfn.XLOOKUP(Table61011121316[[#This Row],[Category No]],Table8[Category No],Table8[Chapter List],FALSE)</f>
        <v>0</v>
      </c>
      <c r="D328" s="34"/>
      <c r="E328" s="34"/>
    </row>
    <row r="329" spans="1:5" x14ac:dyDescent="0.3">
      <c r="A329" s="32">
        <v>328</v>
      </c>
      <c r="B329" s="32"/>
      <c r="C329" s="32" t="b">
        <f>_xlfn.XLOOKUP(Table61011121316[[#This Row],[Category No]],Table8[Category No],Table8[Chapter List],FALSE)</f>
        <v>0</v>
      </c>
      <c r="D329" s="34"/>
      <c r="E329" s="34"/>
    </row>
    <row r="330" spans="1:5" x14ac:dyDescent="0.3">
      <c r="A330" s="32">
        <v>329</v>
      </c>
      <c r="B330" s="32"/>
      <c r="C330" s="32" t="b">
        <f>_xlfn.XLOOKUP(Table61011121316[[#This Row],[Category No]],Table8[Category No],Table8[Chapter List],FALSE)</f>
        <v>0</v>
      </c>
      <c r="D330" s="34"/>
      <c r="E330" s="34"/>
    </row>
    <row r="331" spans="1:5" x14ac:dyDescent="0.3">
      <c r="A331" s="32">
        <v>330</v>
      </c>
      <c r="B331" s="32"/>
      <c r="C331" s="32" t="b">
        <f>_xlfn.XLOOKUP(Table61011121316[[#This Row],[Category No]],Table8[Category No],Table8[Chapter List],FALSE)</f>
        <v>0</v>
      </c>
      <c r="D331" s="34"/>
      <c r="E331" s="34"/>
    </row>
    <row r="332" spans="1:5" x14ac:dyDescent="0.3">
      <c r="A332" s="32">
        <v>331</v>
      </c>
      <c r="B332" s="32"/>
      <c r="C332" s="32" t="b">
        <f>_xlfn.XLOOKUP(Table61011121316[[#This Row],[Category No]],Table8[Category No],Table8[Chapter List],FALSE)</f>
        <v>0</v>
      </c>
      <c r="D332" s="34"/>
      <c r="E332" s="34"/>
    </row>
    <row r="333" spans="1:5" x14ac:dyDescent="0.3">
      <c r="A333" s="32">
        <v>332</v>
      </c>
      <c r="B333" s="32"/>
      <c r="C333" s="32" t="b">
        <f>_xlfn.XLOOKUP(Table61011121316[[#This Row],[Category No]],Table8[Category No],Table8[Chapter List],FALSE)</f>
        <v>0</v>
      </c>
      <c r="D333" s="34"/>
      <c r="E333" s="34"/>
    </row>
    <row r="334" spans="1:5" x14ac:dyDescent="0.3">
      <c r="A334" s="32">
        <v>333</v>
      </c>
      <c r="B334" s="32"/>
      <c r="C334" s="32" t="b">
        <f>_xlfn.XLOOKUP(Table61011121316[[#This Row],[Category No]],Table8[Category No],Table8[Chapter List],FALSE)</f>
        <v>0</v>
      </c>
      <c r="D334" s="34"/>
      <c r="E334" s="34"/>
    </row>
    <row r="335" spans="1:5" x14ac:dyDescent="0.3">
      <c r="A335" s="32">
        <v>334</v>
      </c>
      <c r="B335" s="32"/>
      <c r="C335" s="32" t="b">
        <f>_xlfn.XLOOKUP(Table61011121316[[#This Row],[Category No]],Table8[Category No],Table8[Chapter List],FALSE)</f>
        <v>0</v>
      </c>
      <c r="D335" s="34"/>
      <c r="E335" s="34"/>
    </row>
    <row r="336" spans="1:5" x14ac:dyDescent="0.3">
      <c r="A336" s="32">
        <v>335</v>
      </c>
      <c r="B336" s="32"/>
      <c r="C336" s="32" t="b">
        <f>_xlfn.XLOOKUP(Table61011121316[[#This Row],[Category No]],Table8[Category No],Table8[Chapter List],FALSE)</f>
        <v>0</v>
      </c>
      <c r="D336" s="34"/>
      <c r="E336" s="34"/>
    </row>
    <row r="337" spans="1:5" x14ac:dyDescent="0.3">
      <c r="A337" s="32">
        <v>336</v>
      </c>
      <c r="B337" s="32"/>
      <c r="C337" s="32" t="b">
        <f>_xlfn.XLOOKUP(Table61011121316[[#This Row],[Category No]],Table8[Category No],Table8[Chapter List],FALSE)</f>
        <v>0</v>
      </c>
      <c r="D337" s="34"/>
      <c r="E337" s="34"/>
    </row>
    <row r="338" spans="1:5" x14ac:dyDescent="0.3">
      <c r="A338" s="32">
        <v>337</v>
      </c>
      <c r="B338" s="32"/>
      <c r="C338" s="32" t="b">
        <f>_xlfn.XLOOKUP(Table61011121316[[#This Row],[Category No]],Table8[Category No],Table8[Chapter List],FALSE)</f>
        <v>0</v>
      </c>
      <c r="D338" s="34"/>
      <c r="E338" s="34"/>
    </row>
    <row r="339" spans="1:5" x14ac:dyDescent="0.3">
      <c r="A339" s="32">
        <v>338</v>
      </c>
      <c r="B339" s="32"/>
      <c r="C339" s="32" t="b">
        <f>_xlfn.XLOOKUP(Table61011121316[[#This Row],[Category No]],Table8[Category No],Table8[Chapter List],FALSE)</f>
        <v>0</v>
      </c>
      <c r="D339" s="34"/>
      <c r="E339" s="34"/>
    </row>
    <row r="340" spans="1:5" x14ac:dyDescent="0.3">
      <c r="A340" s="32">
        <v>339</v>
      </c>
      <c r="B340" s="32"/>
      <c r="C340" s="32" t="b">
        <f>_xlfn.XLOOKUP(Table61011121316[[#This Row],[Category No]],Table8[Category No],Table8[Chapter List],FALSE)</f>
        <v>0</v>
      </c>
      <c r="D340" s="34"/>
      <c r="E340" s="34"/>
    </row>
    <row r="341" spans="1:5" x14ac:dyDescent="0.3">
      <c r="A341" s="32">
        <v>340</v>
      </c>
      <c r="B341" s="32"/>
      <c r="C341" s="32" t="b">
        <f>_xlfn.XLOOKUP(Table61011121316[[#This Row],[Category No]],Table8[Category No],Table8[Chapter List],FALSE)</f>
        <v>0</v>
      </c>
      <c r="D341" s="34"/>
      <c r="E341" s="34"/>
    </row>
    <row r="342" spans="1:5" x14ac:dyDescent="0.3">
      <c r="A342" s="32">
        <v>341</v>
      </c>
      <c r="B342" s="32"/>
      <c r="C342" s="32" t="b">
        <f>_xlfn.XLOOKUP(Table61011121316[[#This Row],[Category No]],Table8[Category No],Table8[Chapter List],FALSE)</f>
        <v>0</v>
      </c>
      <c r="D342" s="34"/>
      <c r="E342" s="34"/>
    </row>
    <row r="343" spans="1:5" x14ac:dyDescent="0.3">
      <c r="A343" s="32">
        <v>342</v>
      </c>
      <c r="B343" s="32"/>
      <c r="C343" s="32" t="b">
        <f>_xlfn.XLOOKUP(Table61011121316[[#This Row],[Category No]],Table8[Category No],Table8[Chapter List],FALSE)</f>
        <v>0</v>
      </c>
      <c r="D343" s="34"/>
      <c r="E343" s="34"/>
    </row>
    <row r="344" spans="1:5" x14ac:dyDescent="0.3">
      <c r="A344" s="32">
        <v>343</v>
      </c>
      <c r="B344" s="32"/>
      <c r="C344" s="32" t="b">
        <f>_xlfn.XLOOKUP(Table61011121316[[#This Row],[Category No]],Table8[Category No],Table8[Chapter List],FALSE)</f>
        <v>0</v>
      </c>
      <c r="D344" s="34"/>
      <c r="E344" s="34"/>
    </row>
    <row r="345" spans="1:5" x14ac:dyDescent="0.3">
      <c r="A345" s="32">
        <v>344</v>
      </c>
      <c r="B345" s="32"/>
      <c r="C345" s="32" t="b">
        <f>_xlfn.XLOOKUP(Table61011121316[[#This Row],[Category No]],Table8[Category No],Table8[Chapter List],FALSE)</f>
        <v>0</v>
      </c>
      <c r="D345" s="34"/>
      <c r="E345" s="34"/>
    </row>
    <row r="346" spans="1:5" x14ac:dyDescent="0.3">
      <c r="A346" s="32">
        <v>345</v>
      </c>
      <c r="B346" s="32"/>
      <c r="C346" s="32" t="b">
        <f>_xlfn.XLOOKUP(Table61011121316[[#This Row],[Category No]],Table8[Category No],Table8[Chapter List],FALSE)</f>
        <v>0</v>
      </c>
      <c r="D346" s="34"/>
      <c r="E346" s="34"/>
    </row>
    <row r="347" spans="1:5" x14ac:dyDescent="0.3">
      <c r="A347" s="32">
        <v>346</v>
      </c>
      <c r="B347" s="32"/>
      <c r="C347" s="32" t="b">
        <f>_xlfn.XLOOKUP(Table61011121316[[#This Row],[Category No]],Table8[Category No],Table8[Chapter List],FALSE)</f>
        <v>0</v>
      </c>
      <c r="D347" s="34"/>
      <c r="E347" s="34"/>
    </row>
    <row r="348" spans="1:5" x14ac:dyDescent="0.3">
      <c r="A348" s="32">
        <v>347</v>
      </c>
      <c r="B348" s="32"/>
      <c r="C348" s="32" t="b">
        <f>_xlfn.XLOOKUP(Table61011121316[[#This Row],[Category No]],Table8[Category No],Table8[Chapter List],FALSE)</f>
        <v>0</v>
      </c>
      <c r="D348" s="34"/>
      <c r="E348" s="34"/>
    </row>
    <row r="349" spans="1:5" x14ac:dyDescent="0.3">
      <c r="A349" s="32">
        <v>348</v>
      </c>
      <c r="B349" s="32"/>
      <c r="C349" s="32" t="b">
        <f>_xlfn.XLOOKUP(Table61011121316[[#This Row],[Category No]],Table8[Category No],Table8[Chapter List],FALSE)</f>
        <v>0</v>
      </c>
      <c r="D349" s="34"/>
      <c r="E349" s="34"/>
    </row>
    <row r="350" spans="1:5" x14ac:dyDescent="0.3">
      <c r="A350" s="32">
        <v>349</v>
      </c>
      <c r="B350" s="32"/>
      <c r="C350" s="32" t="b">
        <f>_xlfn.XLOOKUP(Table61011121316[[#This Row],[Category No]],Table8[Category No],Table8[Chapter List],FALSE)</f>
        <v>0</v>
      </c>
      <c r="D350" s="34"/>
      <c r="E350" s="34"/>
    </row>
    <row r="351" spans="1:5" x14ac:dyDescent="0.3">
      <c r="A351" s="32">
        <v>350</v>
      </c>
      <c r="B351" s="32"/>
      <c r="C351" s="32" t="b">
        <f>_xlfn.XLOOKUP(Table61011121316[[#This Row],[Category No]],Table8[Category No],Table8[Chapter List],FALSE)</f>
        <v>0</v>
      </c>
      <c r="D351" s="34"/>
      <c r="E351" s="34"/>
    </row>
    <row r="352" spans="1:5" x14ac:dyDescent="0.3">
      <c r="A352" s="32">
        <v>351</v>
      </c>
      <c r="B352" s="32"/>
      <c r="C352" s="32" t="b">
        <f>_xlfn.XLOOKUP(Table61011121316[[#This Row],[Category No]],Table8[Category No],Table8[Chapter List],FALSE)</f>
        <v>0</v>
      </c>
      <c r="D352" s="34"/>
      <c r="E352" s="34"/>
    </row>
    <row r="353" spans="1:5" x14ac:dyDescent="0.3">
      <c r="A353" s="32">
        <v>352</v>
      </c>
      <c r="B353" s="32"/>
      <c r="C353" s="32" t="b">
        <f>_xlfn.XLOOKUP(Table61011121316[[#This Row],[Category No]],Table8[Category No],Table8[Chapter List],FALSE)</f>
        <v>0</v>
      </c>
      <c r="D353" s="34"/>
      <c r="E353" s="34"/>
    </row>
    <row r="354" spans="1:5" x14ac:dyDescent="0.3">
      <c r="A354" s="32">
        <v>353</v>
      </c>
      <c r="B354" s="32"/>
      <c r="C354" s="32" t="b">
        <f>_xlfn.XLOOKUP(Table61011121316[[#This Row],[Category No]],Table8[Category No],Table8[Chapter List],FALSE)</f>
        <v>0</v>
      </c>
      <c r="D354" s="34"/>
      <c r="E354" s="34"/>
    </row>
    <row r="355" spans="1:5" x14ac:dyDescent="0.3">
      <c r="A355" s="32">
        <v>354</v>
      </c>
      <c r="B355" s="32"/>
      <c r="C355" s="32" t="b">
        <f>_xlfn.XLOOKUP(Table61011121316[[#This Row],[Category No]],Table8[Category No],Table8[Chapter List],FALSE)</f>
        <v>0</v>
      </c>
      <c r="D355" s="34"/>
      <c r="E355" s="34"/>
    </row>
    <row r="356" spans="1:5" x14ac:dyDescent="0.3">
      <c r="A356" s="32">
        <v>355</v>
      </c>
      <c r="B356" s="32"/>
      <c r="C356" s="32" t="b">
        <f>_xlfn.XLOOKUP(Table61011121316[[#This Row],[Category No]],Table8[Category No],Table8[Chapter List],FALSE)</f>
        <v>0</v>
      </c>
      <c r="D356" s="34"/>
      <c r="E356" s="34"/>
    </row>
    <row r="357" spans="1:5" x14ac:dyDescent="0.3">
      <c r="A357" s="32">
        <v>356</v>
      </c>
      <c r="B357" s="32"/>
      <c r="C357" s="32" t="b">
        <f>_xlfn.XLOOKUP(Table61011121316[[#This Row],[Category No]],Table8[Category No],Table8[Chapter List],FALSE)</f>
        <v>0</v>
      </c>
      <c r="D357" s="34"/>
      <c r="E357" s="34"/>
    </row>
    <row r="358" spans="1:5" x14ac:dyDescent="0.3">
      <c r="A358" s="32">
        <v>357</v>
      </c>
      <c r="B358" s="32"/>
      <c r="C358" s="32" t="b">
        <f>_xlfn.XLOOKUP(Table61011121316[[#This Row],[Category No]],Table8[Category No],Table8[Chapter List],FALSE)</f>
        <v>0</v>
      </c>
      <c r="D358" s="34"/>
      <c r="E358" s="34"/>
    </row>
    <row r="359" spans="1:5" x14ac:dyDescent="0.3">
      <c r="A359" s="32">
        <v>358</v>
      </c>
      <c r="B359" s="32"/>
      <c r="C359" s="32" t="b">
        <f>_xlfn.XLOOKUP(Table61011121316[[#This Row],[Category No]],Table8[Category No],Table8[Chapter List],FALSE)</f>
        <v>0</v>
      </c>
      <c r="D359" s="34"/>
      <c r="E359" s="34"/>
    </row>
    <row r="360" spans="1:5" x14ac:dyDescent="0.3">
      <c r="A360" s="32">
        <v>359</v>
      </c>
      <c r="B360" s="32"/>
      <c r="C360" s="32" t="b">
        <f>_xlfn.XLOOKUP(Table61011121316[[#This Row],[Category No]],Table8[Category No],Table8[Chapter List],FALSE)</f>
        <v>0</v>
      </c>
      <c r="D360" s="34"/>
      <c r="E360" s="34"/>
    </row>
    <row r="361" spans="1:5" x14ac:dyDescent="0.3">
      <c r="A361" s="32">
        <v>360</v>
      </c>
      <c r="B361" s="32"/>
      <c r="C361" s="32" t="b">
        <f>_xlfn.XLOOKUP(Table61011121316[[#This Row],[Category No]],Table8[Category No],Table8[Chapter List],FALSE)</f>
        <v>0</v>
      </c>
      <c r="D361" s="34"/>
      <c r="E361" s="34"/>
    </row>
    <row r="362" spans="1:5" x14ac:dyDescent="0.3">
      <c r="A362" s="32">
        <v>361</v>
      </c>
      <c r="B362" s="32"/>
      <c r="C362" s="32" t="b">
        <f>_xlfn.XLOOKUP(Table61011121316[[#This Row],[Category No]],Table8[Category No],Table8[Chapter List],FALSE)</f>
        <v>0</v>
      </c>
      <c r="D362" s="34"/>
      <c r="E362" s="34"/>
    </row>
    <row r="363" spans="1:5" x14ac:dyDescent="0.3">
      <c r="A363" s="32">
        <v>362</v>
      </c>
      <c r="B363" s="32"/>
      <c r="C363" s="32" t="b">
        <f>_xlfn.XLOOKUP(Table61011121316[[#This Row],[Category No]],Table8[Category No],Table8[Chapter List],FALSE)</f>
        <v>0</v>
      </c>
      <c r="D363" s="34"/>
      <c r="E363" s="34"/>
    </row>
    <row r="364" spans="1:5" x14ac:dyDescent="0.3">
      <c r="A364" s="32">
        <v>363</v>
      </c>
      <c r="B364" s="32"/>
      <c r="C364" s="32" t="b">
        <f>_xlfn.XLOOKUP(Table61011121316[[#This Row],[Category No]],Table8[Category No],Table8[Chapter List],FALSE)</f>
        <v>0</v>
      </c>
      <c r="D364" s="34"/>
      <c r="E364" s="34"/>
    </row>
    <row r="365" spans="1:5" x14ac:dyDescent="0.3">
      <c r="A365" s="32">
        <v>364</v>
      </c>
      <c r="B365" s="32"/>
      <c r="C365" s="32" t="b">
        <f>_xlfn.XLOOKUP(Table61011121316[[#This Row],[Category No]],Table8[Category No],Table8[Chapter List],FALSE)</f>
        <v>0</v>
      </c>
      <c r="D365" s="34"/>
      <c r="E365" s="34"/>
    </row>
    <row r="366" spans="1:5" x14ac:dyDescent="0.3">
      <c r="A366" s="32">
        <v>365</v>
      </c>
      <c r="B366" s="32"/>
      <c r="C366" s="32" t="b">
        <f>_xlfn.XLOOKUP(Table61011121316[[#This Row],[Category No]],Table8[Category No],Table8[Chapter List],FALSE)</f>
        <v>0</v>
      </c>
      <c r="D366" s="34"/>
      <c r="E366" s="34"/>
    </row>
    <row r="367" spans="1:5" x14ac:dyDescent="0.3">
      <c r="A367" s="32">
        <v>366</v>
      </c>
      <c r="B367" s="32"/>
      <c r="C367" s="32" t="b">
        <f>_xlfn.XLOOKUP(Table61011121316[[#This Row],[Category No]],Table8[Category No],Table8[Chapter List],FALSE)</f>
        <v>0</v>
      </c>
      <c r="D367" s="34"/>
      <c r="E367" s="34"/>
    </row>
    <row r="368" spans="1:5" x14ac:dyDescent="0.3">
      <c r="A368" s="32">
        <v>367</v>
      </c>
      <c r="B368" s="32"/>
      <c r="C368" s="32" t="b">
        <f>_xlfn.XLOOKUP(Table61011121316[[#This Row],[Category No]],Table8[Category No],Table8[Chapter List],FALSE)</f>
        <v>0</v>
      </c>
      <c r="D368" s="34"/>
      <c r="E368" s="34"/>
    </row>
    <row r="369" spans="1:5" x14ac:dyDescent="0.3">
      <c r="A369" s="32">
        <v>368</v>
      </c>
      <c r="B369" s="32"/>
      <c r="C369" s="32" t="b">
        <f>_xlfn.XLOOKUP(Table61011121316[[#This Row],[Category No]],Table8[Category No],Table8[Chapter List],FALSE)</f>
        <v>0</v>
      </c>
      <c r="D369" s="34"/>
      <c r="E369" s="34"/>
    </row>
    <row r="370" spans="1:5" x14ac:dyDescent="0.3">
      <c r="A370" s="32">
        <v>369</v>
      </c>
      <c r="B370" s="32"/>
      <c r="C370" s="32" t="b">
        <f>_xlfn.XLOOKUP(Table61011121316[[#This Row],[Category No]],Table8[Category No],Table8[Chapter List],FALSE)</f>
        <v>0</v>
      </c>
      <c r="D370" s="34"/>
      <c r="E370" s="34"/>
    </row>
    <row r="371" spans="1:5" x14ac:dyDescent="0.3">
      <c r="A371" s="32">
        <v>370</v>
      </c>
      <c r="B371" s="32"/>
      <c r="C371" s="32" t="b">
        <f>_xlfn.XLOOKUP(Table61011121316[[#This Row],[Category No]],Table8[Category No],Table8[Chapter List],FALSE)</f>
        <v>0</v>
      </c>
      <c r="D371" s="34"/>
      <c r="E371" s="34"/>
    </row>
    <row r="372" spans="1:5" x14ac:dyDescent="0.3">
      <c r="A372" s="32">
        <v>371</v>
      </c>
      <c r="B372" s="32"/>
      <c r="C372" s="32" t="b">
        <f>_xlfn.XLOOKUP(Table61011121316[[#This Row],[Category No]],Table8[Category No],Table8[Chapter List],FALSE)</f>
        <v>0</v>
      </c>
      <c r="D372" s="34"/>
      <c r="E372" s="34"/>
    </row>
    <row r="373" spans="1:5" x14ac:dyDescent="0.3">
      <c r="A373" s="32">
        <v>372</v>
      </c>
      <c r="B373" s="32"/>
      <c r="C373" s="32" t="b">
        <f>_xlfn.XLOOKUP(Table61011121316[[#This Row],[Category No]],Table8[Category No],Table8[Chapter List],FALSE)</f>
        <v>0</v>
      </c>
      <c r="D373" s="34"/>
      <c r="E373" s="34"/>
    </row>
    <row r="374" spans="1:5" x14ac:dyDescent="0.3">
      <c r="A374" s="32">
        <v>373</v>
      </c>
      <c r="B374" s="32"/>
      <c r="C374" s="32" t="b">
        <f>_xlfn.XLOOKUP(Table61011121316[[#This Row],[Category No]],Table8[Category No],Table8[Chapter List],FALSE)</f>
        <v>0</v>
      </c>
      <c r="D374" s="34"/>
      <c r="E374" s="34"/>
    </row>
    <row r="375" spans="1:5" x14ac:dyDescent="0.3">
      <c r="A375" s="32">
        <v>374</v>
      </c>
      <c r="B375" s="32"/>
      <c r="C375" s="32" t="b">
        <f>_xlfn.XLOOKUP(Table61011121316[[#This Row],[Category No]],Table8[Category No],Table8[Chapter List],FALSE)</f>
        <v>0</v>
      </c>
      <c r="D375" s="34"/>
      <c r="E375" s="34"/>
    </row>
    <row r="376" spans="1:5" x14ac:dyDescent="0.3">
      <c r="A376" s="32">
        <v>375</v>
      </c>
      <c r="B376" s="32"/>
      <c r="C376" s="32" t="b">
        <f>_xlfn.XLOOKUP(Table61011121316[[#This Row],[Category No]],Table8[Category No],Table8[Chapter List],FALSE)</f>
        <v>0</v>
      </c>
      <c r="D376" s="34"/>
      <c r="E376" s="34"/>
    </row>
    <row r="377" spans="1:5" x14ac:dyDescent="0.3">
      <c r="A377" s="32">
        <v>376</v>
      </c>
      <c r="B377" s="32"/>
      <c r="C377" s="32" t="b">
        <f>_xlfn.XLOOKUP(Table61011121316[[#This Row],[Category No]],Table8[Category No],Table8[Chapter List],FALSE)</f>
        <v>0</v>
      </c>
      <c r="D377" s="34"/>
      <c r="E377" s="34"/>
    </row>
    <row r="378" spans="1:5" x14ac:dyDescent="0.3">
      <c r="A378" s="32">
        <v>377</v>
      </c>
      <c r="B378" s="32"/>
      <c r="C378" s="32" t="b">
        <f>_xlfn.XLOOKUP(Table61011121316[[#This Row],[Category No]],Table8[Category No],Table8[Chapter List],FALSE)</f>
        <v>0</v>
      </c>
      <c r="D378" s="34"/>
      <c r="E378" s="34"/>
    </row>
    <row r="379" spans="1:5" x14ac:dyDescent="0.3">
      <c r="A379" s="32">
        <v>378</v>
      </c>
      <c r="B379" s="32"/>
      <c r="C379" s="32" t="b">
        <f>_xlfn.XLOOKUP(Table61011121316[[#This Row],[Category No]],Table8[Category No],Table8[Chapter List],FALSE)</f>
        <v>0</v>
      </c>
      <c r="D379" s="34"/>
      <c r="E379" s="34"/>
    </row>
    <row r="380" spans="1:5" x14ac:dyDescent="0.3">
      <c r="A380" s="32">
        <v>379</v>
      </c>
      <c r="B380" s="32"/>
      <c r="C380" s="32" t="b">
        <f>_xlfn.XLOOKUP(Table61011121316[[#This Row],[Category No]],Table8[Category No],Table8[Chapter List],FALSE)</f>
        <v>0</v>
      </c>
      <c r="D380" s="34"/>
      <c r="E380" s="34"/>
    </row>
    <row r="381" spans="1:5" x14ac:dyDescent="0.3">
      <c r="A381" s="32">
        <v>380</v>
      </c>
      <c r="B381" s="32"/>
      <c r="C381" s="32" t="b">
        <f>_xlfn.XLOOKUP(Table61011121316[[#This Row],[Category No]],Table8[Category No],Table8[Chapter List],FALSE)</f>
        <v>0</v>
      </c>
      <c r="D381" s="34"/>
      <c r="E381" s="34"/>
    </row>
    <row r="382" spans="1:5" x14ac:dyDescent="0.3">
      <c r="A382" s="32">
        <v>381</v>
      </c>
      <c r="B382" s="32"/>
      <c r="C382" s="32" t="b">
        <f>_xlfn.XLOOKUP(Table61011121316[[#This Row],[Category No]],Table8[Category No],Table8[Chapter List],FALSE)</f>
        <v>0</v>
      </c>
      <c r="D382" s="34"/>
      <c r="E382" s="34"/>
    </row>
    <row r="383" spans="1:5" x14ac:dyDescent="0.3">
      <c r="A383" s="32">
        <v>382</v>
      </c>
      <c r="B383" s="32"/>
      <c r="C383" s="32" t="b">
        <f>_xlfn.XLOOKUP(Table61011121316[[#This Row],[Category No]],Table8[Category No],Table8[Chapter List],FALSE)</f>
        <v>0</v>
      </c>
      <c r="D383" s="34"/>
      <c r="E383" s="34"/>
    </row>
    <row r="384" spans="1:5" x14ac:dyDescent="0.3">
      <c r="A384" s="32">
        <v>383</v>
      </c>
      <c r="B384" s="32"/>
      <c r="C384" s="32" t="b">
        <f>_xlfn.XLOOKUP(Table61011121316[[#This Row],[Category No]],Table8[Category No],Table8[Chapter List],FALSE)</f>
        <v>0</v>
      </c>
      <c r="D384" s="34"/>
      <c r="E384" s="34"/>
    </row>
    <row r="385" spans="1:5" x14ac:dyDescent="0.3">
      <c r="A385" s="32">
        <v>384</v>
      </c>
      <c r="B385" s="32"/>
      <c r="C385" s="32" t="b">
        <f>_xlfn.XLOOKUP(Table61011121316[[#This Row],[Category No]],Table8[Category No],Table8[Chapter List],FALSE)</f>
        <v>0</v>
      </c>
      <c r="D385" s="34"/>
      <c r="E385" s="34"/>
    </row>
    <row r="386" spans="1:5" x14ac:dyDescent="0.3">
      <c r="A386" s="32">
        <v>385</v>
      </c>
      <c r="B386" s="32"/>
      <c r="C386" s="32" t="b">
        <f>_xlfn.XLOOKUP(Table61011121316[[#This Row],[Category No]],Table8[Category No],Table8[Chapter List],FALSE)</f>
        <v>0</v>
      </c>
      <c r="D386" s="34"/>
      <c r="E386" s="34"/>
    </row>
    <row r="387" spans="1:5" x14ac:dyDescent="0.3">
      <c r="A387" s="32">
        <v>386</v>
      </c>
      <c r="B387" s="32"/>
      <c r="C387" s="32" t="b">
        <f>_xlfn.XLOOKUP(Table61011121316[[#This Row],[Category No]],Table8[Category No],Table8[Chapter List],FALSE)</f>
        <v>0</v>
      </c>
      <c r="D387" s="34"/>
      <c r="E387" s="34"/>
    </row>
    <row r="388" spans="1:5" x14ac:dyDescent="0.3">
      <c r="A388" s="32">
        <v>387</v>
      </c>
      <c r="B388" s="32"/>
      <c r="C388" s="32" t="b">
        <f>_xlfn.XLOOKUP(Table61011121316[[#This Row],[Category No]],Table8[Category No],Table8[Chapter List],FALSE)</f>
        <v>0</v>
      </c>
      <c r="D388" s="34"/>
      <c r="E388" s="34"/>
    </row>
    <row r="389" spans="1:5" x14ac:dyDescent="0.3">
      <c r="A389" s="32">
        <v>388</v>
      </c>
      <c r="B389" s="32"/>
      <c r="C389" s="32" t="b">
        <f>_xlfn.XLOOKUP(Table61011121316[[#This Row],[Category No]],Table8[Category No],Table8[Chapter List],FALSE)</f>
        <v>0</v>
      </c>
      <c r="D389" s="34"/>
      <c r="E389" s="34"/>
    </row>
    <row r="390" spans="1:5" x14ac:dyDescent="0.3">
      <c r="A390" s="32">
        <v>389</v>
      </c>
      <c r="B390" s="32"/>
      <c r="C390" s="32" t="b">
        <f>_xlfn.XLOOKUP(Table61011121316[[#This Row],[Category No]],Table8[Category No],Table8[Chapter List],FALSE)</f>
        <v>0</v>
      </c>
      <c r="D390" s="34"/>
      <c r="E390" s="34"/>
    </row>
    <row r="391" spans="1:5" x14ac:dyDescent="0.3">
      <c r="A391" s="32">
        <v>390</v>
      </c>
      <c r="B391" s="32"/>
      <c r="C391" s="32" t="b">
        <f>_xlfn.XLOOKUP(Table61011121316[[#This Row],[Category No]],Table8[Category No],Table8[Chapter List],FALSE)</f>
        <v>0</v>
      </c>
      <c r="D391" s="34"/>
      <c r="E391" s="34"/>
    </row>
    <row r="392" spans="1:5" x14ac:dyDescent="0.3">
      <c r="A392" s="32">
        <v>391</v>
      </c>
      <c r="B392" s="32"/>
      <c r="C392" s="32" t="b">
        <f>_xlfn.XLOOKUP(Table61011121316[[#This Row],[Category No]],Table8[Category No],Table8[Chapter List],FALSE)</f>
        <v>0</v>
      </c>
      <c r="D392" s="34"/>
      <c r="E392" s="34"/>
    </row>
    <row r="393" spans="1:5" x14ac:dyDescent="0.3">
      <c r="A393" s="32">
        <v>392</v>
      </c>
      <c r="B393" s="32"/>
      <c r="C393" s="32" t="b">
        <f>_xlfn.XLOOKUP(Table61011121316[[#This Row],[Category No]],Table8[Category No],Table8[Chapter List],FALSE)</f>
        <v>0</v>
      </c>
      <c r="D393" s="34"/>
      <c r="E393" s="34"/>
    </row>
    <row r="394" spans="1:5" x14ac:dyDescent="0.3">
      <c r="A394" s="32">
        <v>393</v>
      </c>
      <c r="B394" s="32"/>
      <c r="C394" s="32" t="b">
        <f>_xlfn.XLOOKUP(Table61011121316[[#This Row],[Category No]],Table8[Category No],Table8[Chapter List],FALSE)</f>
        <v>0</v>
      </c>
      <c r="D394" s="34"/>
      <c r="E394" s="34"/>
    </row>
    <row r="395" spans="1:5" x14ac:dyDescent="0.3">
      <c r="A395" s="32">
        <v>394</v>
      </c>
      <c r="B395" s="32"/>
      <c r="C395" s="32" t="b">
        <f>_xlfn.XLOOKUP(Table61011121316[[#This Row],[Category No]],Table8[Category No],Table8[Chapter List],FALSE)</f>
        <v>0</v>
      </c>
      <c r="D395" s="34"/>
      <c r="E395" s="34"/>
    </row>
    <row r="396" spans="1:5" x14ac:dyDescent="0.3">
      <c r="A396" s="32">
        <v>395</v>
      </c>
      <c r="B396" s="32"/>
      <c r="C396" s="32" t="b">
        <f>_xlfn.XLOOKUP(Table61011121316[[#This Row],[Category No]],Table8[Category No],Table8[Chapter List],FALSE)</f>
        <v>0</v>
      </c>
      <c r="D396" s="34"/>
      <c r="E396" s="34"/>
    </row>
    <row r="397" spans="1:5" x14ac:dyDescent="0.3">
      <c r="A397" s="32">
        <v>396</v>
      </c>
      <c r="B397" s="32"/>
      <c r="C397" s="32" t="b">
        <f>_xlfn.XLOOKUP(Table61011121316[[#This Row],[Category No]],Table8[Category No],Table8[Chapter List],FALSE)</f>
        <v>0</v>
      </c>
      <c r="D397" s="34"/>
      <c r="E397" s="34"/>
    </row>
    <row r="398" spans="1:5" x14ac:dyDescent="0.3">
      <c r="A398" s="32">
        <v>397</v>
      </c>
      <c r="B398" s="32"/>
      <c r="C398" s="32" t="b">
        <f>_xlfn.XLOOKUP(Table61011121316[[#This Row],[Category No]],Table8[Category No],Table8[Chapter List],FALSE)</f>
        <v>0</v>
      </c>
      <c r="D398" s="34"/>
      <c r="E398" s="34"/>
    </row>
    <row r="399" spans="1:5" x14ac:dyDescent="0.3">
      <c r="A399" s="32">
        <v>398</v>
      </c>
      <c r="B399" s="32"/>
      <c r="C399" s="32" t="b">
        <f>_xlfn.XLOOKUP(Table61011121316[[#This Row],[Category No]],Table8[Category No],Table8[Chapter List],FALSE)</f>
        <v>0</v>
      </c>
      <c r="D399" s="34"/>
      <c r="E399" s="34"/>
    </row>
    <row r="400" spans="1:5" x14ac:dyDescent="0.3">
      <c r="A400" s="32">
        <v>399</v>
      </c>
      <c r="B400" s="32"/>
      <c r="C400" s="32" t="b">
        <f>_xlfn.XLOOKUP(Table61011121316[[#This Row],[Category No]],Table8[Category No],Table8[Chapter List],FALSE)</f>
        <v>0</v>
      </c>
      <c r="D400" s="34"/>
      <c r="E400" s="34"/>
    </row>
    <row r="401" spans="1:5" x14ac:dyDescent="0.3">
      <c r="A401" s="32">
        <v>400</v>
      </c>
      <c r="B401" s="32"/>
      <c r="C401" s="32" t="b">
        <f>_xlfn.XLOOKUP(Table61011121316[[#This Row],[Category No]],Table8[Category No],Table8[Chapter List],FALSE)</f>
        <v>0</v>
      </c>
      <c r="D401" s="34"/>
      <c r="E401" s="34"/>
    </row>
    <row r="402" spans="1:5" x14ac:dyDescent="0.3">
      <c r="A402" s="32">
        <v>401</v>
      </c>
      <c r="B402" s="32"/>
      <c r="C402" s="32" t="b">
        <f>_xlfn.XLOOKUP(Table61011121316[[#This Row],[Category No]],Table8[Category No],Table8[Chapter List],FALSE)</f>
        <v>0</v>
      </c>
      <c r="D402" s="34"/>
      <c r="E402" s="34"/>
    </row>
    <row r="403" spans="1:5" x14ac:dyDescent="0.3">
      <c r="A403" s="32">
        <v>402</v>
      </c>
      <c r="B403" s="32"/>
      <c r="C403" s="32" t="b">
        <f>_xlfn.XLOOKUP(Table61011121316[[#This Row],[Category No]],Table8[Category No],Table8[Chapter List],FALSE)</f>
        <v>0</v>
      </c>
      <c r="D403" s="34"/>
      <c r="E403" s="34"/>
    </row>
    <row r="404" spans="1:5" x14ac:dyDescent="0.3">
      <c r="A404" s="32">
        <v>403</v>
      </c>
      <c r="B404" s="32"/>
      <c r="C404" s="32" t="b">
        <f>_xlfn.XLOOKUP(Table61011121316[[#This Row],[Category No]],Table8[Category No],Table8[Chapter List],FALSE)</f>
        <v>0</v>
      </c>
      <c r="D404" s="34"/>
      <c r="E404" s="34"/>
    </row>
    <row r="405" spans="1:5" x14ac:dyDescent="0.3">
      <c r="A405" s="32">
        <v>404</v>
      </c>
      <c r="B405" s="32"/>
      <c r="C405" s="32" t="b">
        <f>_xlfn.XLOOKUP(Table61011121316[[#This Row],[Category No]],Table8[Category No],Table8[Chapter List],FALSE)</f>
        <v>0</v>
      </c>
      <c r="D405" s="34"/>
      <c r="E405" s="34"/>
    </row>
    <row r="406" spans="1:5" x14ac:dyDescent="0.3">
      <c r="A406" s="32">
        <v>405</v>
      </c>
      <c r="B406" s="32"/>
      <c r="C406" s="32" t="b">
        <f>_xlfn.XLOOKUP(Table61011121316[[#This Row],[Category No]],Table8[Category No],Table8[Chapter List],FALSE)</f>
        <v>0</v>
      </c>
      <c r="D406" s="34"/>
      <c r="E406" s="34"/>
    </row>
    <row r="407" spans="1:5" x14ac:dyDescent="0.3">
      <c r="A407" s="32">
        <v>406</v>
      </c>
      <c r="B407" s="32"/>
      <c r="C407" s="32" t="b">
        <f>_xlfn.XLOOKUP(Table61011121316[[#This Row],[Category No]],Table8[Category No],Table8[Chapter List],FALSE)</f>
        <v>0</v>
      </c>
      <c r="D407" s="34"/>
      <c r="E407" s="34"/>
    </row>
    <row r="408" spans="1:5" x14ac:dyDescent="0.3">
      <c r="A408" s="32">
        <v>407</v>
      </c>
      <c r="B408" s="32"/>
      <c r="C408" s="32" t="b">
        <f>_xlfn.XLOOKUP(Table61011121316[[#This Row],[Category No]],Table8[Category No],Table8[Chapter List],FALSE)</f>
        <v>0</v>
      </c>
      <c r="D408" s="34"/>
      <c r="E408" s="34"/>
    </row>
    <row r="409" spans="1:5" x14ac:dyDescent="0.3">
      <c r="A409" s="32">
        <v>408</v>
      </c>
      <c r="B409" s="32"/>
      <c r="C409" s="32" t="b">
        <f>_xlfn.XLOOKUP(Table61011121316[[#This Row],[Category No]],Table8[Category No],Table8[Chapter List],FALSE)</f>
        <v>0</v>
      </c>
      <c r="D409" s="34"/>
      <c r="E409" s="34"/>
    </row>
    <row r="410" spans="1:5" x14ac:dyDescent="0.3">
      <c r="A410" s="32">
        <v>409</v>
      </c>
      <c r="B410" s="32"/>
      <c r="C410" s="32" t="b">
        <f>_xlfn.XLOOKUP(Table61011121316[[#This Row],[Category No]],Table8[Category No],Table8[Chapter List],FALSE)</f>
        <v>0</v>
      </c>
      <c r="D410" s="34"/>
      <c r="E410" s="34"/>
    </row>
    <row r="411" spans="1:5" x14ac:dyDescent="0.3">
      <c r="A411" s="32">
        <v>410</v>
      </c>
      <c r="B411" s="32"/>
      <c r="C411" s="32" t="b">
        <f>_xlfn.XLOOKUP(Table61011121316[[#This Row],[Category No]],Table8[Category No],Table8[Chapter List],FALSE)</f>
        <v>0</v>
      </c>
      <c r="D411" s="34"/>
      <c r="E411" s="34"/>
    </row>
    <row r="412" spans="1:5" x14ac:dyDescent="0.3">
      <c r="A412" s="32">
        <v>411</v>
      </c>
      <c r="B412" s="32"/>
      <c r="C412" s="32" t="b">
        <f>_xlfn.XLOOKUP(Table61011121316[[#This Row],[Category No]],Table8[Category No],Table8[Chapter List],FALSE)</f>
        <v>0</v>
      </c>
      <c r="D412" s="34"/>
      <c r="E412" s="34"/>
    </row>
    <row r="413" spans="1:5" x14ac:dyDescent="0.3">
      <c r="A413" s="32">
        <v>412</v>
      </c>
      <c r="B413" s="32"/>
      <c r="C413" s="32" t="b">
        <f>_xlfn.XLOOKUP(Table61011121316[[#This Row],[Category No]],Table8[Category No],Table8[Chapter List],FALSE)</f>
        <v>0</v>
      </c>
      <c r="D413" s="34"/>
      <c r="E413" s="34"/>
    </row>
    <row r="414" spans="1:5" x14ac:dyDescent="0.3">
      <c r="A414" s="32">
        <v>413</v>
      </c>
      <c r="B414" s="32"/>
      <c r="C414" s="32" t="b">
        <f>_xlfn.XLOOKUP(Table61011121316[[#This Row],[Category No]],Table8[Category No],Table8[Chapter List],FALSE)</f>
        <v>0</v>
      </c>
      <c r="D414" s="34"/>
      <c r="E414" s="34"/>
    </row>
    <row r="415" spans="1:5" x14ac:dyDescent="0.3">
      <c r="A415" s="32">
        <v>414</v>
      </c>
      <c r="B415" s="32"/>
      <c r="C415" s="32" t="b">
        <f>_xlfn.XLOOKUP(Table61011121316[[#This Row],[Category No]],Table8[Category No],Table8[Chapter List],FALSE)</f>
        <v>0</v>
      </c>
      <c r="D415" s="34"/>
      <c r="E415" s="34"/>
    </row>
    <row r="416" spans="1:5" x14ac:dyDescent="0.3">
      <c r="A416" s="32">
        <v>415</v>
      </c>
      <c r="B416" s="32"/>
      <c r="C416" s="32" t="b">
        <f>_xlfn.XLOOKUP(Table61011121316[[#This Row],[Category No]],Table8[Category No],Table8[Chapter List],FALSE)</f>
        <v>0</v>
      </c>
      <c r="D416" s="34"/>
      <c r="E416" s="34"/>
    </row>
    <row r="417" spans="1:5" x14ac:dyDescent="0.3">
      <c r="A417" s="32">
        <v>416</v>
      </c>
      <c r="B417" s="32"/>
      <c r="C417" s="32" t="b">
        <f>_xlfn.XLOOKUP(Table61011121316[[#This Row],[Category No]],Table8[Category No],Table8[Chapter List],FALSE)</f>
        <v>0</v>
      </c>
      <c r="D417" s="34"/>
      <c r="E417" s="34"/>
    </row>
    <row r="418" spans="1:5" x14ac:dyDescent="0.3">
      <c r="A418" s="32">
        <v>417</v>
      </c>
      <c r="B418" s="32"/>
      <c r="C418" s="32" t="b">
        <f>_xlfn.XLOOKUP(Table61011121316[[#This Row],[Category No]],Table8[Category No],Table8[Chapter List],FALSE)</f>
        <v>0</v>
      </c>
      <c r="D418" s="34"/>
      <c r="E418" s="34"/>
    </row>
    <row r="419" spans="1:5" x14ac:dyDescent="0.3">
      <c r="A419" s="32">
        <v>418</v>
      </c>
      <c r="B419" s="32"/>
      <c r="C419" s="32" t="b">
        <f>_xlfn.XLOOKUP(Table61011121316[[#This Row],[Category No]],Table8[Category No],Table8[Chapter List],FALSE)</f>
        <v>0</v>
      </c>
      <c r="D419" s="34"/>
      <c r="E419" s="34"/>
    </row>
    <row r="420" spans="1:5" x14ac:dyDescent="0.3">
      <c r="A420" s="32">
        <v>419</v>
      </c>
      <c r="B420" s="32"/>
      <c r="C420" s="32" t="b">
        <f>_xlfn.XLOOKUP(Table61011121316[[#This Row],[Category No]],Table8[Category No],Table8[Chapter List],FALSE)</f>
        <v>0</v>
      </c>
      <c r="D420" s="34"/>
      <c r="E420" s="34"/>
    </row>
    <row r="421" spans="1:5" x14ac:dyDescent="0.3">
      <c r="A421" s="32">
        <v>420</v>
      </c>
      <c r="B421" s="32"/>
      <c r="C421" s="32" t="b">
        <f>_xlfn.XLOOKUP(Table61011121316[[#This Row],[Category No]],Table8[Category No],Table8[Chapter List],FALSE)</f>
        <v>0</v>
      </c>
      <c r="D421" s="34"/>
      <c r="E421" s="34"/>
    </row>
    <row r="422" spans="1:5" x14ac:dyDescent="0.3">
      <c r="A422" s="32">
        <v>421</v>
      </c>
      <c r="B422" s="32"/>
      <c r="C422" s="32" t="b">
        <f>_xlfn.XLOOKUP(Table61011121316[[#This Row],[Category No]],Table8[Category No],Table8[Chapter List],FALSE)</f>
        <v>0</v>
      </c>
      <c r="D422" s="34"/>
      <c r="E422" s="34"/>
    </row>
    <row r="423" spans="1:5" x14ac:dyDescent="0.3">
      <c r="A423" s="32">
        <v>422</v>
      </c>
      <c r="B423" s="32"/>
      <c r="C423" s="32" t="b">
        <f>_xlfn.XLOOKUP(Table61011121316[[#This Row],[Category No]],Table8[Category No],Table8[Chapter List],FALSE)</f>
        <v>0</v>
      </c>
      <c r="D423" s="34"/>
      <c r="E423" s="34"/>
    </row>
    <row r="424" spans="1:5" x14ac:dyDescent="0.3">
      <c r="A424" s="32">
        <v>423</v>
      </c>
      <c r="B424" s="32"/>
      <c r="C424" s="32" t="b">
        <f>_xlfn.XLOOKUP(Table61011121316[[#This Row],[Category No]],Table8[Category No],Table8[Chapter List],FALSE)</f>
        <v>0</v>
      </c>
      <c r="D424" s="34"/>
      <c r="E424" s="34"/>
    </row>
    <row r="425" spans="1:5" x14ac:dyDescent="0.3">
      <c r="A425" s="32">
        <v>424</v>
      </c>
      <c r="B425" s="32"/>
      <c r="C425" s="32" t="b">
        <f>_xlfn.XLOOKUP(Table61011121316[[#This Row],[Category No]],Table8[Category No],Table8[Chapter List],FALSE)</f>
        <v>0</v>
      </c>
      <c r="D425" s="34"/>
      <c r="E425" s="34"/>
    </row>
    <row r="426" spans="1:5" x14ac:dyDescent="0.3">
      <c r="A426" s="32">
        <v>425</v>
      </c>
      <c r="B426" s="32"/>
      <c r="C426" s="32" t="b">
        <f>_xlfn.XLOOKUP(Table61011121316[[#This Row],[Category No]],Table8[Category No],Table8[Chapter List],FALSE)</f>
        <v>0</v>
      </c>
      <c r="D426" s="34"/>
      <c r="E426" s="34"/>
    </row>
    <row r="427" spans="1:5" x14ac:dyDescent="0.3">
      <c r="A427" s="32">
        <v>426</v>
      </c>
      <c r="B427" s="32"/>
      <c r="C427" s="32" t="b">
        <f>_xlfn.XLOOKUP(Table61011121316[[#This Row],[Category No]],Table8[Category No],Table8[Chapter List],FALSE)</f>
        <v>0</v>
      </c>
      <c r="D427" s="34"/>
      <c r="E427" s="34"/>
    </row>
    <row r="428" spans="1:5" x14ac:dyDescent="0.3">
      <c r="A428" s="32">
        <v>427</v>
      </c>
      <c r="B428" s="32"/>
      <c r="C428" s="32" t="b">
        <f>_xlfn.XLOOKUP(Table61011121316[[#This Row],[Category No]],Table8[Category No],Table8[Chapter List],FALSE)</f>
        <v>0</v>
      </c>
      <c r="D428" s="34"/>
      <c r="E428" s="34"/>
    </row>
    <row r="429" spans="1:5" x14ac:dyDescent="0.3">
      <c r="A429" s="32">
        <v>428</v>
      </c>
      <c r="B429" s="32"/>
      <c r="C429" s="32" t="b">
        <f>_xlfn.XLOOKUP(Table61011121316[[#This Row],[Category No]],Table8[Category No],Table8[Chapter List],FALSE)</f>
        <v>0</v>
      </c>
      <c r="D429" s="34"/>
      <c r="E429" s="34"/>
    </row>
    <row r="430" spans="1:5" x14ac:dyDescent="0.3">
      <c r="A430" s="32">
        <v>429</v>
      </c>
      <c r="B430" s="32"/>
      <c r="C430" s="32" t="b">
        <f>_xlfn.XLOOKUP(Table61011121316[[#This Row],[Category No]],Table8[Category No],Table8[Chapter List],FALSE)</f>
        <v>0</v>
      </c>
      <c r="D430" s="34"/>
      <c r="E430" s="34"/>
    </row>
    <row r="431" spans="1:5" x14ac:dyDescent="0.3">
      <c r="A431" s="32">
        <v>430</v>
      </c>
      <c r="B431" s="32"/>
      <c r="C431" s="32" t="b">
        <f>_xlfn.XLOOKUP(Table61011121316[[#This Row],[Category No]],Table8[Category No],Table8[Chapter List],FALSE)</f>
        <v>0</v>
      </c>
      <c r="D431" s="34"/>
      <c r="E431" s="34"/>
    </row>
    <row r="432" spans="1:5" x14ac:dyDescent="0.3">
      <c r="A432" s="32">
        <v>431</v>
      </c>
      <c r="B432" s="32"/>
      <c r="C432" s="32" t="b">
        <f>_xlfn.XLOOKUP(Table61011121316[[#This Row],[Category No]],Table8[Category No],Table8[Chapter List],FALSE)</f>
        <v>0</v>
      </c>
      <c r="D432" s="34"/>
      <c r="E432" s="34"/>
    </row>
    <row r="433" spans="1:5" x14ac:dyDescent="0.3">
      <c r="A433" s="32">
        <v>432</v>
      </c>
      <c r="B433" s="32"/>
      <c r="C433" s="32" t="b">
        <f>_xlfn.XLOOKUP(Table61011121316[[#This Row],[Category No]],Table8[Category No],Table8[Chapter List],FALSE)</f>
        <v>0</v>
      </c>
      <c r="D433" s="34"/>
      <c r="E433" s="34"/>
    </row>
    <row r="434" spans="1:5" x14ac:dyDescent="0.3">
      <c r="A434" s="32">
        <v>433</v>
      </c>
      <c r="B434" s="32"/>
      <c r="C434" s="32" t="b">
        <f>_xlfn.XLOOKUP(Table61011121316[[#This Row],[Category No]],Table8[Category No],Table8[Chapter List],FALSE)</f>
        <v>0</v>
      </c>
      <c r="D434" s="34"/>
      <c r="E434" s="34"/>
    </row>
    <row r="435" spans="1:5" x14ac:dyDescent="0.3">
      <c r="A435" s="32">
        <v>434</v>
      </c>
      <c r="B435" s="32"/>
      <c r="C435" s="32" t="b">
        <f>_xlfn.XLOOKUP(Table61011121316[[#This Row],[Category No]],Table8[Category No],Table8[Chapter List],FALSE)</f>
        <v>0</v>
      </c>
      <c r="D435" s="34"/>
      <c r="E435" s="34"/>
    </row>
    <row r="436" spans="1:5" x14ac:dyDescent="0.3">
      <c r="A436" s="32">
        <v>435</v>
      </c>
      <c r="B436" s="32"/>
      <c r="C436" s="32" t="b">
        <f>_xlfn.XLOOKUP(Table61011121316[[#This Row],[Category No]],Table8[Category No],Table8[Chapter List],FALSE)</f>
        <v>0</v>
      </c>
      <c r="D436" s="34"/>
      <c r="E436" s="34"/>
    </row>
    <row r="437" spans="1:5" x14ac:dyDescent="0.3">
      <c r="A437" s="32">
        <v>436</v>
      </c>
      <c r="B437" s="32"/>
      <c r="C437" s="32" t="b">
        <f>_xlfn.XLOOKUP(Table61011121316[[#This Row],[Category No]],Table8[Category No],Table8[Chapter List],FALSE)</f>
        <v>0</v>
      </c>
      <c r="D437" s="34"/>
      <c r="E437" s="34"/>
    </row>
    <row r="438" spans="1:5" x14ac:dyDescent="0.3">
      <c r="A438" s="32">
        <v>437</v>
      </c>
      <c r="B438" s="32"/>
      <c r="C438" s="32" t="b">
        <f>_xlfn.XLOOKUP(Table61011121316[[#This Row],[Category No]],Table8[Category No],Table8[Chapter List],FALSE)</f>
        <v>0</v>
      </c>
      <c r="D438" s="34"/>
      <c r="E438" s="34"/>
    </row>
    <row r="439" spans="1:5" x14ac:dyDescent="0.3">
      <c r="A439" s="32">
        <v>438</v>
      </c>
      <c r="B439" s="32"/>
      <c r="C439" s="32" t="b">
        <f>_xlfn.XLOOKUP(Table61011121316[[#This Row],[Category No]],Table8[Category No],Table8[Chapter List],FALSE)</f>
        <v>0</v>
      </c>
      <c r="D439" s="34"/>
      <c r="E439" s="34"/>
    </row>
    <row r="440" spans="1:5" x14ac:dyDescent="0.3">
      <c r="A440" s="32">
        <v>439</v>
      </c>
      <c r="B440" s="32"/>
      <c r="C440" s="32" t="b">
        <f>_xlfn.XLOOKUP(Table61011121316[[#This Row],[Category No]],Table8[Category No],Table8[Chapter List],FALSE)</f>
        <v>0</v>
      </c>
      <c r="D440" s="34"/>
      <c r="E440" s="34"/>
    </row>
    <row r="441" spans="1:5" x14ac:dyDescent="0.3">
      <c r="A441" s="32">
        <v>440</v>
      </c>
      <c r="B441" s="32"/>
      <c r="C441" s="32" t="b">
        <f>_xlfn.XLOOKUP(Table61011121316[[#This Row],[Category No]],Table8[Category No],Table8[Chapter List],FALSE)</f>
        <v>0</v>
      </c>
      <c r="D441" s="34"/>
      <c r="E441" s="34"/>
    </row>
    <row r="442" spans="1:5" x14ac:dyDescent="0.3">
      <c r="A442" s="32">
        <v>441</v>
      </c>
      <c r="B442" s="32"/>
      <c r="C442" s="32" t="b">
        <f>_xlfn.XLOOKUP(Table61011121316[[#This Row],[Category No]],Table8[Category No],Table8[Chapter List],FALSE)</f>
        <v>0</v>
      </c>
      <c r="D442" s="34"/>
      <c r="E442" s="34"/>
    </row>
    <row r="443" spans="1:5" x14ac:dyDescent="0.3">
      <c r="A443" s="32">
        <v>442</v>
      </c>
      <c r="B443" s="32"/>
      <c r="C443" s="32" t="b">
        <f>_xlfn.XLOOKUP(Table61011121316[[#This Row],[Category No]],Table8[Category No],Table8[Chapter List],FALSE)</f>
        <v>0</v>
      </c>
      <c r="D443" s="34"/>
      <c r="E443" s="34"/>
    </row>
    <row r="444" spans="1:5" x14ac:dyDescent="0.3">
      <c r="A444" s="32">
        <v>443</v>
      </c>
      <c r="B444" s="32"/>
      <c r="C444" s="32" t="b">
        <f>_xlfn.XLOOKUP(Table61011121316[[#This Row],[Category No]],Table8[Category No],Table8[Chapter List],FALSE)</f>
        <v>0</v>
      </c>
      <c r="D444" s="34"/>
      <c r="E444" s="34"/>
    </row>
    <row r="445" spans="1:5" x14ac:dyDescent="0.3">
      <c r="A445" s="32">
        <v>444</v>
      </c>
      <c r="B445" s="32"/>
      <c r="C445" s="32" t="b">
        <f>_xlfn.XLOOKUP(Table61011121316[[#This Row],[Category No]],Table8[Category No],Table8[Chapter List],FALSE)</f>
        <v>0</v>
      </c>
      <c r="D445" s="34"/>
      <c r="E445" s="34"/>
    </row>
    <row r="446" spans="1:5" x14ac:dyDescent="0.3">
      <c r="A446" s="32">
        <v>445</v>
      </c>
      <c r="B446" s="32"/>
      <c r="C446" s="32" t="b">
        <f>_xlfn.XLOOKUP(Table61011121316[[#This Row],[Category No]],Table8[Category No],Table8[Chapter List],FALSE)</f>
        <v>0</v>
      </c>
      <c r="D446" s="34"/>
      <c r="E446" s="34"/>
    </row>
    <row r="447" spans="1:5" x14ac:dyDescent="0.3">
      <c r="A447" s="32">
        <v>446</v>
      </c>
      <c r="B447" s="32"/>
      <c r="C447" s="32" t="b">
        <f>_xlfn.XLOOKUP(Table61011121316[[#This Row],[Category No]],Table8[Category No],Table8[Chapter List],FALSE)</f>
        <v>0</v>
      </c>
      <c r="D447" s="34"/>
      <c r="E447" s="34"/>
    </row>
    <row r="448" spans="1:5" x14ac:dyDescent="0.3">
      <c r="A448" s="32">
        <v>447</v>
      </c>
      <c r="B448" s="32"/>
      <c r="C448" s="32" t="b">
        <f>_xlfn.XLOOKUP(Table61011121316[[#This Row],[Category No]],Table8[Category No],Table8[Chapter List],FALSE)</f>
        <v>0</v>
      </c>
      <c r="D448" s="34"/>
      <c r="E448" s="34"/>
    </row>
    <row r="449" spans="1:5" x14ac:dyDescent="0.3">
      <c r="A449" s="32">
        <v>448</v>
      </c>
      <c r="B449" s="32"/>
      <c r="C449" s="32" t="b">
        <f>_xlfn.XLOOKUP(Table61011121316[[#This Row],[Category No]],Table8[Category No],Table8[Chapter List],FALSE)</f>
        <v>0</v>
      </c>
      <c r="D449" s="34"/>
      <c r="E449" s="34"/>
    </row>
    <row r="450" spans="1:5" x14ac:dyDescent="0.3">
      <c r="A450" s="32">
        <v>449</v>
      </c>
      <c r="B450" s="32"/>
      <c r="C450" s="32" t="b">
        <f>_xlfn.XLOOKUP(Table61011121316[[#This Row],[Category No]],Table8[Category No],Table8[Chapter List],FALSE)</f>
        <v>0</v>
      </c>
      <c r="D450" s="34"/>
      <c r="E450" s="34"/>
    </row>
    <row r="451" spans="1:5" x14ac:dyDescent="0.3">
      <c r="A451" s="32">
        <v>450</v>
      </c>
      <c r="B451" s="32"/>
      <c r="C451" s="32" t="b">
        <f>_xlfn.XLOOKUP(Table61011121316[[#This Row],[Category No]],Table8[Category No],Table8[Chapter List],FALSE)</f>
        <v>0</v>
      </c>
      <c r="D451" s="34"/>
      <c r="E451" s="34"/>
    </row>
    <row r="452" spans="1:5" x14ac:dyDescent="0.3">
      <c r="A452" s="32">
        <v>451</v>
      </c>
      <c r="B452" s="32"/>
      <c r="C452" s="32" t="b">
        <f>_xlfn.XLOOKUP(Table61011121316[[#This Row],[Category No]],Table8[Category No],Table8[Chapter List],FALSE)</f>
        <v>0</v>
      </c>
      <c r="D452" s="34"/>
      <c r="E452" s="34"/>
    </row>
    <row r="453" spans="1:5" x14ac:dyDescent="0.3">
      <c r="A453" s="32">
        <v>452</v>
      </c>
      <c r="B453" s="32"/>
      <c r="C453" s="32" t="b">
        <f>_xlfn.XLOOKUP(Table61011121316[[#This Row],[Category No]],Table8[Category No],Table8[Chapter List],FALSE)</f>
        <v>0</v>
      </c>
      <c r="D453" s="34"/>
      <c r="E453" s="34"/>
    </row>
    <row r="454" spans="1:5" x14ac:dyDescent="0.3">
      <c r="A454" s="32">
        <v>453</v>
      </c>
      <c r="B454" s="32"/>
      <c r="C454" s="32" t="b">
        <f>_xlfn.XLOOKUP(Table61011121316[[#This Row],[Category No]],Table8[Category No],Table8[Chapter List],FALSE)</f>
        <v>0</v>
      </c>
      <c r="D454" s="34"/>
      <c r="E454" s="34"/>
    </row>
    <row r="455" spans="1:5" x14ac:dyDescent="0.3">
      <c r="A455" s="32">
        <v>454</v>
      </c>
      <c r="B455" s="32"/>
      <c r="C455" s="32" t="b">
        <f>_xlfn.XLOOKUP(Table61011121316[[#This Row],[Category No]],Table8[Category No],Table8[Chapter List],FALSE)</f>
        <v>0</v>
      </c>
      <c r="D455" s="34"/>
      <c r="E455" s="34"/>
    </row>
    <row r="456" spans="1:5" x14ac:dyDescent="0.3">
      <c r="A456" s="32">
        <v>455</v>
      </c>
      <c r="B456" s="32"/>
      <c r="C456" s="32" t="b">
        <f>_xlfn.XLOOKUP(Table61011121316[[#This Row],[Category No]],Table8[Category No],Table8[Chapter List],FALSE)</f>
        <v>0</v>
      </c>
      <c r="D456" s="34"/>
      <c r="E456" s="34"/>
    </row>
    <row r="457" spans="1:5" x14ac:dyDescent="0.3">
      <c r="A457" s="32">
        <v>456</v>
      </c>
      <c r="B457" s="32"/>
      <c r="C457" s="32" t="b">
        <f>_xlfn.XLOOKUP(Table61011121316[[#This Row],[Category No]],Table8[Category No],Table8[Chapter List],FALSE)</f>
        <v>0</v>
      </c>
      <c r="D457" s="34"/>
      <c r="E457" s="34"/>
    </row>
    <row r="458" spans="1:5" x14ac:dyDescent="0.3">
      <c r="A458" s="32">
        <v>457</v>
      </c>
      <c r="B458" s="32"/>
      <c r="C458" s="32" t="b">
        <f>_xlfn.XLOOKUP(Table61011121316[[#This Row],[Category No]],Table8[Category No],Table8[Chapter List],FALSE)</f>
        <v>0</v>
      </c>
      <c r="D458" s="34"/>
      <c r="E458" s="34"/>
    </row>
    <row r="459" spans="1:5" x14ac:dyDescent="0.3">
      <c r="A459" s="32">
        <v>458</v>
      </c>
      <c r="B459" s="32"/>
      <c r="C459" s="32" t="b">
        <f>_xlfn.XLOOKUP(Table61011121316[[#This Row],[Category No]],Table8[Category No],Table8[Chapter List],FALSE)</f>
        <v>0</v>
      </c>
      <c r="D459" s="34"/>
      <c r="E459" s="34"/>
    </row>
    <row r="460" spans="1:5" x14ac:dyDescent="0.3">
      <c r="A460" s="32">
        <v>459</v>
      </c>
      <c r="B460" s="32"/>
      <c r="C460" s="32" t="b">
        <f>_xlfn.XLOOKUP(Table61011121316[[#This Row],[Category No]],Table8[Category No],Table8[Chapter List],FALSE)</f>
        <v>0</v>
      </c>
      <c r="D460" s="34"/>
      <c r="E460" s="34"/>
    </row>
    <row r="461" spans="1:5" x14ac:dyDescent="0.3">
      <c r="A461" s="32">
        <v>460</v>
      </c>
      <c r="B461" s="32"/>
      <c r="C461" s="32" t="b">
        <f>_xlfn.XLOOKUP(Table61011121316[[#This Row],[Category No]],Table8[Category No],Table8[Chapter List],FALSE)</f>
        <v>0</v>
      </c>
      <c r="D461" s="34"/>
      <c r="E461" s="34"/>
    </row>
    <row r="462" spans="1:5" x14ac:dyDescent="0.3">
      <c r="A462" s="32">
        <v>461</v>
      </c>
      <c r="B462" s="32"/>
      <c r="C462" s="32" t="b">
        <f>_xlfn.XLOOKUP(Table61011121316[[#This Row],[Category No]],Table8[Category No],Table8[Chapter List],FALSE)</f>
        <v>0</v>
      </c>
      <c r="D462" s="34"/>
      <c r="E462" s="34"/>
    </row>
    <row r="463" spans="1:5" x14ac:dyDescent="0.3">
      <c r="A463" s="32">
        <v>462</v>
      </c>
      <c r="B463" s="32"/>
      <c r="C463" s="32" t="b">
        <f>_xlfn.XLOOKUP(Table61011121316[[#This Row],[Category No]],Table8[Category No],Table8[Chapter List],FALSE)</f>
        <v>0</v>
      </c>
      <c r="D463" s="34"/>
      <c r="E463" s="34"/>
    </row>
    <row r="464" spans="1:5" x14ac:dyDescent="0.3">
      <c r="A464" s="32">
        <v>463</v>
      </c>
      <c r="B464" s="32"/>
      <c r="C464" s="32" t="b">
        <f>_xlfn.XLOOKUP(Table61011121316[[#This Row],[Category No]],Table8[Category No],Table8[Chapter List],FALSE)</f>
        <v>0</v>
      </c>
      <c r="D464" s="34"/>
      <c r="E464" s="34"/>
    </row>
    <row r="465" spans="1:5" x14ac:dyDescent="0.3">
      <c r="A465" s="32">
        <v>464</v>
      </c>
      <c r="B465" s="32"/>
      <c r="C465" s="32" t="b">
        <f>_xlfn.XLOOKUP(Table61011121316[[#This Row],[Category No]],Table8[Category No],Table8[Chapter List],FALSE)</f>
        <v>0</v>
      </c>
      <c r="D465" s="34"/>
      <c r="E465" s="34"/>
    </row>
    <row r="466" spans="1:5" x14ac:dyDescent="0.3">
      <c r="A466" s="32">
        <v>465</v>
      </c>
      <c r="B466" s="32"/>
      <c r="C466" s="32" t="b">
        <f>_xlfn.XLOOKUP(Table61011121316[[#This Row],[Category No]],Table8[Category No],Table8[Chapter List],FALSE)</f>
        <v>0</v>
      </c>
      <c r="D466" s="34"/>
      <c r="E466" s="34"/>
    </row>
    <row r="467" spans="1:5" x14ac:dyDescent="0.3">
      <c r="A467" s="32">
        <v>466</v>
      </c>
      <c r="B467" s="32"/>
      <c r="C467" s="32" t="b">
        <f>_xlfn.XLOOKUP(Table61011121316[[#This Row],[Category No]],Table8[Category No],Table8[Chapter List],FALSE)</f>
        <v>0</v>
      </c>
      <c r="D467" s="34"/>
      <c r="E467" s="34"/>
    </row>
    <row r="468" spans="1:5" x14ac:dyDescent="0.3">
      <c r="A468" s="32">
        <v>467</v>
      </c>
      <c r="B468" s="32"/>
      <c r="C468" s="32" t="b">
        <f>_xlfn.XLOOKUP(Table61011121316[[#This Row],[Category No]],Table8[Category No],Table8[Chapter List],FALSE)</f>
        <v>0</v>
      </c>
      <c r="D468" s="34"/>
      <c r="E468" s="34"/>
    </row>
    <row r="469" spans="1:5" x14ac:dyDescent="0.3">
      <c r="A469" s="32">
        <v>468</v>
      </c>
      <c r="B469" s="32"/>
      <c r="C469" s="32" t="b">
        <f>_xlfn.XLOOKUP(Table61011121316[[#This Row],[Category No]],Table8[Category No],Table8[Chapter List],FALSE)</f>
        <v>0</v>
      </c>
      <c r="D469" s="34"/>
      <c r="E469" s="34"/>
    </row>
    <row r="470" spans="1:5" x14ac:dyDescent="0.3">
      <c r="A470" s="32">
        <v>469</v>
      </c>
      <c r="B470" s="32"/>
      <c r="C470" s="32" t="b">
        <f>_xlfn.XLOOKUP(Table61011121316[[#This Row],[Category No]],Table8[Category No],Table8[Chapter List],FALSE)</f>
        <v>0</v>
      </c>
      <c r="D470" s="34"/>
      <c r="E470" s="34"/>
    </row>
    <row r="471" spans="1:5" x14ac:dyDescent="0.3">
      <c r="A471" s="32">
        <v>470</v>
      </c>
      <c r="B471" s="32"/>
      <c r="C471" s="32" t="b">
        <f>_xlfn.XLOOKUP(Table61011121316[[#This Row],[Category No]],Table8[Category No],Table8[Chapter List],FALSE)</f>
        <v>0</v>
      </c>
      <c r="D471" s="34"/>
      <c r="E471" s="34"/>
    </row>
    <row r="472" spans="1:5" x14ac:dyDescent="0.3">
      <c r="A472" s="32">
        <v>471</v>
      </c>
      <c r="B472" s="32"/>
      <c r="C472" s="32" t="b">
        <f>_xlfn.XLOOKUP(Table61011121316[[#This Row],[Category No]],Table8[Category No],Table8[Chapter List],FALSE)</f>
        <v>0</v>
      </c>
      <c r="D472" s="34"/>
      <c r="E472" s="34"/>
    </row>
    <row r="473" spans="1:5" x14ac:dyDescent="0.3">
      <c r="A473" s="32">
        <v>472</v>
      </c>
      <c r="B473" s="32"/>
      <c r="C473" s="32" t="b">
        <f>_xlfn.XLOOKUP(Table61011121316[[#This Row],[Category No]],Table8[Category No],Table8[Chapter List],FALSE)</f>
        <v>0</v>
      </c>
      <c r="D473" s="34"/>
      <c r="E473" s="34"/>
    </row>
    <row r="474" spans="1:5" x14ac:dyDescent="0.3">
      <c r="A474" s="32">
        <v>473</v>
      </c>
      <c r="B474" s="32"/>
      <c r="C474" s="32" t="b">
        <f>_xlfn.XLOOKUP(Table61011121316[[#This Row],[Category No]],Table8[Category No],Table8[Chapter List],FALSE)</f>
        <v>0</v>
      </c>
      <c r="D474" s="34"/>
      <c r="E474" s="34"/>
    </row>
    <row r="475" spans="1:5" x14ac:dyDescent="0.3">
      <c r="A475" s="32">
        <v>474</v>
      </c>
      <c r="B475" s="32"/>
      <c r="C475" s="32" t="b">
        <f>_xlfn.XLOOKUP(Table61011121316[[#This Row],[Category No]],Table8[Category No],Table8[Chapter List],FALSE)</f>
        <v>0</v>
      </c>
      <c r="D475" s="34"/>
      <c r="E475" s="34"/>
    </row>
    <row r="476" spans="1:5" x14ac:dyDescent="0.3">
      <c r="A476" s="32">
        <v>475</v>
      </c>
      <c r="B476" s="32"/>
      <c r="C476" s="32" t="b">
        <f>_xlfn.XLOOKUP(Table61011121316[[#This Row],[Category No]],Table8[Category No],Table8[Chapter List],FALSE)</f>
        <v>0</v>
      </c>
      <c r="D476" s="34"/>
      <c r="E476" s="34"/>
    </row>
    <row r="477" spans="1:5" x14ac:dyDescent="0.3">
      <c r="A477" s="32">
        <v>476</v>
      </c>
      <c r="B477" s="32"/>
      <c r="C477" s="32" t="b">
        <f>_xlfn.XLOOKUP(Table61011121316[[#This Row],[Category No]],Table8[Category No],Table8[Chapter List],FALSE)</f>
        <v>0</v>
      </c>
      <c r="D477" s="34"/>
      <c r="E477" s="34"/>
    </row>
    <row r="478" spans="1:5" x14ac:dyDescent="0.3">
      <c r="A478" s="32">
        <v>477</v>
      </c>
      <c r="B478" s="32"/>
      <c r="C478" s="32" t="b">
        <f>_xlfn.XLOOKUP(Table61011121316[[#This Row],[Category No]],Table8[Category No],Table8[Chapter List],FALSE)</f>
        <v>0</v>
      </c>
      <c r="D478" s="34"/>
      <c r="E478" s="34"/>
    </row>
    <row r="479" spans="1:5" x14ac:dyDescent="0.3">
      <c r="A479" s="32">
        <v>478</v>
      </c>
      <c r="B479" s="32"/>
      <c r="C479" s="32" t="b">
        <f>_xlfn.XLOOKUP(Table61011121316[[#This Row],[Category No]],Table8[Category No],Table8[Chapter List],FALSE)</f>
        <v>0</v>
      </c>
      <c r="D479" s="34"/>
      <c r="E479" s="34"/>
    </row>
    <row r="480" spans="1:5" x14ac:dyDescent="0.3">
      <c r="A480" s="32">
        <v>479</v>
      </c>
      <c r="B480" s="32"/>
      <c r="C480" s="32" t="b">
        <f>_xlfn.XLOOKUP(Table61011121316[[#This Row],[Category No]],Table8[Category No],Table8[Chapter List],FALSE)</f>
        <v>0</v>
      </c>
      <c r="D480" s="34"/>
      <c r="E480" s="34"/>
    </row>
    <row r="481" spans="1:5" x14ac:dyDescent="0.3">
      <c r="A481" s="32">
        <v>480</v>
      </c>
      <c r="B481" s="32"/>
      <c r="C481" s="32" t="b">
        <f>_xlfn.XLOOKUP(Table61011121316[[#This Row],[Category No]],Table8[Category No],Table8[Chapter List],FALSE)</f>
        <v>0</v>
      </c>
      <c r="D481" s="34"/>
      <c r="E481" s="34"/>
    </row>
    <row r="482" spans="1:5" x14ac:dyDescent="0.3">
      <c r="A482" s="32">
        <v>481</v>
      </c>
      <c r="B482" s="32"/>
      <c r="C482" s="32" t="b">
        <f>_xlfn.XLOOKUP(Table61011121316[[#This Row],[Category No]],Table8[Category No],Table8[Chapter List],FALSE)</f>
        <v>0</v>
      </c>
      <c r="D482" s="34"/>
      <c r="E482" s="34"/>
    </row>
    <row r="483" spans="1:5" x14ac:dyDescent="0.3">
      <c r="A483" s="32">
        <v>482</v>
      </c>
      <c r="B483" s="32"/>
      <c r="C483" s="32" t="b">
        <f>_xlfn.XLOOKUP(Table61011121316[[#This Row],[Category No]],Table8[Category No],Table8[Chapter List],FALSE)</f>
        <v>0</v>
      </c>
      <c r="D483" s="34"/>
      <c r="E483" s="34"/>
    </row>
    <row r="484" spans="1:5" x14ac:dyDescent="0.3">
      <c r="A484" s="32">
        <v>483</v>
      </c>
      <c r="B484" s="32"/>
      <c r="C484" s="32" t="b">
        <f>_xlfn.XLOOKUP(Table61011121316[[#This Row],[Category No]],Table8[Category No],Table8[Chapter List],FALSE)</f>
        <v>0</v>
      </c>
      <c r="D484" s="34"/>
      <c r="E484" s="34"/>
    </row>
    <row r="485" spans="1:5" x14ac:dyDescent="0.3">
      <c r="A485" s="32">
        <v>484</v>
      </c>
      <c r="B485" s="32"/>
      <c r="C485" s="32" t="b">
        <f>_xlfn.XLOOKUP(Table61011121316[[#This Row],[Category No]],Table8[Category No],Table8[Chapter List],FALSE)</f>
        <v>0</v>
      </c>
      <c r="D485" s="34"/>
      <c r="E485" s="34"/>
    </row>
    <row r="486" spans="1:5" x14ac:dyDescent="0.3">
      <c r="A486" s="32">
        <v>485</v>
      </c>
      <c r="B486" s="32"/>
      <c r="C486" s="32" t="b">
        <f>_xlfn.XLOOKUP(Table61011121316[[#This Row],[Category No]],Table8[Category No],Table8[Chapter List],FALSE)</f>
        <v>0</v>
      </c>
      <c r="D486" s="34"/>
      <c r="E486" s="34"/>
    </row>
    <row r="487" spans="1:5" x14ac:dyDescent="0.3">
      <c r="A487" s="32">
        <v>486</v>
      </c>
      <c r="B487" s="32"/>
      <c r="C487" s="32" t="b">
        <f>_xlfn.XLOOKUP(Table61011121316[[#This Row],[Category No]],Table8[Category No],Table8[Chapter List],FALSE)</f>
        <v>0</v>
      </c>
      <c r="D487" s="34"/>
      <c r="E487" s="34"/>
    </row>
    <row r="488" spans="1:5" x14ac:dyDescent="0.3">
      <c r="A488" s="32">
        <v>487</v>
      </c>
      <c r="B488" s="32"/>
      <c r="C488" s="32" t="b">
        <f>_xlfn.XLOOKUP(Table61011121316[[#This Row],[Category No]],Table8[Category No],Table8[Chapter List],FALSE)</f>
        <v>0</v>
      </c>
      <c r="D488" s="34"/>
      <c r="E488" s="34"/>
    </row>
    <row r="489" spans="1:5" x14ac:dyDescent="0.3">
      <c r="A489" s="32">
        <v>488</v>
      </c>
      <c r="B489" s="32"/>
      <c r="C489" s="32" t="b">
        <f>_xlfn.XLOOKUP(Table61011121316[[#This Row],[Category No]],Table8[Category No],Table8[Chapter List],FALSE)</f>
        <v>0</v>
      </c>
      <c r="D489" s="34"/>
      <c r="E489" s="34"/>
    </row>
    <row r="490" spans="1:5" x14ac:dyDescent="0.3">
      <c r="A490" s="32">
        <v>489</v>
      </c>
      <c r="B490" s="32"/>
      <c r="C490" s="32" t="b">
        <f>_xlfn.XLOOKUP(Table61011121316[[#This Row],[Category No]],Table8[Category No],Table8[Chapter List],FALSE)</f>
        <v>0</v>
      </c>
      <c r="D490" s="34"/>
      <c r="E490" s="34"/>
    </row>
    <row r="491" spans="1:5" x14ac:dyDescent="0.3">
      <c r="A491" s="32">
        <v>490</v>
      </c>
      <c r="B491" s="32"/>
      <c r="C491" s="32" t="b">
        <f>_xlfn.XLOOKUP(Table61011121316[[#This Row],[Category No]],Table8[Category No],Table8[Chapter List],FALSE)</f>
        <v>0</v>
      </c>
      <c r="D491" s="34"/>
      <c r="E491" s="34"/>
    </row>
    <row r="492" spans="1:5" x14ac:dyDescent="0.3">
      <c r="A492" s="32">
        <v>491</v>
      </c>
      <c r="B492" s="32"/>
      <c r="C492" s="32" t="b">
        <f>_xlfn.XLOOKUP(Table61011121316[[#This Row],[Category No]],Table8[Category No],Table8[Chapter List],FALSE)</f>
        <v>0</v>
      </c>
      <c r="D492" s="34"/>
      <c r="E492" s="34"/>
    </row>
    <row r="493" spans="1:5" x14ac:dyDescent="0.3">
      <c r="A493" s="32">
        <v>492</v>
      </c>
      <c r="B493" s="32"/>
      <c r="C493" s="32" t="b">
        <f>_xlfn.XLOOKUP(Table61011121316[[#This Row],[Category No]],Table8[Category No],Table8[Chapter List],FALSE)</f>
        <v>0</v>
      </c>
      <c r="D493" s="34"/>
      <c r="E493" s="34"/>
    </row>
    <row r="494" spans="1:5" x14ac:dyDescent="0.3">
      <c r="A494" s="32">
        <v>493</v>
      </c>
      <c r="B494" s="32"/>
      <c r="C494" s="32" t="b">
        <f>_xlfn.XLOOKUP(Table61011121316[[#This Row],[Category No]],Table8[Category No],Table8[Chapter List],FALSE)</f>
        <v>0</v>
      </c>
      <c r="D494" s="34"/>
      <c r="E494" s="34"/>
    </row>
    <row r="495" spans="1:5" x14ac:dyDescent="0.3">
      <c r="A495" s="32">
        <v>494</v>
      </c>
      <c r="B495" s="32"/>
      <c r="C495" s="32" t="b">
        <f>_xlfn.XLOOKUP(Table61011121316[[#This Row],[Category No]],Table8[Category No],Table8[Chapter List],FALSE)</f>
        <v>0</v>
      </c>
      <c r="D495" s="34"/>
      <c r="E495" s="34"/>
    </row>
    <row r="496" spans="1:5" x14ac:dyDescent="0.3">
      <c r="A496" s="32">
        <v>495</v>
      </c>
      <c r="B496" s="32"/>
      <c r="C496" s="32" t="b">
        <f>_xlfn.XLOOKUP(Table61011121316[[#This Row],[Category No]],Table8[Category No],Table8[Chapter List],FALSE)</f>
        <v>0</v>
      </c>
      <c r="D496" s="34"/>
      <c r="E496" s="34"/>
    </row>
    <row r="497" spans="1:5" x14ac:dyDescent="0.3">
      <c r="A497" s="32">
        <v>496</v>
      </c>
      <c r="B497" s="32"/>
      <c r="C497" s="32" t="b">
        <f>_xlfn.XLOOKUP(Table61011121316[[#This Row],[Category No]],Table8[Category No],Table8[Chapter List],FALSE)</f>
        <v>0</v>
      </c>
      <c r="D497" s="34"/>
      <c r="E497" s="34"/>
    </row>
    <row r="498" spans="1:5" x14ac:dyDescent="0.3">
      <c r="A498" s="32">
        <v>497</v>
      </c>
      <c r="B498" s="32"/>
      <c r="C498" s="32" t="b">
        <f>_xlfn.XLOOKUP(Table61011121316[[#This Row],[Category No]],Table8[Category No],Table8[Chapter List],FALSE)</f>
        <v>0</v>
      </c>
      <c r="D498" s="34"/>
      <c r="E498" s="34"/>
    </row>
    <row r="499" spans="1:5" x14ac:dyDescent="0.3">
      <c r="A499" s="32">
        <v>498</v>
      </c>
      <c r="B499" s="32"/>
      <c r="C499" s="32" t="b">
        <f>_xlfn.XLOOKUP(Table61011121316[[#This Row],[Category No]],Table8[Category No],Table8[Chapter List],FALSE)</f>
        <v>0</v>
      </c>
      <c r="D499" s="34"/>
      <c r="E499" s="34"/>
    </row>
    <row r="500" spans="1:5" x14ac:dyDescent="0.3">
      <c r="A500" s="32">
        <v>499</v>
      </c>
      <c r="B500" s="32"/>
      <c r="C500" s="32" t="b">
        <f>_xlfn.XLOOKUP(Table61011121316[[#This Row],[Category No]],Table8[Category No],Table8[Chapter List],FALSE)</f>
        <v>0</v>
      </c>
      <c r="D500" s="34"/>
      <c r="E500" s="34"/>
    </row>
    <row r="501" spans="1:5" x14ac:dyDescent="0.3">
      <c r="A501" s="32">
        <v>500</v>
      </c>
      <c r="B501" s="32"/>
      <c r="C501" s="32" t="b">
        <f>_xlfn.XLOOKUP(Table61011121316[[#This Row],[Category No]],Table8[Category No],Table8[Chapter List],FALSE)</f>
        <v>0</v>
      </c>
      <c r="D501" s="34"/>
      <c r="E501" s="34"/>
    </row>
    <row r="502" spans="1:5" x14ac:dyDescent="0.3">
      <c r="A502" s="32">
        <v>501</v>
      </c>
      <c r="B502" s="32"/>
      <c r="C502" s="32" t="b">
        <f>_xlfn.XLOOKUP(Table61011121316[[#This Row],[Category No]],Table8[Category No],Table8[Chapter List],FALSE)</f>
        <v>0</v>
      </c>
      <c r="D502" s="34"/>
      <c r="E502" s="34"/>
    </row>
    <row r="503" spans="1:5" x14ac:dyDescent="0.3">
      <c r="A503" s="32">
        <v>502</v>
      </c>
      <c r="B503" s="32"/>
      <c r="C503" s="32" t="b">
        <f>_xlfn.XLOOKUP(Table61011121316[[#This Row],[Category No]],Table8[Category No],Table8[Chapter List],FALSE)</f>
        <v>0</v>
      </c>
      <c r="D503" s="34"/>
      <c r="E503" s="34"/>
    </row>
    <row r="504" spans="1:5" x14ac:dyDescent="0.3">
      <c r="A504" s="32">
        <v>503</v>
      </c>
      <c r="B504" s="32"/>
      <c r="C504" s="32" t="b">
        <f>_xlfn.XLOOKUP(Table61011121316[[#This Row],[Category No]],Table8[Category No],Table8[Chapter List],FALSE)</f>
        <v>0</v>
      </c>
      <c r="D504" s="34"/>
      <c r="E504" s="34"/>
    </row>
    <row r="505" spans="1:5" x14ac:dyDescent="0.3">
      <c r="A505" s="32">
        <v>504</v>
      </c>
      <c r="B505" s="32"/>
      <c r="C505" s="32" t="b">
        <f>_xlfn.XLOOKUP(Table61011121316[[#This Row],[Category No]],Table8[Category No],Table8[Chapter List],FALSE)</f>
        <v>0</v>
      </c>
      <c r="D505" s="34"/>
      <c r="E505" s="34"/>
    </row>
    <row r="506" spans="1:5" x14ac:dyDescent="0.3">
      <c r="A506" s="32">
        <v>505</v>
      </c>
      <c r="B506" s="32"/>
      <c r="C506" s="32" t="b">
        <f>_xlfn.XLOOKUP(Table61011121316[[#This Row],[Category No]],Table8[Category No],Table8[Chapter List],FALSE)</f>
        <v>0</v>
      </c>
      <c r="D506" s="34"/>
      <c r="E506" s="34"/>
    </row>
    <row r="507" spans="1:5" x14ac:dyDescent="0.3">
      <c r="A507" s="32">
        <v>506</v>
      </c>
      <c r="B507" s="32"/>
      <c r="C507" s="32" t="b">
        <f>_xlfn.XLOOKUP(Table61011121316[[#This Row],[Category No]],Table8[Category No],Table8[Chapter List],FALSE)</f>
        <v>0</v>
      </c>
      <c r="D507" s="34"/>
      <c r="E507" s="34"/>
    </row>
    <row r="508" spans="1:5" x14ac:dyDescent="0.3">
      <c r="A508" s="32">
        <v>507</v>
      </c>
      <c r="B508" s="32"/>
      <c r="C508" s="32" t="b">
        <f>_xlfn.XLOOKUP(Table61011121316[[#This Row],[Category No]],Table8[Category No],Table8[Chapter List],FALSE)</f>
        <v>0</v>
      </c>
      <c r="D508" s="34"/>
      <c r="E508" s="34"/>
    </row>
    <row r="509" spans="1:5" x14ac:dyDescent="0.3">
      <c r="A509" s="32">
        <v>508</v>
      </c>
      <c r="B509" s="32"/>
      <c r="C509" s="32" t="b">
        <f>_xlfn.XLOOKUP(Table61011121316[[#This Row],[Category No]],Table8[Category No],Table8[Chapter List],FALSE)</f>
        <v>0</v>
      </c>
      <c r="D509" s="34"/>
      <c r="E509" s="34"/>
    </row>
    <row r="510" spans="1:5" x14ac:dyDescent="0.3">
      <c r="A510" s="32">
        <v>509</v>
      </c>
      <c r="B510" s="32"/>
      <c r="C510" s="32" t="b">
        <f>_xlfn.XLOOKUP(Table61011121316[[#This Row],[Category No]],Table8[Category No],Table8[Chapter List],FALSE)</f>
        <v>0</v>
      </c>
      <c r="D510" s="34"/>
      <c r="E510" s="34"/>
    </row>
    <row r="511" spans="1:5" x14ac:dyDescent="0.3">
      <c r="A511" s="32">
        <v>510</v>
      </c>
      <c r="B511" s="32"/>
      <c r="C511" s="32" t="b">
        <f>_xlfn.XLOOKUP(Table61011121316[[#This Row],[Category No]],Table8[Category No],Table8[Chapter List],FALSE)</f>
        <v>0</v>
      </c>
      <c r="D511" s="34"/>
      <c r="E511" s="34"/>
    </row>
    <row r="512" spans="1:5" x14ac:dyDescent="0.3">
      <c r="A512" s="32">
        <v>511</v>
      </c>
      <c r="B512" s="32"/>
      <c r="C512" s="32" t="b">
        <f>_xlfn.XLOOKUP(Table61011121316[[#This Row],[Category No]],Table8[Category No],Table8[Chapter List],FALSE)</f>
        <v>0</v>
      </c>
      <c r="D512" s="34"/>
      <c r="E512" s="34"/>
    </row>
    <row r="513" spans="1:5" x14ac:dyDescent="0.3">
      <c r="A513" s="32">
        <v>512</v>
      </c>
      <c r="B513" s="32"/>
      <c r="C513" s="32" t="b">
        <f>_xlfn.XLOOKUP(Table61011121316[[#This Row],[Category No]],Table8[Category No],Table8[Chapter List],FALSE)</f>
        <v>0</v>
      </c>
      <c r="D513" s="34"/>
      <c r="E513" s="34"/>
    </row>
    <row r="514" spans="1:5" x14ac:dyDescent="0.3">
      <c r="A514" s="32">
        <v>513</v>
      </c>
      <c r="B514" s="32"/>
      <c r="C514" s="32" t="b">
        <f>_xlfn.XLOOKUP(Table61011121316[[#This Row],[Category No]],Table8[Category No],Table8[Chapter List],FALSE)</f>
        <v>0</v>
      </c>
      <c r="D514" s="34"/>
      <c r="E514" s="34"/>
    </row>
    <row r="515" spans="1:5" x14ac:dyDescent="0.3">
      <c r="A515" s="32">
        <v>514</v>
      </c>
      <c r="B515" s="32"/>
      <c r="C515" s="32" t="b">
        <f>_xlfn.XLOOKUP(Table61011121316[[#This Row],[Category No]],Table8[Category No],Table8[Chapter List],FALSE)</f>
        <v>0</v>
      </c>
      <c r="D515" s="34"/>
      <c r="E515" s="34"/>
    </row>
    <row r="516" spans="1:5" x14ac:dyDescent="0.3">
      <c r="A516" s="32">
        <v>515</v>
      </c>
      <c r="B516" s="32"/>
      <c r="C516" s="32" t="b">
        <f>_xlfn.XLOOKUP(Table61011121316[[#This Row],[Category No]],Table8[Category No],Table8[Chapter List],FALSE)</f>
        <v>0</v>
      </c>
      <c r="D516" s="34"/>
      <c r="E516" s="34"/>
    </row>
    <row r="517" spans="1:5" x14ac:dyDescent="0.3">
      <c r="A517" s="32">
        <v>516</v>
      </c>
      <c r="B517" s="32"/>
      <c r="C517" s="32" t="b">
        <f>_xlfn.XLOOKUP(Table61011121316[[#This Row],[Category No]],Table8[Category No],Table8[Chapter List],FALSE)</f>
        <v>0</v>
      </c>
      <c r="D517" s="34"/>
      <c r="E517" s="34"/>
    </row>
    <row r="518" spans="1:5" x14ac:dyDescent="0.3">
      <c r="A518" s="32">
        <v>517</v>
      </c>
      <c r="B518" s="32"/>
      <c r="C518" s="32" t="b">
        <f>_xlfn.XLOOKUP(Table61011121316[[#This Row],[Category No]],Table8[Category No],Table8[Chapter List],FALSE)</f>
        <v>0</v>
      </c>
      <c r="D518" s="34"/>
      <c r="E518" s="34"/>
    </row>
    <row r="519" spans="1:5" x14ac:dyDescent="0.3">
      <c r="A519" s="32">
        <v>518</v>
      </c>
      <c r="B519" s="32"/>
      <c r="C519" s="32" t="b">
        <f>_xlfn.XLOOKUP(Table61011121316[[#This Row],[Category No]],Table8[Category No],Table8[Chapter List],FALSE)</f>
        <v>0</v>
      </c>
      <c r="D519" s="34"/>
      <c r="E519" s="34"/>
    </row>
    <row r="520" spans="1:5" x14ac:dyDescent="0.3">
      <c r="A520" s="32">
        <v>519</v>
      </c>
      <c r="B520" s="32"/>
      <c r="C520" s="32" t="b">
        <f>_xlfn.XLOOKUP(Table61011121316[[#This Row],[Category No]],Table8[Category No],Table8[Chapter List],FALSE)</f>
        <v>0</v>
      </c>
      <c r="D520" s="34"/>
      <c r="E520" s="34"/>
    </row>
    <row r="521" spans="1:5" x14ac:dyDescent="0.3">
      <c r="A521" s="32">
        <v>520</v>
      </c>
      <c r="B521" s="32"/>
      <c r="C521" s="32" t="b">
        <f>_xlfn.XLOOKUP(Table61011121316[[#This Row],[Category No]],Table8[Category No],Table8[Chapter List],FALSE)</f>
        <v>0</v>
      </c>
      <c r="D521" s="34"/>
      <c r="E521" s="34"/>
    </row>
    <row r="522" spans="1:5" x14ac:dyDescent="0.3">
      <c r="A522" s="32">
        <v>521</v>
      </c>
      <c r="B522" s="32"/>
      <c r="C522" s="32" t="b">
        <f>_xlfn.XLOOKUP(Table61011121316[[#This Row],[Category No]],Table8[Category No],Table8[Chapter List],FALSE)</f>
        <v>0</v>
      </c>
      <c r="D522" s="34"/>
      <c r="E522" s="34"/>
    </row>
    <row r="523" spans="1:5" x14ac:dyDescent="0.3">
      <c r="A523" s="32">
        <v>522</v>
      </c>
      <c r="B523" s="32"/>
      <c r="C523" s="32" t="b">
        <f>_xlfn.XLOOKUP(Table61011121316[[#This Row],[Category No]],Table8[Category No],Table8[Chapter List],FALSE)</f>
        <v>0</v>
      </c>
      <c r="D523" s="34"/>
      <c r="E523" s="34"/>
    </row>
    <row r="524" spans="1:5" x14ac:dyDescent="0.3">
      <c r="A524" s="32">
        <v>523</v>
      </c>
      <c r="B524" s="32"/>
      <c r="C524" s="32" t="b">
        <f>_xlfn.XLOOKUP(Table61011121316[[#This Row],[Category No]],Table8[Category No],Table8[Chapter List],FALSE)</f>
        <v>0</v>
      </c>
      <c r="D524" s="34"/>
      <c r="E524" s="34"/>
    </row>
    <row r="525" spans="1:5" x14ac:dyDescent="0.3">
      <c r="A525" s="32">
        <v>524</v>
      </c>
      <c r="B525" s="32"/>
      <c r="C525" s="32" t="b">
        <f>_xlfn.XLOOKUP(Table61011121316[[#This Row],[Category No]],Table8[Category No],Table8[Chapter List],FALSE)</f>
        <v>0</v>
      </c>
      <c r="D525" s="34"/>
      <c r="E525" s="34"/>
    </row>
    <row r="526" spans="1:5" x14ac:dyDescent="0.3">
      <c r="A526" s="32">
        <v>525</v>
      </c>
      <c r="B526" s="32"/>
      <c r="C526" s="32" t="b">
        <f>_xlfn.XLOOKUP(Table61011121316[[#This Row],[Category No]],Table8[Category No],Table8[Chapter List],FALSE)</f>
        <v>0</v>
      </c>
      <c r="D526" s="34"/>
      <c r="E526" s="34"/>
    </row>
    <row r="527" spans="1:5" x14ac:dyDescent="0.3">
      <c r="A527" s="32">
        <v>526</v>
      </c>
      <c r="B527" s="32"/>
      <c r="C527" s="32" t="b">
        <f>_xlfn.XLOOKUP(Table61011121316[[#This Row],[Category No]],Table8[Category No],Table8[Chapter List],FALSE)</f>
        <v>0</v>
      </c>
      <c r="D527" s="34"/>
      <c r="E527" s="34"/>
    </row>
    <row r="528" spans="1:5" x14ac:dyDescent="0.3">
      <c r="A528" s="32">
        <v>527</v>
      </c>
      <c r="B528" s="32"/>
      <c r="C528" s="32" t="b">
        <f>_xlfn.XLOOKUP(Table61011121316[[#This Row],[Category No]],Table8[Category No],Table8[Chapter List],FALSE)</f>
        <v>0</v>
      </c>
      <c r="D528" s="34"/>
      <c r="E528" s="34"/>
    </row>
    <row r="529" spans="1:5" x14ac:dyDescent="0.3">
      <c r="A529" s="32">
        <v>528</v>
      </c>
      <c r="B529" s="32"/>
      <c r="C529" s="32" t="b">
        <f>_xlfn.XLOOKUP(Table61011121316[[#This Row],[Category No]],Table8[Category No],Table8[Chapter List],FALSE)</f>
        <v>0</v>
      </c>
      <c r="D529" s="34"/>
      <c r="E529" s="34"/>
    </row>
    <row r="530" spans="1:5" x14ac:dyDescent="0.3">
      <c r="A530" s="32">
        <v>529</v>
      </c>
      <c r="B530" s="32"/>
      <c r="C530" s="32" t="b">
        <f>_xlfn.XLOOKUP(Table61011121316[[#This Row],[Category No]],Table8[Category No],Table8[Chapter List],FALSE)</f>
        <v>0</v>
      </c>
      <c r="D530" s="34"/>
      <c r="E530" s="34"/>
    </row>
    <row r="531" spans="1:5" x14ac:dyDescent="0.3">
      <c r="A531" s="32">
        <v>530</v>
      </c>
      <c r="B531" s="32"/>
      <c r="C531" s="32" t="b">
        <f>_xlfn.XLOOKUP(Table61011121316[[#This Row],[Category No]],Table8[Category No],Table8[Chapter List],FALSE)</f>
        <v>0</v>
      </c>
      <c r="D531" s="34"/>
      <c r="E531" s="34"/>
    </row>
    <row r="532" spans="1:5" x14ac:dyDescent="0.3">
      <c r="A532" s="32">
        <v>531</v>
      </c>
      <c r="B532" s="32"/>
      <c r="C532" s="32" t="b">
        <f>_xlfn.XLOOKUP(Table61011121316[[#This Row],[Category No]],Table8[Category No],Table8[Chapter List],FALSE)</f>
        <v>0</v>
      </c>
      <c r="D532" s="34"/>
      <c r="E532" s="34"/>
    </row>
    <row r="533" spans="1:5" x14ac:dyDescent="0.3">
      <c r="A533" s="32">
        <v>532</v>
      </c>
      <c r="B533" s="32"/>
      <c r="C533" s="32" t="b">
        <f>_xlfn.XLOOKUP(Table61011121316[[#This Row],[Category No]],Table8[Category No],Table8[Chapter List],FALSE)</f>
        <v>0</v>
      </c>
      <c r="D533" s="34"/>
      <c r="E533" s="34"/>
    </row>
    <row r="534" spans="1:5" x14ac:dyDescent="0.3">
      <c r="A534" s="32">
        <v>533</v>
      </c>
      <c r="B534" s="32"/>
      <c r="C534" s="32" t="b">
        <f>_xlfn.XLOOKUP(Table61011121316[[#This Row],[Category No]],Table8[Category No],Table8[Chapter List],FALSE)</f>
        <v>0</v>
      </c>
      <c r="D534" s="34"/>
      <c r="E534" s="34"/>
    </row>
    <row r="535" spans="1:5" x14ac:dyDescent="0.3">
      <c r="A535" s="32">
        <v>534</v>
      </c>
      <c r="B535" s="32"/>
      <c r="C535" s="32" t="b">
        <f>_xlfn.XLOOKUP(Table61011121316[[#This Row],[Category No]],Table8[Category No],Table8[Chapter List],FALSE)</f>
        <v>0</v>
      </c>
      <c r="D535" s="34"/>
      <c r="E535" s="34"/>
    </row>
    <row r="536" spans="1:5" x14ac:dyDescent="0.3">
      <c r="A536" s="32">
        <v>535</v>
      </c>
      <c r="B536" s="32"/>
      <c r="C536" s="32" t="b">
        <f>_xlfn.XLOOKUP(Table61011121316[[#This Row],[Category No]],Table8[Category No],Table8[Chapter List],FALSE)</f>
        <v>0</v>
      </c>
      <c r="D536" s="34"/>
      <c r="E536" s="34"/>
    </row>
    <row r="537" spans="1:5" x14ac:dyDescent="0.3">
      <c r="A537" s="32">
        <v>536</v>
      </c>
      <c r="B537" s="32"/>
      <c r="C537" s="32" t="b">
        <f>_xlfn.XLOOKUP(Table61011121316[[#This Row],[Category No]],Table8[Category No],Table8[Chapter List],FALSE)</f>
        <v>0</v>
      </c>
      <c r="D537" s="34"/>
      <c r="E537" s="34"/>
    </row>
    <row r="538" spans="1:5" x14ac:dyDescent="0.3">
      <c r="A538" s="32">
        <v>537</v>
      </c>
      <c r="B538" s="32"/>
      <c r="C538" s="32" t="b">
        <f>_xlfn.XLOOKUP(Table61011121316[[#This Row],[Category No]],Table8[Category No],Table8[Chapter List],FALSE)</f>
        <v>0</v>
      </c>
      <c r="D538" s="34"/>
      <c r="E538" s="34"/>
    </row>
    <row r="539" spans="1:5" x14ac:dyDescent="0.3">
      <c r="A539" s="32">
        <v>538</v>
      </c>
      <c r="B539" s="32"/>
      <c r="C539" s="32" t="b">
        <f>_xlfn.XLOOKUP(Table61011121316[[#This Row],[Category No]],Table8[Category No],Table8[Chapter List],FALSE)</f>
        <v>0</v>
      </c>
      <c r="D539" s="34"/>
      <c r="E539" s="34"/>
    </row>
    <row r="540" spans="1:5" x14ac:dyDescent="0.3">
      <c r="A540" s="32">
        <v>539</v>
      </c>
      <c r="B540" s="32"/>
      <c r="C540" s="32" t="b">
        <f>_xlfn.XLOOKUP(Table61011121316[[#This Row],[Category No]],Table8[Category No],Table8[Chapter List],FALSE)</f>
        <v>0</v>
      </c>
      <c r="D540" s="34"/>
      <c r="E540" s="34"/>
    </row>
    <row r="541" spans="1:5" x14ac:dyDescent="0.3">
      <c r="A541" s="32">
        <v>540</v>
      </c>
      <c r="B541" s="32"/>
      <c r="C541" s="32" t="b">
        <f>_xlfn.XLOOKUP(Table61011121316[[#This Row],[Category No]],Table8[Category No],Table8[Chapter List],FALSE)</f>
        <v>0</v>
      </c>
      <c r="D541" s="34"/>
      <c r="E541" s="34"/>
    </row>
    <row r="542" spans="1:5" x14ac:dyDescent="0.3">
      <c r="A542" s="32">
        <v>541</v>
      </c>
      <c r="B542" s="32"/>
      <c r="C542" s="32" t="b">
        <f>_xlfn.XLOOKUP(Table61011121316[[#This Row],[Category No]],Table8[Category No],Table8[Chapter List],FALSE)</f>
        <v>0</v>
      </c>
      <c r="D542" s="34"/>
      <c r="E542" s="34"/>
    </row>
    <row r="543" spans="1:5" x14ac:dyDescent="0.3">
      <c r="A543" s="32">
        <v>542</v>
      </c>
      <c r="B543" s="32"/>
      <c r="C543" s="32" t="b">
        <f>_xlfn.XLOOKUP(Table61011121316[[#This Row],[Category No]],Table8[Category No],Table8[Chapter List],FALSE)</f>
        <v>0</v>
      </c>
      <c r="D543" s="34"/>
      <c r="E543" s="34"/>
    </row>
    <row r="544" spans="1:5" x14ac:dyDescent="0.3">
      <c r="A544" s="32">
        <v>543</v>
      </c>
      <c r="B544" s="32"/>
      <c r="C544" s="32" t="b">
        <f>_xlfn.XLOOKUP(Table61011121316[[#This Row],[Category No]],Table8[Category No],Table8[Chapter List],FALSE)</f>
        <v>0</v>
      </c>
      <c r="D544" s="34"/>
      <c r="E544" s="34"/>
    </row>
    <row r="545" spans="1:5" x14ac:dyDescent="0.3">
      <c r="A545" s="32">
        <v>544</v>
      </c>
      <c r="B545" s="32"/>
      <c r="C545" s="32" t="b">
        <f>_xlfn.XLOOKUP(Table61011121316[[#This Row],[Category No]],Table8[Category No],Table8[Chapter List],FALSE)</f>
        <v>0</v>
      </c>
      <c r="D545" s="34"/>
      <c r="E545" s="34"/>
    </row>
    <row r="546" spans="1:5" x14ac:dyDescent="0.3">
      <c r="A546" s="32">
        <v>545</v>
      </c>
      <c r="B546" s="32"/>
      <c r="C546" s="32" t="b">
        <f>_xlfn.XLOOKUP(Table61011121316[[#This Row],[Category No]],Table8[Category No],Table8[Chapter List],FALSE)</f>
        <v>0</v>
      </c>
      <c r="D546" s="34"/>
      <c r="E546" s="34"/>
    </row>
    <row r="547" spans="1:5" x14ac:dyDescent="0.3">
      <c r="A547" s="32">
        <v>546</v>
      </c>
      <c r="B547" s="32"/>
      <c r="C547" s="32" t="b">
        <f>_xlfn.XLOOKUP(Table61011121316[[#This Row],[Category No]],Table8[Category No],Table8[Chapter List],FALSE)</f>
        <v>0</v>
      </c>
      <c r="D547" s="34"/>
      <c r="E547" s="34"/>
    </row>
    <row r="548" spans="1:5" x14ac:dyDescent="0.3">
      <c r="A548" s="32">
        <v>547</v>
      </c>
      <c r="B548" s="32"/>
      <c r="C548" s="32" t="b">
        <f>_xlfn.XLOOKUP(Table61011121316[[#This Row],[Category No]],Table8[Category No],Table8[Chapter List],FALSE)</f>
        <v>0</v>
      </c>
      <c r="D548" s="34"/>
      <c r="E548" s="34"/>
    </row>
    <row r="549" spans="1:5" x14ac:dyDescent="0.3">
      <c r="A549" s="32">
        <v>548</v>
      </c>
      <c r="B549" s="32"/>
      <c r="C549" s="32" t="b">
        <f>_xlfn.XLOOKUP(Table61011121316[[#This Row],[Category No]],Table8[Category No],Table8[Chapter List],FALSE)</f>
        <v>0</v>
      </c>
      <c r="D549" s="34"/>
      <c r="E549" s="34"/>
    </row>
    <row r="550" spans="1:5" x14ac:dyDescent="0.3">
      <c r="A550" s="32">
        <v>549</v>
      </c>
      <c r="B550" s="32"/>
      <c r="C550" s="32" t="b">
        <f>_xlfn.XLOOKUP(Table61011121316[[#This Row],[Category No]],Table8[Category No],Table8[Chapter List],FALSE)</f>
        <v>0</v>
      </c>
      <c r="D550" s="34"/>
      <c r="E550" s="34"/>
    </row>
    <row r="551" spans="1:5" x14ac:dyDescent="0.3">
      <c r="A551" s="32">
        <v>550</v>
      </c>
      <c r="B551" s="32"/>
      <c r="C551" s="32" t="b">
        <f>_xlfn.XLOOKUP(Table61011121316[[#This Row],[Category No]],Table8[Category No],Table8[Chapter List],FALSE)</f>
        <v>0</v>
      </c>
      <c r="D551" s="34"/>
      <c r="E551" s="34"/>
    </row>
    <row r="552" spans="1:5" x14ac:dyDescent="0.3">
      <c r="A552" s="32">
        <v>551</v>
      </c>
      <c r="B552" s="32"/>
      <c r="C552" s="32" t="b">
        <f>_xlfn.XLOOKUP(Table61011121316[[#This Row],[Category No]],Table8[Category No],Table8[Chapter List],FALSE)</f>
        <v>0</v>
      </c>
      <c r="D552" s="34"/>
      <c r="E552" s="34"/>
    </row>
    <row r="553" spans="1:5" x14ac:dyDescent="0.3">
      <c r="A553" s="32">
        <v>552</v>
      </c>
      <c r="B553" s="32"/>
      <c r="C553" s="32" t="b">
        <f>_xlfn.XLOOKUP(Table61011121316[[#This Row],[Category No]],Table8[Category No],Table8[Chapter List],FALSE)</f>
        <v>0</v>
      </c>
      <c r="D553" s="34"/>
      <c r="E553" s="34"/>
    </row>
    <row r="554" spans="1:5" x14ac:dyDescent="0.3">
      <c r="A554" s="32">
        <v>553</v>
      </c>
      <c r="B554" s="32"/>
      <c r="C554" s="32" t="b">
        <f>_xlfn.XLOOKUP(Table61011121316[[#This Row],[Category No]],Table8[Category No],Table8[Chapter List],FALSE)</f>
        <v>0</v>
      </c>
      <c r="D554" s="34"/>
      <c r="E554" s="34"/>
    </row>
    <row r="555" spans="1:5" x14ac:dyDescent="0.3">
      <c r="A555" s="32">
        <v>554</v>
      </c>
      <c r="B555" s="32"/>
      <c r="C555" s="32" t="b">
        <f>_xlfn.XLOOKUP(Table61011121316[[#This Row],[Category No]],Table8[Category No],Table8[Chapter List],FALSE)</f>
        <v>0</v>
      </c>
      <c r="D555" s="34"/>
      <c r="E555" s="34"/>
    </row>
    <row r="556" spans="1:5" x14ac:dyDescent="0.3">
      <c r="A556" s="32">
        <v>555</v>
      </c>
      <c r="B556" s="32"/>
      <c r="C556" s="32" t="b">
        <f>_xlfn.XLOOKUP(Table61011121316[[#This Row],[Category No]],Table8[Category No],Table8[Chapter List],FALSE)</f>
        <v>0</v>
      </c>
      <c r="D556" s="34"/>
      <c r="E556" s="34"/>
    </row>
    <row r="557" spans="1:5" x14ac:dyDescent="0.3">
      <c r="A557" s="32">
        <v>556</v>
      </c>
      <c r="B557" s="32"/>
      <c r="C557" s="32" t="b">
        <f>_xlfn.XLOOKUP(Table61011121316[[#This Row],[Category No]],Table8[Category No],Table8[Chapter List],FALSE)</f>
        <v>0</v>
      </c>
      <c r="D557" s="34"/>
      <c r="E557" s="34"/>
    </row>
    <row r="558" spans="1:5" x14ac:dyDescent="0.3">
      <c r="A558" s="32">
        <v>557</v>
      </c>
      <c r="B558" s="32"/>
      <c r="C558" s="32" t="b">
        <f>_xlfn.XLOOKUP(Table61011121316[[#This Row],[Category No]],Table8[Category No],Table8[Chapter List],FALSE)</f>
        <v>0</v>
      </c>
      <c r="D558" s="34"/>
      <c r="E558" s="34"/>
    </row>
    <row r="559" spans="1:5" x14ac:dyDescent="0.3">
      <c r="A559" s="32">
        <v>558</v>
      </c>
      <c r="B559" s="32"/>
      <c r="C559" s="32" t="b">
        <f>_xlfn.XLOOKUP(Table61011121316[[#This Row],[Category No]],Table8[Category No],Table8[Chapter List],FALSE)</f>
        <v>0</v>
      </c>
      <c r="D559" s="34"/>
      <c r="E559" s="34"/>
    </row>
    <row r="560" spans="1:5" x14ac:dyDescent="0.3">
      <c r="A560" s="32">
        <v>559</v>
      </c>
      <c r="B560" s="32"/>
      <c r="C560" s="32" t="b">
        <f>_xlfn.XLOOKUP(Table61011121316[[#This Row],[Category No]],Table8[Category No],Table8[Chapter List],FALSE)</f>
        <v>0</v>
      </c>
      <c r="D560" s="34"/>
      <c r="E560" s="34"/>
    </row>
    <row r="561" spans="1:5" x14ac:dyDescent="0.3">
      <c r="A561" s="32">
        <v>560</v>
      </c>
      <c r="B561" s="32"/>
      <c r="C561" s="32" t="b">
        <f>_xlfn.XLOOKUP(Table61011121316[[#This Row],[Category No]],Table8[Category No],Table8[Chapter List],FALSE)</f>
        <v>0</v>
      </c>
      <c r="D561" s="34"/>
      <c r="E561" s="34"/>
    </row>
    <row r="562" spans="1:5" x14ac:dyDescent="0.3">
      <c r="A562" s="32">
        <v>561</v>
      </c>
      <c r="B562" s="32"/>
      <c r="C562" s="32" t="b">
        <f>_xlfn.XLOOKUP(Table61011121316[[#This Row],[Category No]],Table8[Category No],Table8[Chapter List],FALSE)</f>
        <v>0</v>
      </c>
      <c r="D562" s="34"/>
      <c r="E562" s="34"/>
    </row>
    <row r="563" spans="1:5" x14ac:dyDescent="0.3">
      <c r="A563" s="32">
        <v>562</v>
      </c>
      <c r="B563" s="32"/>
      <c r="C563" s="32" t="b">
        <f>_xlfn.XLOOKUP(Table61011121316[[#This Row],[Category No]],Table8[Category No],Table8[Chapter List],FALSE)</f>
        <v>0</v>
      </c>
      <c r="D563" s="34"/>
      <c r="E563" s="34"/>
    </row>
    <row r="564" spans="1:5" x14ac:dyDescent="0.3">
      <c r="A564" s="32">
        <v>563</v>
      </c>
      <c r="B564" s="32"/>
      <c r="C564" s="32" t="b">
        <f>_xlfn.XLOOKUP(Table61011121316[[#This Row],[Category No]],Table8[Category No],Table8[Chapter List],FALSE)</f>
        <v>0</v>
      </c>
      <c r="D564" s="34"/>
      <c r="E564" s="34"/>
    </row>
    <row r="565" spans="1:5" x14ac:dyDescent="0.3">
      <c r="A565" s="32">
        <v>564</v>
      </c>
      <c r="B565" s="32"/>
      <c r="C565" s="32" t="b">
        <f>_xlfn.XLOOKUP(Table61011121316[[#This Row],[Category No]],Table8[Category No],Table8[Chapter List],FALSE)</f>
        <v>0</v>
      </c>
      <c r="D565" s="34"/>
      <c r="E565" s="34"/>
    </row>
    <row r="566" spans="1:5" x14ac:dyDescent="0.3">
      <c r="A566" s="32">
        <v>565</v>
      </c>
      <c r="B566" s="32"/>
      <c r="C566" s="32" t="b">
        <f>_xlfn.XLOOKUP(Table61011121316[[#This Row],[Category No]],Table8[Category No],Table8[Chapter List],FALSE)</f>
        <v>0</v>
      </c>
      <c r="D566" s="34"/>
      <c r="E566" s="34"/>
    </row>
    <row r="567" spans="1:5" x14ac:dyDescent="0.3">
      <c r="A567" s="32">
        <v>566</v>
      </c>
      <c r="B567" s="32"/>
      <c r="C567" s="32" t="b">
        <f>_xlfn.XLOOKUP(Table61011121316[[#This Row],[Category No]],Table8[Category No],Table8[Chapter List],FALSE)</f>
        <v>0</v>
      </c>
      <c r="D567" s="34"/>
      <c r="E567" s="34"/>
    </row>
    <row r="568" spans="1:5" x14ac:dyDescent="0.3">
      <c r="A568" s="32">
        <v>567</v>
      </c>
      <c r="B568" s="32"/>
      <c r="C568" s="32" t="b">
        <f>_xlfn.XLOOKUP(Table61011121316[[#This Row],[Category No]],Table8[Category No],Table8[Chapter List],FALSE)</f>
        <v>0</v>
      </c>
      <c r="D568" s="34"/>
      <c r="E568" s="34"/>
    </row>
    <row r="569" spans="1:5" x14ac:dyDescent="0.3">
      <c r="A569" s="32">
        <v>568</v>
      </c>
      <c r="B569" s="32"/>
      <c r="C569" s="32" t="b">
        <f>_xlfn.XLOOKUP(Table61011121316[[#This Row],[Category No]],Table8[Category No],Table8[Chapter List],FALSE)</f>
        <v>0</v>
      </c>
      <c r="D569" s="34"/>
      <c r="E569" s="34"/>
    </row>
    <row r="570" spans="1:5" x14ac:dyDescent="0.3">
      <c r="A570" s="32">
        <v>569</v>
      </c>
      <c r="B570" s="32"/>
      <c r="C570" s="32" t="b">
        <f>_xlfn.XLOOKUP(Table61011121316[[#This Row],[Category No]],Table8[Category No],Table8[Chapter List],FALSE)</f>
        <v>0</v>
      </c>
      <c r="D570" s="34"/>
      <c r="E570" s="34"/>
    </row>
    <row r="571" spans="1:5" x14ac:dyDescent="0.3">
      <c r="A571" s="32">
        <v>570</v>
      </c>
      <c r="B571" s="32"/>
      <c r="C571" s="32" t="b">
        <f>_xlfn.XLOOKUP(Table61011121316[[#This Row],[Category No]],Table8[Category No],Table8[Chapter List],FALSE)</f>
        <v>0</v>
      </c>
      <c r="D571" s="34"/>
      <c r="E571" s="34"/>
    </row>
    <row r="572" spans="1:5" x14ac:dyDescent="0.3">
      <c r="A572" s="32">
        <v>571</v>
      </c>
      <c r="B572" s="32"/>
      <c r="C572" s="32" t="b">
        <f>_xlfn.XLOOKUP(Table61011121316[[#This Row],[Category No]],Table8[Category No],Table8[Chapter List],FALSE)</f>
        <v>0</v>
      </c>
      <c r="D572" s="34"/>
      <c r="E572" s="34"/>
    </row>
    <row r="573" spans="1:5" x14ac:dyDescent="0.3">
      <c r="A573" s="32">
        <v>572</v>
      </c>
      <c r="B573" s="32"/>
      <c r="C573" s="32" t="b">
        <f>_xlfn.XLOOKUP(Table61011121316[[#This Row],[Category No]],Table8[Category No],Table8[Chapter List],FALSE)</f>
        <v>0</v>
      </c>
      <c r="D573" s="34"/>
      <c r="E573" s="34"/>
    </row>
    <row r="574" spans="1:5" x14ac:dyDescent="0.3">
      <c r="A574" s="32">
        <v>573</v>
      </c>
      <c r="B574" s="32"/>
      <c r="C574" s="32" t="b">
        <f>_xlfn.XLOOKUP(Table61011121316[[#This Row],[Category No]],Table8[Category No],Table8[Chapter List],FALSE)</f>
        <v>0</v>
      </c>
      <c r="D574" s="34"/>
      <c r="E574" s="34"/>
    </row>
    <row r="575" spans="1:5" x14ac:dyDescent="0.3">
      <c r="A575" s="32">
        <v>574</v>
      </c>
      <c r="B575" s="32"/>
      <c r="C575" s="32" t="b">
        <f>_xlfn.XLOOKUP(Table61011121316[[#This Row],[Category No]],Table8[Category No],Table8[Chapter List],FALSE)</f>
        <v>0</v>
      </c>
      <c r="D575" s="34"/>
      <c r="E575" s="34"/>
    </row>
    <row r="576" spans="1:5" x14ac:dyDescent="0.3">
      <c r="A576" s="32">
        <v>575</v>
      </c>
      <c r="B576" s="32"/>
      <c r="C576" s="32" t="b">
        <f>_xlfn.XLOOKUP(Table61011121316[[#This Row],[Category No]],Table8[Category No],Table8[Chapter List],FALSE)</f>
        <v>0</v>
      </c>
      <c r="D576" s="34"/>
      <c r="E576" s="34"/>
    </row>
    <row r="577" spans="1:5" x14ac:dyDescent="0.3">
      <c r="A577" s="32">
        <v>576</v>
      </c>
      <c r="B577" s="32"/>
      <c r="C577" s="32" t="b">
        <f>_xlfn.XLOOKUP(Table61011121316[[#This Row],[Category No]],Table8[Category No],Table8[Chapter List],FALSE)</f>
        <v>0</v>
      </c>
      <c r="D577" s="34"/>
      <c r="E577" s="34"/>
    </row>
    <row r="578" spans="1:5" x14ac:dyDescent="0.3">
      <c r="A578" s="32">
        <v>577</v>
      </c>
      <c r="B578" s="32"/>
      <c r="C578" s="32" t="b">
        <f>_xlfn.XLOOKUP(Table61011121316[[#This Row],[Category No]],Table8[Category No],Table8[Chapter List],FALSE)</f>
        <v>0</v>
      </c>
      <c r="D578" s="34"/>
      <c r="E578" s="34"/>
    </row>
    <row r="579" spans="1:5" x14ac:dyDescent="0.3">
      <c r="A579" s="32">
        <v>578</v>
      </c>
      <c r="B579" s="32"/>
      <c r="C579" s="32" t="b">
        <f>_xlfn.XLOOKUP(Table61011121316[[#This Row],[Category No]],Table8[Category No],Table8[Chapter List],FALSE)</f>
        <v>0</v>
      </c>
      <c r="D579" s="34"/>
      <c r="E579" s="34"/>
    </row>
    <row r="580" spans="1:5" x14ac:dyDescent="0.3">
      <c r="A580" s="32">
        <v>579</v>
      </c>
      <c r="B580" s="32"/>
      <c r="C580" s="32" t="b">
        <f>_xlfn.XLOOKUP(Table61011121316[[#This Row],[Category No]],Table8[Category No],Table8[Chapter List],FALSE)</f>
        <v>0</v>
      </c>
      <c r="D580" s="34"/>
      <c r="E580" s="34"/>
    </row>
    <row r="581" spans="1:5" x14ac:dyDescent="0.3">
      <c r="A581" s="32">
        <v>580</v>
      </c>
      <c r="B581" s="32"/>
      <c r="C581" s="32" t="b">
        <f>_xlfn.XLOOKUP(Table61011121316[[#This Row],[Category No]],Table8[Category No],Table8[Chapter List],FALSE)</f>
        <v>0</v>
      </c>
      <c r="D581" s="34"/>
      <c r="E581" s="34"/>
    </row>
    <row r="582" spans="1:5" x14ac:dyDescent="0.3">
      <c r="A582" s="32">
        <v>581</v>
      </c>
      <c r="B582" s="32"/>
      <c r="C582" s="32" t="b">
        <f>_xlfn.XLOOKUP(Table61011121316[[#This Row],[Category No]],Table8[Category No],Table8[Chapter List],FALSE)</f>
        <v>0</v>
      </c>
      <c r="D582" s="34"/>
      <c r="E582" s="34"/>
    </row>
    <row r="583" spans="1:5" x14ac:dyDescent="0.3">
      <c r="A583" s="32">
        <v>582</v>
      </c>
      <c r="B583" s="32"/>
      <c r="C583" s="32" t="b">
        <f>_xlfn.XLOOKUP(Table61011121316[[#This Row],[Category No]],Table8[Category No],Table8[Chapter List],FALSE)</f>
        <v>0</v>
      </c>
      <c r="D583" s="34"/>
      <c r="E583" s="34"/>
    </row>
    <row r="584" spans="1:5" x14ac:dyDescent="0.3">
      <c r="A584" s="32">
        <v>583</v>
      </c>
      <c r="B584" s="32"/>
      <c r="C584" s="32" t="b">
        <f>_xlfn.XLOOKUP(Table61011121316[[#This Row],[Category No]],Table8[Category No],Table8[Chapter List],FALSE)</f>
        <v>0</v>
      </c>
      <c r="D584" s="34"/>
      <c r="E584" s="34"/>
    </row>
    <row r="585" spans="1:5" x14ac:dyDescent="0.3">
      <c r="A585" s="32">
        <v>584</v>
      </c>
      <c r="B585" s="32"/>
      <c r="C585" s="32" t="b">
        <f>_xlfn.XLOOKUP(Table61011121316[[#This Row],[Category No]],Table8[Category No],Table8[Chapter List],FALSE)</f>
        <v>0</v>
      </c>
      <c r="D585" s="34"/>
      <c r="E585" s="34"/>
    </row>
    <row r="586" spans="1:5" x14ac:dyDescent="0.3">
      <c r="A586" s="32">
        <v>585</v>
      </c>
      <c r="B586" s="32"/>
      <c r="C586" s="32" t="b">
        <f>_xlfn.XLOOKUP(Table61011121316[[#This Row],[Category No]],Table8[Category No],Table8[Chapter List],FALSE)</f>
        <v>0</v>
      </c>
      <c r="D586" s="34"/>
      <c r="E586" s="34"/>
    </row>
    <row r="587" spans="1:5" x14ac:dyDescent="0.3">
      <c r="A587" s="32">
        <v>586</v>
      </c>
      <c r="B587" s="32"/>
      <c r="C587" s="32" t="b">
        <f>_xlfn.XLOOKUP(Table61011121316[[#This Row],[Category No]],Table8[Category No],Table8[Chapter List],FALSE)</f>
        <v>0</v>
      </c>
      <c r="D587" s="34"/>
      <c r="E587" s="34"/>
    </row>
    <row r="588" spans="1:5" x14ac:dyDescent="0.3">
      <c r="A588" s="32">
        <v>587</v>
      </c>
      <c r="B588" s="32"/>
      <c r="C588" s="32" t="b">
        <f>_xlfn.XLOOKUP(Table61011121316[[#This Row],[Category No]],Table8[Category No],Table8[Chapter List],FALSE)</f>
        <v>0</v>
      </c>
      <c r="D588" s="34"/>
      <c r="E588" s="34"/>
    </row>
    <row r="589" spans="1:5" x14ac:dyDescent="0.3">
      <c r="A589" s="32">
        <v>588</v>
      </c>
      <c r="B589" s="32"/>
      <c r="C589" s="32" t="b">
        <f>_xlfn.XLOOKUP(Table61011121316[[#This Row],[Category No]],Table8[Category No],Table8[Chapter List],FALSE)</f>
        <v>0</v>
      </c>
      <c r="D589" s="34"/>
      <c r="E589" s="34"/>
    </row>
    <row r="590" spans="1:5" x14ac:dyDescent="0.3">
      <c r="A590" s="32">
        <v>589</v>
      </c>
      <c r="B590" s="32"/>
      <c r="C590" s="32" t="b">
        <f>_xlfn.XLOOKUP(Table61011121316[[#This Row],[Category No]],Table8[Category No],Table8[Chapter List],FALSE)</f>
        <v>0</v>
      </c>
      <c r="D590" s="34"/>
      <c r="E590" s="34"/>
    </row>
    <row r="591" spans="1:5" x14ac:dyDescent="0.3">
      <c r="A591" s="32">
        <v>590</v>
      </c>
      <c r="B591" s="32"/>
      <c r="C591" s="32" t="b">
        <f>_xlfn.XLOOKUP(Table61011121316[[#This Row],[Category No]],Table8[Category No],Table8[Chapter List],FALSE)</f>
        <v>0</v>
      </c>
      <c r="D591" s="34"/>
      <c r="E591" s="34"/>
    </row>
    <row r="592" spans="1:5" x14ac:dyDescent="0.3">
      <c r="A592" s="32">
        <v>591</v>
      </c>
      <c r="B592" s="32"/>
      <c r="C592" s="32" t="b">
        <f>_xlfn.XLOOKUP(Table61011121316[[#This Row],[Category No]],Table8[Category No],Table8[Chapter List],FALSE)</f>
        <v>0</v>
      </c>
      <c r="D592" s="34"/>
      <c r="E592" s="34"/>
    </row>
    <row r="593" spans="1:5" x14ac:dyDescent="0.3">
      <c r="A593" s="32">
        <v>592</v>
      </c>
      <c r="B593" s="32"/>
      <c r="C593" s="32" t="b">
        <f>_xlfn.XLOOKUP(Table61011121316[[#This Row],[Category No]],Table8[Category No],Table8[Chapter List],FALSE)</f>
        <v>0</v>
      </c>
      <c r="D593" s="34"/>
      <c r="E593" s="34"/>
    </row>
    <row r="594" spans="1:5" x14ac:dyDescent="0.3">
      <c r="A594" s="32">
        <v>593</v>
      </c>
      <c r="B594" s="32"/>
      <c r="C594" s="32" t="b">
        <f>_xlfn.XLOOKUP(Table61011121316[[#This Row],[Category No]],Table8[Category No],Table8[Chapter List],FALSE)</f>
        <v>0</v>
      </c>
      <c r="D594" s="34"/>
      <c r="E594" s="34"/>
    </row>
    <row r="595" spans="1:5" x14ac:dyDescent="0.3">
      <c r="A595" s="32">
        <v>594</v>
      </c>
      <c r="B595" s="32"/>
      <c r="C595" s="32" t="b">
        <f>_xlfn.XLOOKUP(Table61011121316[[#This Row],[Category No]],Table8[Category No],Table8[Chapter List],FALSE)</f>
        <v>0</v>
      </c>
      <c r="D595" s="34"/>
      <c r="E595" s="34"/>
    </row>
    <row r="596" spans="1:5" x14ac:dyDescent="0.3">
      <c r="A596" s="32">
        <v>595</v>
      </c>
      <c r="B596" s="32"/>
      <c r="C596" s="32" t="b">
        <f>_xlfn.XLOOKUP(Table61011121316[[#This Row],[Category No]],Table8[Category No],Table8[Chapter List],FALSE)</f>
        <v>0</v>
      </c>
      <c r="D596" s="34"/>
      <c r="E596" s="34"/>
    </row>
    <row r="597" spans="1:5" x14ac:dyDescent="0.3">
      <c r="A597" s="32">
        <v>596</v>
      </c>
      <c r="B597" s="32"/>
      <c r="C597" s="32" t="b">
        <f>_xlfn.XLOOKUP(Table61011121316[[#This Row],[Category No]],Table8[Category No],Table8[Chapter List],FALSE)</f>
        <v>0</v>
      </c>
      <c r="D597" s="34"/>
      <c r="E597" s="34"/>
    </row>
    <row r="598" spans="1:5" x14ac:dyDescent="0.3">
      <c r="A598" s="32">
        <v>597</v>
      </c>
      <c r="B598" s="32"/>
      <c r="C598" s="32" t="b">
        <f>_xlfn.XLOOKUP(Table61011121316[[#This Row],[Category No]],Table8[Category No],Table8[Chapter List],FALSE)</f>
        <v>0</v>
      </c>
      <c r="D598" s="34"/>
      <c r="E598" s="34"/>
    </row>
    <row r="599" spans="1:5" x14ac:dyDescent="0.3">
      <c r="A599" s="32">
        <v>598</v>
      </c>
      <c r="B599" s="32"/>
      <c r="C599" s="32" t="b">
        <f>_xlfn.XLOOKUP(Table61011121316[[#This Row],[Category No]],Table8[Category No],Table8[Chapter List],FALSE)</f>
        <v>0</v>
      </c>
      <c r="D599" s="34"/>
      <c r="E599" s="34"/>
    </row>
    <row r="600" spans="1:5" x14ac:dyDescent="0.3">
      <c r="A600" s="32">
        <v>599</v>
      </c>
      <c r="B600" s="32"/>
      <c r="C600" s="32" t="b">
        <f>_xlfn.XLOOKUP(Table61011121316[[#This Row],[Category No]],Table8[Category No],Table8[Chapter List],FALSE)</f>
        <v>0</v>
      </c>
      <c r="D600" s="34"/>
      <c r="E600" s="34"/>
    </row>
    <row r="601" spans="1:5" x14ac:dyDescent="0.3">
      <c r="A601" s="32">
        <v>600</v>
      </c>
      <c r="B601" s="32"/>
      <c r="C601" s="32" t="b">
        <f>_xlfn.XLOOKUP(Table61011121316[[#This Row],[Category No]],Table8[Category No],Table8[Chapter List],FALSE)</f>
        <v>0</v>
      </c>
      <c r="D601" s="34"/>
      <c r="E601" s="34"/>
    </row>
    <row r="602" spans="1:5" x14ac:dyDescent="0.3">
      <c r="A602" s="32">
        <v>601</v>
      </c>
      <c r="B602" s="32"/>
      <c r="C602" s="32" t="b">
        <f>_xlfn.XLOOKUP(Table61011121316[[#This Row],[Category No]],Table8[Category No],Table8[Chapter List],FALSE)</f>
        <v>0</v>
      </c>
      <c r="D602" s="34"/>
      <c r="E602" s="34"/>
    </row>
    <row r="603" spans="1:5" x14ac:dyDescent="0.3">
      <c r="A603" s="32">
        <v>602</v>
      </c>
      <c r="B603" s="32"/>
      <c r="C603" s="32" t="b">
        <f>_xlfn.XLOOKUP(Table61011121316[[#This Row],[Category No]],Table8[Category No],Table8[Chapter List],FALSE)</f>
        <v>0</v>
      </c>
      <c r="D603" s="34"/>
      <c r="E603" s="34"/>
    </row>
    <row r="604" spans="1:5" x14ac:dyDescent="0.3">
      <c r="A604" s="32">
        <v>603</v>
      </c>
      <c r="B604" s="32"/>
      <c r="C604" s="32" t="b">
        <f>_xlfn.XLOOKUP(Table61011121316[[#This Row],[Category No]],Table8[Category No],Table8[Chapter List],FALSE)</f>
        <v>0</v>
      </c>
      <c r="D604" s="34"/>
      <c r="E604" s="34"/>
    </row>
    <row r="605" spans="1:5" x14ac:dyDescent="0.3">
      <c r="A605" s="32">
        <v>604</v>
      </c>
      <c r="B605" s="32"/>
      <c r="C605" s="32" t="b">
        <f>_xlfn.XLOOKUP(Table61011121316[[#This Row],[Category No]],Table8[Category No],Table8[Chapter List],FALSE)</f>
        <v>0</v>
      </c>
      <c r="D605" s="34"/>
      <c r="E605" s="34"/>
    </row>
    <row r="606" spans="1:5" x14ac:dyDescent="0.3">
      <c r="A606" s="32">
        <v>605</v>
      </c>
      <c r="B606" s="32"/>
      <c r="C606" s="32" t="b">
        <f>_xlfn.XLOOKUP(Table61011121316[[#This Row],[Category No]],Table8[Category No],Table8[Chapter List],FALSE)</f>
        <v>0</v>
      </c>
      <c r="D606" s="34"/>
      <c r="E606" s="34"/>
    </row>
    <row r="607" spans="1:5" x14ac:dyDescent="0.3">
      <c r="A607" s="32">
        <v>606</v>
      </c>
      <c r="B607" s="32"/>
      <c r="C607" s="32" t="b">
        <f>_xlfn.XLOOKUP(Table61011121316[[#This Row],[Category No]],Table8[Category No],Table8[Chapter List],FALSE)</f>
        <v>0</v>
      </c>
      <c r="D607" s="34"/>
      <c r="E607" s="34"/>
    </row>
    <row r="608" spans="1:5" x14ac:dyDescent="0.3">
      <c r="A608" s="32">
        <v>607</v>
      </c>
      <c r="B608" s="32"/>
      <c r="C608" s="32" t="b">
        <f>_xlfn.XLOOKUP(Table61011121316[[#This Row],[Category No]],Table8[Category No],Table8[Chapter List],FALSE)</f>
        <v>0</v>
      </c>
      <c r="D608" s="34"/>
      <c r="E608" s="34"/>
    </row>
    <row r="609" spans="1:5" x14ac:dyDescent="0.3">
      <c r="A609" s="32">
        <v>608</v>
      </c>
      <c r="B609" s="32"/>
      <c r="C609" s="32" t="b">
        <f>_xlfn.XLOOKUP(Table61011121316[[#This Row],[Category No]],Table8[Category No],Table8[Chapter List],FALSE)</f>
        <v>0</v>
      </c>
      <c r="D609" s="34"/>
      <c r="E609" s="34"/>
    </row>
    <row r="610" spans="1:5" x14ac:dyDescent="0.3">
      <c r="A610" s="32">
        <v>609</v>
      </c>
      <c r="B610" s="32"/>
      <c r="C610" s="32" t="b">
        <f>_xlfn.XLOOKUP(Table61011121316[[#This Row],[Category No]],Table8[Category No],Table8[Chapter List],FALSE)</f>
        <v>0</v>
      </c>
      <c r="D610" s="34"/>
      <c r="E610" s="34"/>
    </row>
    <row r="611" spans="1:5" x14ac:dyDescent="0.3">
      <c r="A611" s="32">
        <v>610</v>
      </c>
      <c r="B611" s="32"/>
      <c r="C611" s="32" t="b">
        <f>_xlfn.XLOOKUP(Table61011121316[[#This Row],[Category No]],Table8[Category No],Table8[Chapter List],FALSE)</f>
        <v>0</v>
      </c>
      <c r="D611" s="34"/>
      <c r="E611" s="34"/>
    </row>
    <row r="612" spans="1:5" x14ac:dyDescent="0.3">
      <c r="A612" s="32">
        <v>611</v>
      </c>
      <c r="B612" s="32"/>
      <c r="C612" s="32" t="b">
        <f>_xlfn.XLOOKUP(Table61011121316[[#This Row],[Category No]],Table8[Category No],Table8[Chapter List],FALSE)</f>
        <v>0</v>
      </c>
      <c r="D612" s="34"/>
      <c r="E612" s="34"/>
    </row>
    <row r="613" spans="1:5" x14ac:dyDescent="0.3">
      <c r="A613" s="32">
        <v>612</v>
      </c>
      <c r="B613" s="32"/>
      <c r="C613" s="32" t="b">
        <f>_xlfn.XLOOKUP(Table61011121316[[#This Row],[Category No]],Table8[Category No],Table8[Chapter List],FALSE)</f>
        <v>0</v>
      </c>
      <c r="D613" s="34"/>
      <c r="E613" s="34"/>
    </row>
    <row r="614" spans="1:5" x14ac:dyDescent="0.3">
      <c r="A614" s="32">
        <v>613</v>
      </c>
      <c r="B614" s="32"/>
      <c r="C614" s="32" t="b">
        <f>_xlfn.XLOOKUP(Table61011121316[[#This Row],[Category No]],Table8[Category No],Table8[Chapter List],FALSE)</f>
        <v>0</v>
      </c>
      <c r="D614" s="34"/>
      <c r="E614" s="34"/>
    </row>
    <row r="615" spans="1:5" x14ac:dyDescent="0.3">
      <c r="A615" s="32">
        <v>614</v>
      </c>
      <c r="B615" s="32"/>
      <c r="C615" s="32" t="b">
        <f>_xlfn.XLOOKUP(Table61011121316[[#This Row],[Category No]],Table8[Category No],Table8[Chapter List],FALSE)</f>
        <v>0</v>
      </c>
      <c r="D615" s="34"/>
      <c r="E615" s="34"/>
    </row>
    <row r="616" spans="1:5" x14ac:dyDescent="0.3">
      <c r="A616" s="32">
        <v>615</v>
      </c>
      <c r="B616" s="32"/>
      <c r="C616" s="32" t="b">
        <f>_xlfn.XLOOKUP(Table61011121316[[#This Row],[Category No]],Table8[Category No],Table8[Chapter List],FALSE)</f>
        <v>0</v>
      </c>
      <c r="D616" s="34"/>
      <c r="E616" s="34"/>
    </row>
    <row r="617" spans="1:5" x14ac:dyDescent="0.3">
      <c r="A617" s="32">
        <v>616</v>
      </c>
      <c r="B617" s="32"/>
      <c r="C617" s="32" t="b">
        <f>_xlfn.XLOOKUP(Table61011121316[[#This Row],[Category No]],Table8[Category No],Table8[Chapter List],FALSE)</f>
        <v>0</v>
      </c>
      <c r="D617" s="34"/>
      <c r="E617" s="34"/>
    </row>
    <row r="618" spans="1:5" x14ac:dyDescent="0.3">
      <c r="A618" s="32">
        <v>617</v>
      </c>
      <c r="B618" s="32"/>
      <c r="C618" s="32" t="b">
        <f>_xlfn.XLOOKUP(Table61011121316[[#This Row],[Category No]],Table8[Category No],Table8[Chapter List],FALSE)</f>
        <v>0</v>
      </c>
      <c r="D618" s="34"/>
      <c r="E618" s="34"/>
    </row>
    <row r="619" spans="1:5" x14ac:dyDescent="0.3">
      <c r="A619" s="32">
        <v>618</v>
      </c>
      <c r="B619" s="32"/>
      <c r="C619" s="32" t="b">
        <f>_xlfn.XLOOKUP(Table61011121316[[#This Row],[Category No]],Table8[Category No],Table8[Chapter List],FALSE)</f>
        <v>0</v>
      </c>
      <c r="D619" s="34"/>
      <c r="E619" s="34"/>
    </row>
    <row r="620" spans="1:5" x14ac:dyDescent="0.3">
      <c r="A620" s="32">
        <v>619</v>
      </c>
      <c r="B620" s="32"/>
      <c r="C620" s="32" t="b">
        <f>_xlfn.XLOOKUP(Table61011121316[[#This Row],[Category No]],Table8[Category No],Table8[Chapter List],FALSE)</f>
        <v>0</v>
      </c>
      <c r="D620" s="34"/>
      <c r="E620" s="34"/>
    </row>
    <row r="621" spans="1:5" x14ac:dyDescent="0.3">
      <c r="A621" s="32">
        <v>620</v>
      </c>
      <c r="B621" s="32"/>
      <c r="C621" s="32" t="b">
        <f>_xlfn.XLOOKUP(Table61011121316[[#This Row],[Category No]],Table8[Category No],Table8[Chapter List],FALSE)</f>
        <v>0</v>
      </c>
      <c r="D621" s="34"/>
      <c r="E621" s="34"/>
    </row>
    <row r="622" spans="1:5" x14ac:dyDescent="0.3">
      <c r="A622" s="32">
        <v>621</v>
      </c>
      <c r="B622" s="32"/>
      <c r="C622" s="32" t="b">
        <f>_xlfn.XLOOKUP(Table61011121316[[#This Row],[Category No]],Table8[Category No],Table8[Chapter List],FALSE)</f>
        <v>0</v>
      </c>
      <c r="D622" s="34"/>
      <c r="E622" s="34"/>
    </row>
    <row r="623" spans="1:5" x14ac:dyDescent="0.3">
      <c r="A623" s="32">
        <v>622</v>
      </c>
      <c r="B623" s="32"/>
      <c r="C623" s="32" t="b">
        <f>_xlfn.XLOOKUP(Table61011121316[[#This Row],[Category No]],Table8[Category No],Table8[Chapter List],FALSE)</f>
        <v>0</v>
      </c>
      <c r="D623" s="34"/>
      <c r="E623" s="34"/>
    </row>
    <row r="624" spans="1:5" x14ac:dyDescent="0.3">
      <c r="A624" s="32">
        <v>623</v>
      </c>
      <c r="B624" s="32"/>
      <c r="C624" s="32" t="b">
        <f>_xlfn.XLOOKUP(Table61011121316[[#This Row],[Category No]],Table8[Category No],Table8[Chapter List],FALSE)</f>
        <v>0</v>
      </c>
      <c r="D624" s="34"/>
      <c r="E624" s="34"/>
    </row>
    <row r="625" spans="1:5" x14ac:dyDescent="0.3">
      <c r="A625" s="32">
        <v>624</v>
      </c>
      <c r="B625" s="32"/>
      <c r="C625" s="32" t="b">
        <f>_xlfn.XLOOKUP(Table61011121316[[#This Row],[Category No]],Table8[Category No],Table8[Chapter List],FALSE)</f>
        <v>0</v>
      </c>
      <c r="D625" s="34"/>
      <c r="E625" s="34"/>
    </row>
    <row r="626" spans="1:5" x14ac:dyDescent="0.3">
      <c r="A626" s="32">
        <v>625</v>
      </c>
      <c r="B626" s="32"/>
      <c r="C626" s="32" t="b">
        <f>_xlfn.XLOOKUP(Table61011121316[[#This Row],[Category No]],Table8[Category No],Table8[Chapter List],FALSE)</f>
        <v>0</v>
      </c>
      <c r="D626" s="34"/>
      <c r="E626" s="34"/>
    </row>
    <row r="627" spans="1:5" x14ac:dyDescent="0.3">
      <c r="A627" s="32">
        <v>626</v>
      </c>
      <c r="B627" s="32"/>
      <c r="C627" s="32" t="b">
        <f>_xlfn.XLOOKUP(Table61011121316[[#This Row],[Category No]],Table8[Category No],Table8[Chapter List],FALSE)</f>
        <v>0</v>
      </c>
      <c r="D627" s="34"/>
      <c r="E627" s="34"/>
    </row>
    <row r="628" spans="1:5" x14ac:dyDescent="0.3">
      <c r="A628" s="32">
        <v>627</v>
      </c>
      <c r="B628" s="32"/>
      <c r="C628" s="32" t="b">
        <f>_xlfn.XLOOKUP(Table61011121316[[#This Row],[Category No]],Table8[Category No],Table8[Chapter List],FALSE)</f>
        <v>0</v>
      </c>
      <c r="D628" s="34"/>
      <c r="E628" s="34"/>
    </row>
    <row r="629" spans="1:5" x14ac:dyDescent="0.3">
      <c r="A629" s="32">
        <v>628</v>
      </c>
      <c r="B629" s="32"/>
      <c r="C629" s="32" t="b">
        <f>_xlfn.XLOOKUP(Table61011121316[[#This Row],[Category No]],Table8[Category No],Table8[Chapter List],FALSE)</f>
        <v>0</v>
      </c>
      <c r="D629" s="34"/>
      <c r="E629" s="34"/>
    </row>
    <row r="630" spans="1:5" x14ac:dyDescent="0.3">
      <c r="A630" s="32">
        <v>629</v>
      </c>
      <c r="B630" s="32"/>
      <c r="C630" s="32" t="b">
        <f>_xlfn.XLOOKUP(Table61011121316[[#This Row],[Category No]],Table8[Category No],Table8[Chapter List],FALSE)</f>
        <v>0</v>
      </c>
      <c r="D630" s="34"/>
      <c r="E630" s="34"/>
    </row>
    <row r="631" spans="1:5" x14ac:dyDescent="0.3">
      <c r="A631" s="32">
        <v>630</v>
      </c>
      <c r="B631" s="32"/>
      <c r="C631" s="32" t="b">
        <f>_xlfn.XLOOKUP(Table61011121316[[#This Row],[Category No]],Table8[Category No],Table8[Chapter List],FALSE)</f>
        <v>0</v>
      </c>
      <c r="D631" s="34"/>
      <c r="E631" s="34"/>
    </row>
    <row r="632" spans="1:5" x14ac:dyDescent="0.3">
      <c r="A632" s="32">
        <v>631</v>
      </c>
      <c r="B632" s="32"/>
      <c r="C632" s="32" t="b">
        <f>_xlfn.XLOOKUP(Table61011121316[[#This Row],[Category No]],Table8[Category No],Table8[Chapter List],FALSE)</f>
        <v>0</v>
      </c>
      <c r="D632" s="34"/>
      <c r="E632" s="34"/>
    </row>
    <row r="633" spans="1:5" x14ac:dyDescent="0.3">
      <c r="A633" s="32">
        <v>632</v>
      </c>
      <c r="B633" s="32"/>
      <c r="C633" s="32" t="b">
        <f>_xlfn.XLOOKUP(Table61011121316[[#This Row],[Category No]],Table8[Category No],Table8[Chapter List],FALSE)</f>
        <v>0</v>
      </c>
      <c r="D633" s="34"/>
      <c r="E633" s="34"/>
    </row>
    <row r="634" spans="1:5" x14ac:dyDescent="0.3">
      <c r="A634" s="32">
        <v>633</v>
      </c>
      <c r="B634" s="32"/>
      <c r="C634" s="32" t="b">
        <f>_xlfn.XLOOKUP(Table61011121316[[#This Row],[Category No]],Table8[Category No],Table8[Chapter List],FALSE)</f>
        <v>0</v>
      </c>
      <c r="D634" s="34"/>
      <c r="E634" s="34"/>
    </row>
    <row r="635" spans="1:5" x14ac:dyDescent="0.3">
      <c r="A635" s="32">
        <v>634</v>
      </c>
      <c r="B635" s="32"/>
      <c r="C635" s="32" t="b">
        <f>_xlfn.XLOOKUP(Table61011121316[[#This Row],[Category No]],Table8[Category No],Table8[Chapter List],FALSE)</f>
        <v>0</v>
      </c>
      <c r="D635" s="34"/>
      <c r="E635" s="34"/>
    </row>
    <row r="636" spans="1:5" x14ac:dyDescent="0.3">
      <c r="A636" s="32">
        <v>635</v>
      </c>
      <c r="B636" s="32"/>
      <c r="C636" s="32" t="b">
        <f>_xlfn.XLOOKUP(Table61011121316[[#This Row],[Category No]],Table8[Category No],Table8[Chapter List],FALSE)</f>
        <v>0</v>
      </c>
      <c r="D636" s="34"/>
      <c r="E636" s="34"/>
    </row>
    <row r="637" spans="1:5" x14ac:dyDescent="0.3">
      <c r="A637" s="32">
        <v>636</v>
      </c>
      <c r="B637" s="32"/>
      <c r="C637" s="32" t="b">
        <f>_xlfn.XLOOKUP(Table61011121316[[#This Row],[Category No]],Table8[Category No],Table8[Chapter List],FALSE)</f>
        <v>0</v>
      </c>
      <c r="D637" s="34"/>
      <c r="E637" s="34"/>
    </row>
    <row r="638" spans="1:5" x14ac:dyDescent="0.3">
      <c r="A638" s="32">
        <v>637</v>
      </c>
      <c r="B638" s="32"/>
      <c r="C638" s="32" t="b">
        <f>_xlfn.XLOOKUP(Table61011121316[[#This Row],[Category No]],Table8[Category No],Table8[Chapter List],FALSE)</f>
        <v>0</v>
      </c>
      <c r="D638" s="34"/>
      <c r="E638" s="34"/>
    </row>
    <row r="639" spans="1:5" x14ac:dyDescent="0.3">
      <c r="A639" s="32">
        <v>638</v>
      </c>
      <c r="B639" s="32"/>
      <c r="C639" s="32" t="b">
        <f>_xlfn.XLOOKUP(Table61011121316[[#This Row],[Category No]],Table8[Category No],Table8[Chapter List],FALSE)</f>
        <v>0</v>
      </c>
      <c r="D639" s="34"/>
      <c r="E639" s="34"/>
    </row>
    <row r="640" spans="1:5" x14ac:dyDescent="0.3">
      <c r="A640" s="32">
        <v>639</v>
      </c>
      <c r="B640" s="32"/>
      <c r="C640" s="32" t="b">
        <f>_xlfn.XLOOKUP(Table61011121316[[#This Row],[Category No]],Table8[Category No],Table8[Chapter List],FALSE)</f>
        <v>0</v>
      </c>
      <c r="D640" s="34"/>
      <c r="E640" s="34"/>
    </row>
    <row r="641" spans="1:5" x14ac:dyDescent="0.3">
      <c r="A641" s="32">
        <v>640</v>
      </c>
      <c r="B641" s="32"/>
      <c r="C641" s="32" t="b">
        <f>_xlfn.XLOOKUP(Table61011121316[[#This Row],[Category No]],Table8[Category No],Table8[Chapter List],FALSE)</f>
        <v>0</v>
      </c>
      <c r="D641" s="34"/>
      <c r="E641" s="34"/>
    </row>
    <row r="642" spans="1:5" x14ac:dyDescent="0.3">
      <c r="A642" s="32">
        <v>641</v>
      </c>
      <c r="B642" s="32"/>
      <c r="C642" s="32" t="b">
        <f>_xlfn.XLOOKUP(Table61011121316[[#This Row],[Category No]],Table8[Category No],Table8[Chapter List],FALSE)</f>
        <v>0</v>
      </c>
      <c r="D642" s="34"/>
      <c r="E642" s="34"/>
    </row>
    <row r="643" spans="1:5" x14ac:dyDescent="0.3">
      <c r="A643" s="32">
        <v>642</v>
      </c>
      <c r="B643" s="32"/>
      <c r="C643" s="32" t="b">
        <f>_xlfn.XLOOKUP(Table61011121316[[#This Row],[Category No]],Table8[Category No],Table8[Chapter List],FALSE)</f>
        <v>0</v>
      </c>
      <c r="D643" s="34"/>
      <c r="E643" s="34"/>
    </row>
    <row r="644" spans="1:5" x14ac:dyDescent="0.3">
      <c r="A644" s="32">
        <v>643</v>
      </c>
      <c r="B644" s="32"/>
      <c r="C644" s="32" t="b">
        <f>_xlfn.XLOOKUP(Table61011121316[[#This Row],[Category No]],Table8[Category No],Table8[Chapter List],FALSE)</f>
        <v>0</v>
      </c>
      <c r="D644" s="34"/>
      <c r="E644" s="34"/>
    </row>
    <row r="645" spans="1:5" x14ac:dyDescent="0.3">
      <c r="A645" s="32">
        <v>644</v>
      </c>
      <c r="B645" s="32"/>
      <c r="C645" s="32" t="b">
        <f>_xlfn.XLOOKUP(Table61011121316[[#This Row],[Category No]],Table8[Category No],Table8[Chapter List],FALSE)</f>
        <v>0</v>
      </c>
      <c r="D645" s="34"/>
      <c r="E645" s="34"/>
    </row>
    <row r="646" spans="1:5" x14ac:dyDescent="0.3">
      <c r="A646" s="32">
        <v>645</v>
      </c>
      <c r="B646" s="32"/>
      <c r="C646" s="32" t="b">
        <f>_xlfn.XLOOKUP(Table61011121316[[#This Row],[Category No]],Table8[Category No],Table8[Chapter List],FALSE)</f>
        <v>0</v>
      </c>
      <c r="D646" s="34"/>
      <c r="E646" s="34"/>
    </row>
    <row r="647" spans="1:5" x14ac:dyDescent="0.3">
      <c r="A647" s="32">
        <v>646</v>
      </c>
      <c r="B647" s="32"/>
      <c r="C647" s="32" t="b">
        <f>_xlfn.XLOOKUP(Table61011121316[[#This Row],[Category No]],Table8[Category No],Table8[Chapter List],FALSE)</f>
        <v>0</v>
      </c>
      <c r="D647" s="34"/>
      <c r="E647" s="34"/>
    </row>
    <row r="648" spans="1:5" x14ac:dyDescent="0.3">
      <c r="A648" s="32">
        <v>647</v>
      </c>
      <c r="B648" s="32"/>
      <c r="C648" s="32" t="b">
        <f>_xlfn.XLOOKUP(Table61011121316[[#This Row],[Category No]],Table8[Category No],Table8[Chapter List],FALSE)</f>
        <v>0</v>
      </c>
      <c r="D648" s="34"/>
      <c r="E648" s="34"/>
    </row>
    <row r="649" spans="1:5" x14ac:dyDescent="0.3">
      <c r="A649" s="32">
        <v>648</v>
      </c>
      <c r="B649" s="32"/>
      <c r="C649" s="32" t="b">
        <f>_xlfn.XLOOKUP(Table61011121316[[#This Row],[Category No]],Table8[Category No],Table8[Chapter List],FALSE)</f>
        <v>0</v>
      </c>
      <c r="D649" s="34"/>
      <c r="E649" s="34"/>
    </row>
    <row r="650" spans="1:5" x14ac:dyDescent="0.3">
      <c r="A650" s="32">
        <v>649</v>
      </c>
      <c r="B650" s="32"/>
      <c r="C650" s="32" t="b">
        <f>_xlfn.XLOOKUP(Table61011121316[[#This Row],[Category No]],Table8[Category No],Table8[Chapter List],FALSE)</f>
        <v>0</v>
      </c>
      <c r="D650" s="34"/>
      <c r="E650" s="34"/>
    </row>
    <row r="651" spans="1:5" x14ac:dyDescent="0.3">
      <c r="A651" s="32">
        <v>650</v>
      </c>
      <c r="B651" s="32"/>
      <c r="C651" s="32" t="b">
        <f>_xlfn.XLOOKUP(Table61011121316[[#This Row],[Category No]],Table8[Category No],Table8[Chapter List],FALSE)</f>
        <v>0</v>
      </c>
      <c r="D651" s="34"/>
      <c r="E651" s="34"/>
    </row>
    <row r="652" spans="1:5" x14ac:dyDescent="0.3">
      <c r="A652" s="32">
        <v>651</v>
      </c>
      <c r="B652" s="32"/>
      <c r="C652" s="32" t="b">
        <f>_xlfn.XLOOKUP(Table61011121316[[#This Row],[Category No]],Table8[Category No],Table8[Chapter List],FALSE)</f>
        <v>0</v>
      </c>
      <c r="D652" s="34"/>
      <c r="E652" s="34"/>
    </row>
    <row r="653" spans="1:5" x14ac:dyDescent="0.3">
      <c r="A653" s="32">
        <v>652</v>
      </c>
      <c r="B653" s="32"/>
      <c r="C653" s="32" t="b">
        <f>_xlfn.XLOOKUP(Table61011121316[[#This Row],[Category No]],Table8[Category No],Table8[Chapter List],FALSE)</f>
        <v>0</v>
      </c>
      <c r="D653" s="34"/>
      <c r="E653" s="34"/>
    </row>
    <row r="654" spans="1:5" x14ac:dyDescent="0.3">
      <c r="A654" s="32">
        <v>653</v>
      </c>
      <c r="B654" s="32"/>
      <c r="C654" s="32" t="b">
        <f>_xlfn.XLOOKUP(Table61011121316[[#This Row],[Category No]],Table8[Category No],Table8[Chapter List],FALSE)</f>
        <v>0</v>
      </c>
      <c r="D654" s="34"/>
      <c r="E654" s="34"/>
    </row>
    <row r="655" spans="1:5" x14ac:dyDescent="0.3">
      <c r="A655" s="32">
        <v>654</v>
      </c>
      <c r="B655" s="32"/>
      <c r="C655" s="32" t="b">
        <f>_xlfn.XLOOKUP(Table61011121316[[#This Row],[Category No]],Table8[Category No],Table8[Chapter List],FALSE)</f>
        <v>0</v>
      </c>
      <c r="D655" s="34"/>
      <c r="E655" s="34"/>
    </row>
    <row r="656" spans="1:5" x14ac:dyDescent="0.3">
      <c r="A656" s="32">
        <v>655</v>
      </c>
      <c r="B656" s="32"/>
      <c r="C656" s="32" t="b">
        <f>_xlfn.XLOOKUP(Table61011121316[[#This Row],[Category No]],Table8[Category No],Table8[Chapter List],FALSE)</f>
        <v>0</v>
      </c>
      <c r="D656" s="34"/>
      <c r="E656" s="34"/>
    </row>
    <row r="657" spans="1:5" x14ac:dyDescent="0.3">
      <c r="A657" s="32">
        <v>656</v>
      </c>
      <c r="B657" s="32"/>
      <c r="C657" s="32" t="b">
        <f>_xlfn.XLOOKUP(Table61011121316[[#This Row],[Category No]],Table8[Category No],Table8[Chapter List],FALSE)</f>
        <v>0</v>
      </c>
      <c r="D657" s="34"/>
      <c r="E657" s="34"/>
    </row>
    <row r="658" spans="1:5" x14ac:dyDescent="0.3">
      <c r="A658" s="32">
        <v>657</v>
      </c>
      <c r="B658" s="32"/>
      <c r="C658" s="32" t="b">
        <f>_xlfn.XLOOKUP(Table61011121316[[#This Row],[Category No]],Table8[Category No],Table8[Chapter List],FALSE)</f>
        <v>0</v>
      </c>
      <c r="D658" s="34"/>
      <c r="E658" s="34"/>
    </row>
    <row r="659" spans="1:5" x14ac:dyDescent="0.3">
      <c r="A659" s="32">
        <v>658</v>
      </c>
      <c r="B659" s="32"/>
      <c r="C659" s="32" t="b">
        <f>_xlfn.XLOOKUP(Table61011121316[[#This Row],[Category No]],Table8[Category No],Table8[Chapter List],FALSE)</f>
        <v>0</v>
      </c>
      <c r="D659" s="34"/>
      <c r="E659" s="34"/>
    </row>
    <row r="660" spans="1:5" x14ac:dyDescent="0.3">
      <c r="A660" s="32">
        <v>659</v>
      </c>
      <c r="B660" s="32"/>
      <c r="C660" s="32" t="b">
        <f>_xlfn.XLOOKUP(Table61011121316[[#This Row],[Category No]],Table8[Category No],Table8[Chapter List],FALSE)</f>
        <v>0</v>
      </c>
      <c r="D660" s="34"/>
      <c r="E660" s="34"/>
    </row>
    <row r="661" spans="1:5" x14ac:dyDescent="0.3">
      <c r="A661" s="32">
        <v>660</v>
      </c>
      <c r="B661" s="32"/>
      <c r="C661" s="32" t="b">
        <f>_xlfn.XLOOKUP(Table61011121316[[#This Row],[Category No]],Table8[Category No],Table8[Chapter List],FALSE)</f>
        <v>0</v>
      </c>
      <c r="D661" s="34"/>
      <c r="E661" s="34"/>
    </row>
    <row r="662" spans="1:5" x14ac:dyDescent="0.3">
      <c r="A662" s="32">
        <v>661</v>
      </c>
      <c r="B662" s="32"/>
      <c r="C662" s="32" t="b">
        <f>_xlfn.XLOOKUP(Table61011121316[[#This Row],[Category No]],Table8[Category No],Table8[Chapter List],FALSE)</f>
        <v>0</v>
      </c>
      <c r="D662" s="34"/>
      <c r="E662" s="34"/>
    </row>
    <row r="663" spans="1:5" x14ac:dyDescent="0.3">
      <c r="A663" s="32">
        <v>662</v>
      </c>
      <c r="B663" s="32"/>
      <c r="C663" s="32" t="b">
        <f>_xlfn.XLOOKUP(Table61011121316[[#This Row],[Category No]],Table8[Category No],Table8[Chapter List],FALSE)</f>
        <v>0</v>
      </c>
      <c r="D663" s="34"/>
      <c r="E663" s="34"/>
    </row>
    <row r="664" spans="1:5" x14ac:dyDescent="0.3">
      <c r="A664" s="32">
        <v>663</v>
      </c>
      <c r="B664" s="32"/>
      <c r="C664" s="32" t="b">
        <f>_xlfn.XLOOKUP(Table61011121316[[#This Row],[Category No]],Table8[Category No],Table8[Chapter List],FALSE)</f>
        <v>0</v>
      </c>
      <c r="D664" s="34"/>
      <c r="E664" s="34"/>
    </row>
    <row r="665" spans="1:5" x14ac:dyDescent="0.3">
      <c r="A665" s="32">
        <v>664</v>
      </c>
      <c r="B665" s="32"/>
      <c r="C665" s="32" t="b">
        <f>_xlfn.XLOOKUP(Table61011121316[[#This Row],[Category No]],Table8[Category No],Table8[Chapter List],FALSE)</f>
        <v>0</v>
      </c>
      <c r="D665" s="34"/>
      <c r="E665" s="34"/>
    </row>
    <row r="666" spans="1:5" x14ac:dyDescent="0.3">
      <c r="A666" s="32">
        <v>665</v>
      </c>
      <c r="B666" s="32"/>
      <c r="C666" s="32" t="b">
        <f>_xlfn.XLOOKUP(Table61011121316[[#This Row],[Category No]],Table8[Category No],Table8[Chapter List],FALSE)</f>
        <v>0</v>
      </c>
      <c r="D666" s="34"/>
      <c r="E666" s="34"/>
    </row>
    <row r="667" spans="1:5" x14ac:dyDescent="0.3">
      <c r="A667" s="32">
        <v>666</v>
      </c>
      <c r="B667" s="32"/>
      <c r="C667" s="32" t="b">
        <f>_xlfn.XLOOKUP(Table61011121316[[#This Row],[Category No]],Table8[Category No],Table8[Chapter List],FALSE)</f>
        <v>0</v>
      </c>
      <c r="D667" s="34"/>
      <c r="E667" s="34"/>
    </row>
    <row r="668" spans="1:5" x14ac:dyDescent="0.3">
      <c r="A668" s="32">
        <v>667</v>
      </c>
      <c r="B668" s="32"/>
      <c r="C668" s="32" t="b">
        <f>_xlfn.XLOOKUP(Table61011121316[[#This Row],[Category No]],Table8[Category No],Table8[Chapter List],FALSE)</f>
        <v>0</v>
      </c>
      <c r="D668" s="34"/>
      <c r="E668" s="34"/>
    </row>
    <row r="669" spans="1:5" x14ac:dyDescent="0.3">
      <c r="A669" s="32">
        <v>668</v>
      </c>
      <c r="B669" s="32"/>
      <c r="C669" s="32" t="b">
        <f>_xlfn.XLOOKUP(Table61011121316[[#This Row],[Category No]],Table8[Category No],Table8[Chapter List],FALSE)</f>
        <v>0</v>
      </c>
      <c r="D669" s="34"/>
      <c r="E669" s="34"/>
    </row>
    <row r="670" spans="1:5" x14ac:dyDescent="0.3">
      <c r="A670" s="32">
        <v>669</v>
      </c>
      <c r="B670" s="32"/>
      <c r="C670" s="32" t="b">
        <f>_xlfn.XLOOKUP(Table61011121316[[#This Row],[Category No]],Table8[Category No],Table8[Chapter List],FALSE)</f>
        <v>0</v>
      </c>
      <c r="D670" s="34"/>
      <c r="E670" s="34"/>
    </row>
    <row r="671" spans="1:5" x14ac:dyDescent="0.3">
      <c r="A671" s="32">
        <v>670</v>
      </c>
      <c r="B671" s="32"/>
      <c r="C671" s="32" t="b">
        <f>_xlfn.XLOOKUP(Table61011121316[[#This Row],[Category No]],Table8[Category No],Table8[Chapter List],FALSE)</f>
        <v>0</v>
      </c>
      <c r="D671" s="34"/>
      <c r="E671" s="34"/>
    </row>
    <row r="672" spans="1:5" x14ac:dyDescent="0.3">
      <c r="A672" s="32">
        <v>671</v>
      </c>
      <c r="B672" s="32"/>
      <c r="C672" s="32" t="b">
        <f>_xlfn.XLOOKUP(Table61011121316[[#This Row],[Category No]],Table8[Category No],Table8[Chapter List],FALSE)</f>
        <v>0</v>
      </c>
      <c r="D672" s="34"/>
      <c r="E672" s="34"/>
    </row>
    <row r="673" spans="1:5" x14ac:dyDescent="0.3">
      <c r="A673" s="32">
        <v>672</v>
      </c>
      <c r="B673" s="32"/>
      <c r="C673" s="32" t="b">
        <f>_xlfn.XLOOKUP(Table61011121316[[#This Row],[Category No]],Table8[Category No],Table8[Chapter List],FALSE)</f>
        <v>0</v>
      </c>
      <c r="D673" s="34"/>
      <c r="E673" s="34"/>
    </row>
    <row r="674" spans="1:5" x14ac:dyDescent="0.3">
      <c r="A674" s="32">
        <v>673</v>
      </c>
      <c r="B674" s="32"/>
      <c r="C674" s="32" t="b">
        <f>_xlfn.XLOOKUP(Table61011121316[[#This Row],[Category No]],Table8[Category No],Table8[Chapter List],FALSE)</f>
        <v>0</v>
      </c>
      <c r="D674" s="34"/>
      <c r="E674" s="34"/>
    </row>
    <row r="675" spans="1:5" x14ac:dyDescent="0.3">
      <c r="A675" s="32">
        <v>674</v>
      </c>
      <c r="B675" s="32"/>
      <c r="C675" s="32" t="b">
        <f>_xlfn.XLOOKUP(Table61011121316[[#This Row],[Category No]],Table8[Category No],Table8[Chapter List],FALSE)</f>
        <v>0</v>
      </c>
      <c r="D675" s="34"/>
      <c r="E675" s="34"/>
    </row>
    <row r="676" spans="1:5" x14ac:dyDescent="0.3">
      <c r="A676" s="32">
        <v>675</v>
      </c>
      <c r="B676" s="32"/>
      <c r="C676" s="32" t="b">
        <f>_xlfn.XLOOKUP(Table61011121316[[#This Row],[Category No]],Table8[Category No],Table8[Chapter List],FALSE)</f>
        <v>0</v>
      </c>
      <c r="D676" s="34"/>
      <c r="E676" s="34"/>
    </row>
    <row r="677" spans="1:5" x14ac:dyDescent="0.3">
      <c r="A677" s="32">
        <v>676</v>
      </c>
      <c r="B677" s="32"/>
      <c r="C677" s="32" t="b">
        <f>_xlfn.XLOOKUP(Table61011121316[[#This Row],[Category No]],Table8[Category No],Table8[Chapter List],FALSE)</f>
        <v>0</v>
      </c>
      <c r="D677" s="34"/>
      <c r="E677" s="34"/>
    </row>
    <row r="678" spans="1:5" x14ac:dyDescent="0.3">
      <c r="A678" s="32">
        <v>677</v>
      </c>
      <c r="B678" s="32"/>
      <c r="C678" s="32" t="b">
        <f>_xlfn.XLOOKUP(Table61011121316[[#This Row],[Category No]],Table8[Category No],Table8[Chapter List],FALSE)</f>
        <v>0</v>
      </c>
      <c r="D678" s="34"/>
      <c r="E678" s="34"/>
    </row>
    <row r="679" spans="1:5" x14ac:dyDescent="0.3">
      <c r="A679" s="32">
        <v>678</v>
      </c>
      <c r="B679" s="32"/>
      <c r="C679" s="32" t="b">
        <f>_xlfn.XLOOKUP(Table61011121316[[#This Row],[Category No]],Table8[Category No],Table8[Chapter List],FALSE)</f>
        <v>0</v>
      </c>
      <c r="D679" s="34"/>
      <c r="E679" s="34"/>
    </row>
    <row r="680" spans="1:5" x14ac:dyDescent="0.3">
      <c r="A680" s="32">
        <v>679</v>
      </c>
      <c r="B680" s="32"/>
      <c r="C680" s="32" t="b">
        <f>_xlfn.XLOOKUP(Table61011121316[[#This Row],[Category No]],Table8[Category No],Table8[Chapter List],FALSE)</f>
        <v>0</v>
      </c>
      <c r="D680" s="34"/>
      <c r="E680" s="34"/>
    </row>
    <row r="681" spans="1:5" x14ac:dyDescent="0.3">
      <c r="A681" s="32">
        <v>680</v>
      </c>
      <c r="B681" s="32"/>
      <c r="C681" s="32" t="b">
        <f>_xlfn.XLOOKUP(Table61011121316[[#This Row],[Category No]],Table8[Category No],Table8[Chapter List],FALSE)</f>
        <v>0</v>
      </c>
      <c r="D681" s="34"/>
      <c r="E681" s="34"/>
    </row>
    <row r="682" spans="1:5" x14ac:dyDescent="0.3">
      <c r="A682" s="32">
        <v>681</v>
      </c>
      <c r="B682" s="32"/>
      <c r="C682" s="32" t="b">
        <f>_xlfn.XLOOKUP(Table61011121316[[#This Row],[Category No]],Table8[Category No],Table8[Chapter List],FALSE)</f>
        <v>0</v>
      </c>
      <c r="D682" s="34"/>
      <c r="E682" s="34"/>
    </row>
    <row r="683" spans="1:5" x14ac:dyDescent="0.3">
      <c r="A683" s="32">
        <v>682</v>
      </c>
      <c r="B683" s="32"/>
      <c r="C683" s="32" t="b">
        <f>_xlfn.XLOOKUP(Table61011121316[[#This Row],[Category No]],Table8[Category No],Table8[Chapter List],FALSE)</f>
        <v>0</v>
      </c>
      <c r="D683" s="34"/>
      <c r="E683" s="34"/>
    </row>
    <row r="684" spans="1:5" x14ac:dyDescent="0.3">
      <c r="A684" s="32">
        <v>683</v>
      </c>
      <c r="B684" s="32"/>
      <c r="C684" s="32" t="b">
        <f>_xlfn.XLOOKUP(Table61011121316[[#This Row],[Category No]],Table8[Category No],Table8[Chapter List],FALSE)</f>
        <v>0</v>
      </c>
      <c r="D684" s="34"/>
      <c r="E684" s="34"/>
    </row>
    <row r="685" spans="1:5" x14ac:dyDescent="0.3">
      <c r="A685" s="32">
        <v>684</v>
      </c>
      <c r="B685" s="32"/>
      <c r="C685" s="32" t="b">
        <f>_xlfn.XLOOKUP(Table61011121316[[#This Row],[Category No]],Table8[Category No],Table8[Chapter List],FALSE)</f>
        <v>0</v>
      </c>
      <c r="D685" s="34"/>
      <c r="E685" s="34"/>
    </row>
    <row r="686" spans="1:5" x14ac:dyDescent="0.3">
      <c r="A686" s="32">
        <v>685</v>
      </c>
      <c r="B686" s="32"/>
      <c r="C686" s="32" t="b">
        <f>_xlfn.XLOOKUP(Table61011121316[[#This Row],[Category No]],Table8[Category No],Table8[Chapter List],FALSE)</f>
        <v>0</v>
      </c>
      <c r="D686" s="34"/>
      <c r="E686" s="34"/>
    </row>
    <row r="687" spans="1:5" x14ac:dyDescent="0.3">
      <c r="A687" s="32">
        <v>686</v>
      </c>
      <c r="B687" s="32"/>
      <c r="C687" s="32" t="b">
        <f>_xlfn.XLOOKUP(Table61011121316[[#This Row],[Category No]],Table8[Category No],Table8[Chapter List],FALSE)</f>
        <v>0</v>
      </c>
      <c r="D687" s="34"/>
      <c r="E687" s="34"/>
    </row>
    <row r="688" spans="1:5" x14ac:dyDescent="0.3">
      <c r="A688" s="32">
        <v>687</v>
      </c>
      <c r="B688" s="32"/>
      <c r="C688" s="32" t="b">
        <f>_xlfn.XLOOKUP(Table61011121316[[#This Row],[Category No]],Table8[Category No],Table8[Chapter List],FALSE)</f>
        <v>0</v>
      </c>
      <c r="D688" s="34"/>
      <c r="E688" s="34"/>
    </row>
    <row r="689" spans="1:5" x14ac:dyDescent="0.3">
      <c r="A689" s="32">
        <v>688</v>
      </c>
      <c r="B689" s="32"/>
      <c r="C689" s="32" t="b">
        <f>_xlfn.XLOOKUP(Table61011121316[[#This Row],[Category No]],Table8[Category No],Table8[Chapter List],FALSE)</f>
        <v>0</v>
      </c>
      <c r="D689" s="34"/>
      <c r="E689" s="34"/>
    </row>
    <row r="690" spans="1:5" x14ac:dyDescent="0.3">
      <c r="A690" s="32">
        <v>689</v>
      </c>
      <c r="B690" s="32"/>
      <c r="C690" s="32" t="b">
        <f>_xlfn.XLOOKUP(Table61011121316[[#This Row],[Category No]],Table8[Category No],Table8[Chapter List],FALSE)</f>
        <v>0</v>
      </c>
      <c r="D690" s="34"/>
      <c r="E690" s="34"/>
    </row>
    <row r="691" spans="1:5" x14ac:dyDescent="0.3">
      <c r="A691" s="32">
        <v>690</v>
      </c>
      <c r="B691" s="32"/>
      <c r="C691" s="32" t="b">
        <f>_xlfn.XLOOKUP(Table61011121316[[#This Row],[Category No]],Table8[Category No],Table8[Chapter List],FALSE)</f>
        <v>0</v>
      </c>
      <c r="D691" s="34"/>
      <c r="E691" s="34"/>
    </row>
    <row r="692" spans="1:5" x14ac:dyDescent="0.3">
      <c r="A692" s="32">
        <v>691</v>
      </c>
      <c r="B692" s="32"/>
      <c r="C692" s="32" t="b">
        <f>_xlfn.XLOOKUP(Table61011121316[[#This Row],[Category No]],Table8[Category No],Table8[Chapter List],FALSE)</f>
        <v>0</v>
      </c>
      <c r="D692" s="34"/>
      <c r="E692" s="34"/>
    </row>
    <row r="693" spans="1:5" x14ac:dyDescent="0.3">
      <c r="A693" s="32">
        <v>692</v>
      </c>
      <c r="B693" s="32"/>
      <c r="C693" s="32" t="b">
        <f>_xlfn.XLOOKUP(Table61011121316[[#This Row],[Category No]],Table8[Category No],Table8[Chapter List],FALSE)</f>
        <v>0</v>
      </c>
      <c r="D693" s="34"/>
      <c r="E693" s="34"/>
    </row>
    <row r="694" spans="1:5" x14ac:dyDescent="0.3">
      <c r="A694" s="32">
        <v>693</v>
      </c>
      <c r="B694" s="32"/>
      <c r="C694" s="32" t="b">
        <f>_xlfn.XLOOKUP(Table61011121316[[#This Row],[Category No]],Table8[Category No],Table8[Chapter List],FALSE)</f>
        <v>0</v>
      </c>
      <c r="D694" s="34"/>
      <c r="E694" s="34"/>
    </row>
    <row r="695" spans="1:5" x14ac:dyDescent="0.3">
      <c r="A695" s="32">
        <v>694</v>
      </c>
      <c r="B695" s="32"/>
      <c r="C695" s="32" t="b">
        <f>_xlfn.XLOOKUP(Table61011121316[[#This Row],[Category No]],Table8[Category No],Table8[Chapter List],FALSE)</f>
        <v>0</v>
      </c>
      <c r="D695" s="34"/>
      <c r="E695" s="34"/>
    </row>
    <row r="696" spans="1:5" x14ac:dyDescent="0.3">
      <c r="A696" s="32">
        <v>695</v>
      </c>
      <c r="B696" s="32"/>
      <c r="C696" s="32" t="b">
        <f>_xlfn.XLOOKUP(Table61011121316[[#This Row],[Category No]],Table8[Category No],Table8[Chapter List],FALSE)</f>
        <v>0</v>
      </c>
      <c r="D696" s="34"/>
      <c r="E696" s="34"/>
    </row>
    <row r="697" spans="1:5" x14ac:dyDescent="0.3">
      <c r="A697" s="32">
        <v>696</v>
      </c>
      <c r="B697" s="32"/>
      <c r="C697" s="32" t="b">
        <f>_xlfn.XLOOKUP(Table61011121316[[#This Row],[Category No]],Table8[Category No],Table8[Chapter List],FALSE)</f>
        <v>0</v>
      </c>
      <c r="D697" s="34"/>
      <c r="E697" s="34"/>
    </row>
    <row r="698" spans="1:5" x14ac:dyDescent="0.3">
      <c r="A698" s="32">
        <v>697</v>
      </c>
      <c r="B698" s="32"/>
      <c r="C698" s="32" t="b">
        <f>_xlfn.XLOOKUP(Table61011121316[[#This Row],[Category No]],Table8[Category No],Table8[Chapter List],FALSE)</f>
        <v>0</v>
      </c>
      <c r="D698" s="34"/>
      <c r="E698" s="34"/>
    </row>
    <row r="699" spans="1:5" x14ac:dyDescent="0.3">
      <c r="A699" s="32">
        <v>698</v>
      </c>
      <c r="B699" s="32"/>
      <c r="C699" s="32" t="b">
        <f>_xlfn.XLOOKUP(Table61011121316[[#This Row],[Category No]],Table8[Category No],Table8[Chapter List],FALSE)</f>
        <v>0</v>
      </c>
      <c r="D699" s="34"/>
      <c r="E699" s="34"/>
    </row>
    <row r="700" spans="1:5" x14ac:dyDescent="0.3">
      <c r="A700" s="32">
        <v>699</v>
      </c>
      <c r="B700" s="32"/>
      <c r="C700" s="32" t="b">
        <f>_xlfn.XLOOKUP(Table61011121316[[#This Row],[Category No]],Table8[Category No],Table8[Chapter List],FALSE)</f>
        <v>0</v>
      </c>
      <c r="D700" s="34"/>
      <c r="E700" s="34"/>
    </row>
    <row r="701" spans="1:5" x14ac:dyDescent="0.3">
      <c r="A701" s="32">
        <v>700</v>
      </c>
      <c r="B701" s="32"/>
      <c r="C701" s="32" t="b">
        <f>_xlfn.XLOOKUP(Table61011121316[[#This Row],[Category No]],Table8[Category No],Table8[Chapter List],FALSE)</f>
        <v>0</v>
      </c>
      <c r="D701" s="34"/>
      <c r="E701" s="34"/>
    </row>
    <row r="702" spans="1:5" x14ac:dyDescent="0.3">
      <c r="A702" s="32">
        <v>701</v>
      </c>
      <c r="B702" s="32"/>
      <c r="C702" s="32" t="b">
        <f>_xlfn.XLOOKUP(Table61011121316[[#This Row],[Category No]],Table8[Category No],Table8[Chapter List],FALSE)</f>
        <v>0</v>
      </c>
      <c r="D702" s="34"/>
      <c r="E702" s="34"/>
    </row>
    <row r="703" spans="1:5" x14ac:dyDescent="0.3">
      <c r="A703" s="32">
        <v>702</v>
      </c>
      <c r="B703" s="32"/>
      <c r="C703" s="32" t="b">
        <f>_xlfn.XLOOKUP(Table61011121316[[#This Row],[Category No]],Table8[Category No],Table8[Chapter List],FALSE)</f>
        <v>0</v>
      </c>
      <c r="D703" s="34"/>
      <c r="E703" s="34"/>
    </row>
    <row r="704" spans="1:5" x14ac:dyDescent="0.3">
      <c r="A704" s="32">
        <v>703</v>
      </c>
      <c r="B704" s="32"/>
      <c r="C704" s="32" t="b">
        <f>_xlfn.XLOOKUP(Table61011121316[[#This Row],[Category No]],Table8[Category No],Table8[Chapter List],FALSE)</f>
        <v>0</v>
      </c>
      <c r="D704" s="34"/>
      <c r="E704" s="34"/>
    </row>
    <row r="705" spans="1:5" x14ac:dyDescent="0.3">
      <c r="A705" s="32">
        <v>704</v>
      </c>
      <c r="B705" s="32"/>
      <c r="C705" s="32" t="b">
        <f>_xlfn.XLOOKUP(Table61011121316[[#This Row],[Category No]],Table8[Category No],Table8[Chapter List],FALSE)</f>
        <v>0</v>
      </c>
      <c r="D705" s="34"/>
      <c r="E705" s="34"/>
    </row>
    <row r="706" spans="1:5" x14ac:dyDescent="0.3">
      <c r="A706" s="32">
        <v>705</v>
      </c>
      <c r="B706" s="32"/>
      <c r="C706" s="32" t="b">
        <f>_xlfn.XLOOKUP(Table61011121316[[#This Row],[Category No]],Table8[Category No],Table8[Chapter List],FALSE)</f>
        <v>0</v>
      </c>
      <c r="D706" s="34"/>
      <c r="E706" s="34"/>
    </row>
    <row r="707" spans="1:5" x14ac:dyDescent="0.3">
      <c r="A707" s="32">
        <v>706</v>
      </c>
      <c r="B707" s="32"/>
      <c r="C707" s="32" t="b">
        <f>_xlfn.XLOOKUP(Table61011121316[[#This Row],[Category No]],Table8[Category No],Table8[Chapter List],FALSE)</f>
        <v>0</v>
      </c>
      <c r="D707" s="34"/>
      <c r="E707" s="34"/>
    </row>
    <row r="708" spans="1:5" x14ac:dyDescent="0.3">
      <c r="A708" s="32">
        <v>707</v>
      </c>
      <c r="B708" s="32"/>
      <c r="C708" s="32" t="b">
        <f>_xlfn.XLOOKUP(Table61011121316[[#This Row],[Category No]],Table8[Category No],Table8[Chapter List],FALSE)</f>
        <v>0</v>
      </c>
      <c r="D708" s="34"/>
      <c r="E708" s="34"/>
    </row>
    <row r="709" spans="1:5" x14ac:dyDescent="0.3">
      <c r="A709" s="32">
        <v>708</v>
      </c>
      <c r="B709" s="32"/>
      <c r="C709" s="32" t="b">
        <f>_xlfn.XLOOKUP(Table61011121316[[#This Row],[Category No]],Table8[Category No],Table8[Chapter List],FALSE)</f>
        <v>0</v>
      </c>
      <c r="D709" s="34"/>
      <c r="E709" s="34"/>
    </row>
    <row r="710" spans="1:5" x14ac:dyDescent="0.3">
      <c r="A710" s="32">
        <v>709</v>
      </c>
      <c r="B710" s="32"/>
      <c r="C710" s="32" t="b">
        <f>_xlfn.XLOOKUP(Table61011121316[[#This Row],[Category No]],Table8[Category No],Table8[Chapter List],FALSE)</f>
        <v>0</v>
      </c>
      <c r="D710" s="34"/>
      <c r="E710" s="34"/>
    </row>
    <row r="711" spans="1:5" x14ac:dyDescent="0.3">
      <c r="A711" s="32">
        <v>710</v>
      </c>
      <c r="B711" s="32"/>
      <c r="C711" s="32" t="b">
        <f>_xlfn.XLOOKUP(Table61011121316[[#This Row],[Category No]],Table8[Category No],Table8[Chapter List],FALSE)</f>
        <v>0</v>
      </c>
      <c r="D711" s="34"/>
      <c r="E711" s="34"/>
    </row>
    <row r="712" spans="1:5" x14ac:dyDescent="0.3">
      <c r="A712" s="32">
        <v>711</v>
      </c>
      <c r="B712" s="32"/>
      <c r="C712" s="32" t="b">
        <f>_xlfn.XLOOKUP(Table61011121316[[#This Row],[Category No]],Table8[Category No],Table8[Chapter List],FALSE)</f>
        <v>0</v>
      </c>
      <c r="D712" s="34"/>
      <c r="E712" s="34"/>
    </row>
    <row r="713" spans="1:5" x14ac:dyDescent="0.3">
      <c r="A713" s="32">
        <v>712</v>
      </c>
      <c r="B713" s="32"/>
      <c r="C713" s="32" t="b">
        <f>_xlfn.XLOOKUP(Table61011121316[[#This Row],[Category No]],Table8[Category No],Table8[Chapter List],FALSE)</f>
        <v>0</v>
      </c>
      <c r="D713" s="34"/>
      <c r="E713" s="34"/>
    </row>
    <row r="714" spans="1:5" x14ac:dyDescent="0.3">
      <c r="A714" s="32">
        <v>713</v>
      </c>
      <c r="B714" s="32"/>
      <c r="C714" s="32" t="b">
        <f>_xlfn.XLOOKUP(Table61011121316[[#This Row],[Category No]],Table8[Category No],Table8[Chapter List],FALSE)</f>
        <v>0</v>
      </c>
      <c r="D714" s="34"/>
      <c r="E714" s="34"/>
    </row>
    <row r="715" spans="1:5" x14ac:dyDescent="0.3">
      <c r="A715" s="32">
        <v>714</v>
      </c>
      <c r="B715" s="32"/>
      <c r="C715" s="32" t="b">
        <f>_xlfn.XLOOKUP(Table61011121316[[#This Row],[Category No]],Table8[Category No],Table8[Chapter List],FALSE)</f>
        <v>0</v>
      </c>
      <c r="D715" s="34"/>
      <c r="E715" s="34"/>
    </row>
    <row r="716" spans="1:5" x14ac:dyDescent="0.3">
      <c r="A716" s="32">
        <v>715</v>
      </c>
      <c r="B716" s="32"/>
      <c r="C716" s="32" t="b">
        <f>_xlfn.XLOOKUP(Table61011121316[[#This Row],[Category No]],Table8[Category No],Table8[Chapter List],FALSE)</f>
        <v>0</v>
      </c>
      <c r="D716" s="34"/>
      <c r="E716" s="34"/>
    </row>
    <row r="717" spans="1:5" x14ac:dyDescent="0.3">
      <c r="A717" s="32">
        <v>716</v>
      </c>
      <c r="B717" s="32"/>
      <c r="C717" s="32" t="b">
        <f>_xlfn.XLOOKUP(Table61011121316[[#This Row],[Category No]],Table8[Category No],Table8[Chapter List],FALSE)</f>
        <v>0</v>
      </c>
      <c r="D717" s="34"/>
      <c r="E717" s="34"/>
    </row>
    <row r="718" spans="1:5" x14ac:dyDescent="0.3">
      <c r="A718" s="32">
        <v>717</v>
      </c>
      <c r="B718" s="32"/>
      <c r="C718" s="32" t="b">
        <f>_xlfn.XLOOKUP(Table61011121316[[#This Row],[Category No]],Table8[Category No],Table8[Chapter List],FALSE)</f>
        <v>0</v>
      </c>
      <c r="D718" s="34"/>
      <c r="E718" s="34"/>
    </row>
    <row r="719" spans="1:5" x14ac:dyDescent="0.3">
      <c r="A719" s="32">
        <v>718</v>
      </c>
      <c r="B719" s="32"/>
      <c r="C719" s="32" t="b">
        <f>_xlfn.XLOOKUP(Table61011121316[[#This Row],[Category No]],Table8[Category No],Table8[Chapter List],FALSE)</f>
        <v>0</v>
      </c>
      <c r="D719" s="34"/>
      <c r="E719" s="34"/>
    </row>
    <row r="720" spans="1:5" x14ac:dyDescent="0.3">
      <c r="A720" s="32">
        <v>719</v>
      </c>
      <c r="B720" s="32"/>
      <c r="C720" s="32" t="b">
        <f>_xlfn.XLOOKUP(Table61011121316[[#This Row],[Category No]],Table8[Category No],Table8[Chapter List],FALSE)</f>
        <v>0</v>
      </c>
      <c r="D720" s="34"/>
      <c r="E720" s="34"/>
    </row>
    <row r="721" spans="1:5" x14ac:dyDescent="0.3">
      <c r="A721" s="32">
        <v>720</v>
      </c>
      <c r="B721" s="32"/>
      <c r="C721" s="32" t="b">
        <f>_xlfn.XLOOKUP(Table61011121316[[#This Row],[Category No]],Table8[Category No],Table8[Chapter List],FALSE)</f>
        <v>0</v>
      </c>
      <c r="D721" s="34"/>
      <c r="E721" s="34"/>
    </row>
    <row r="722" spans="1:5" x14ac:dyDescent="0.3">
      <c r="A722" s="32">
        <v>721</v>
      </c>
      <c r="B722" s="32"/>
      <c r="C722" s="32" t="b">
        <f>_xlfn.XLOOKUP(Table61011121316[[#This Row],[Category No]],Table8[Category No],Table8[Chapter List],FALSE)</f>
        <v>0</v>
      </c>
      <c r="D722" s="34"/>
      <c r="E722" s="34"/>
    </row>
    <row r="723" spans="1:5" x14ac:dyDescent="0.3">
      <c r="A723" s="32">
        <v>722</v>
      </c>
      <c r="B723" s="32"/>
      <c r="C723" s="32" t="b">
        <f>_xlfn.XLOOKUP(Table61011121316[[#This Row],[Category No]],Table8[Category No],Table8[Chapter List],FALSE)</f>
        <v>0</v>
      </c>
      <c r="D723" s="34"/>
      <c r="E723" s="34"/>
    </row>
    <row r="724" spans="1:5" x14ac:dyDescent="0.3">
      <c r="A724" s="32">
        <v>723</v>
      </c>
      <c r="B724" s="32"/>
      <c r="C724" s="32" t="b">
        <f>_xlfn.XLOOKUP(Table61011121316[[#This Row],[Category No]],Table8[Category No],Table8[Chapter List],FALSE)</f>
        <v>0</v>
      </c>
      <c r="D724" s="34"/>
      <c r="E724" s="34"/>
    </row>
    <row r="725" spans="1:5" x14ac:dyDescent="0.3">
      <c r="A725" s="32">
        <v>724</v>
      </c>
      <c r="B725" s="32"/>
      <c r="C725" s="32" t="b">
        <f>_xlfn.XLOOKUP(Table61011121316[[#This Row],[Category No]],Table8[Category No],Table8[Chapter List],FALSE)</f>
        <v>0</v>
      </c>
      <c r="D725" s="34"/>
      <c r="E725" s="34"/>
    </row>
    <row r="726" spans="1:5" x14ac:dyDescent="0.3">
      <c r="A726" s="32">
        <v>725</v>
      </c>
      <c r="B726" s="32"/>
      <c r="C726" s="32" t="b">
        <f>_xlfn.XLOOKUP(Table61011121316[[#This Row],[Category No]],Table8[Category No],Table8[Chapter List],FALSE)</f>
        <v>0</v>
      </c>
      <c r="D726" s="34"/>
      <c r="E726" s="34"/>
    </row>
    <row r="727" spans="1:5" x14ac:dyDescent="0.3">
      <c r="A727" s="32">
        <v>726</v>
      </c>
      <c r="B727" s="32"/>
      <c r="C727" s="32" t="b">
        <f>_xlfn.XLOOKUP(Table61011121316[[#This Row],[Category No]],Table8[Category No],Table8[Chapter List],FALSE)</f>
        <v>0</v>
      </c>
      <c r="D727" s="34"/>
      <c r="E727" s="34"/>
    </row>
    <row r="728" spans="1:5" x14ac:dyDescent="0.3">
      <c r="A728" s="32">
        <v>727</v>
      </c>
      <c r="B728" s="32"/>
      <c r="C728" s="32" t="b">
        <f>_xlfn.XLOOKUP(Table61011121316[[#This Row],[Category No]],Table8[Category No],Table8[Chapter List],FALSE)</f>
        <v>0</v>
      </c>
      <c r="D728" s="34"/>
      <c r="E728" s="34"/>
    </row>
    <row r="729" spans="1:5" x14ac:dyDescent="0.3">
      <c r="A729" s="32">
        <v>728</v>
      </c>
      <c r="B729" s="32"/>
      <c r="C729" s="32" t="b">
        <f>_xlfn.XLOOKUP(Table61011121316[[#This Row],[Category No]],Table8[Category No],Table8[Chapter List],FALSE)</f>
        <v>0</v>
      </c>
      <c r="D729" s="34"/>
      <c r="E729" s="34"/>
    </row>
    <row r="730" spans="1:5" x14ac:dyDescent="0.3">
      <c r="A730" s="32">
        <v>729</v>
      </c>
      <c r="B730" s="32"/>
      <c r="C730" s="32" t="b">
        <f>_xlfn.XLOOKUP(Table61011121316[[#This Row],[Category No]],Table8[Category No],Table8[Chapter List],FALSE)</f>
        <v>0</v>
      </c>
      <c r="D730" s="34"/>
      <c r="E730" s="34"/>
    </row>
    <row r="731" spans="1:5" x14ac:dyDescent="0.3">
      <c r="A731" s="32">
        <v>730</v>
      </c>
      <c r="B731" s="32"/>
      <c r="C731" s="32" t="b">
        <f>_xlfn.XLOOKUP(Table61011121316[[#This Row],[Category No]],Table8[Category No],Table8[Chapter List],FALSE)</f>
        <v>0</v>
      </c>
      <c r="D731" s="34"/>
      <c r="E731" s="34"/>
    </row>
    <row r="732" spans="1:5" x14ac:dyDescent="0.3">
      <c r="A732" s="32">
        <v>731</v>
      </c>
      <c r="B732" s="32"/>
      <c r="C732" s="32" t="b">
        <f>_xlfn.XLOOKUP(Table61011121316[[#This Row],[Category No]],Table8[Category No],Table8[Chapter List],FALSE)</f>
        <v>0</v>
      </c>
      <c r="D732" s="34"/>
      <c r="E732" s="34"/>
    </row>
    <row r="733" spans="1:5" x14ac:dyDescent="0.3">
      <c r="A733" s="32">
        <v>732</v>
      </c>
      <c r="B733" s="32"/>
      <c r="C733" s="32" t="b">
        <f>_xlfn.XLOOKUP(Table61011121316[[#This Row],[Category No]],Table8[Category No],Table8[Chapter List],FALSE)</f>
        <v>0</v>
      </c>
      <c r="D733" s="34"/>
      <c r="E733" s="34"/>
    </row>
    <row r="734" spans="1:5" x14ac:dyDescent="0.3">
      <c r="A734" s="32">
        <v>733</v>
      </c>
      <c r="B734" s="32"/>
      <c r="C734" s="32" t="b">
        <f>_xlfn.XLOOKUP(Table61011121316[[#This Row],[Category No]],Table8[Category No],Table8[Chapter List],FALSE)</f>
        <v>0</v>
      </c>
      <c r="D734" s="34"/>
      <c r="E734" s="34"/>
    </row>
    <row r="735" spans="1:5" x14ac:dyDescent="0.3">
      <c r="A735" s="32">
        <v>734</v>
      </c>
      <c r="B735" s="32"/>
      <c r="C735" s="32" t="b">
        <f>_xlfn.XLOOKUP(Table61011121316[[#This Row],[Category No]],Table8[Category No],Table8[Chapter List],FALSE)</f>
        <v>0</v>
      </c>
      <c r="D735" s="34"/>
      <c r="E735" s="34"/>
    </row>
    <row r="736" spans="1:5" x14ac:dyDescent="0.3">
      <c r="A736" s="32">
        <v>735</v>
      </c>
      <c r="B736" s="32"/>
      <c r="C736" s="32" t="b">
        <f>_xlfn.XLOOKUP(Table61011121316[[#This Row],[Category No]],Table8[Category No],Table8[Chapter List],FALSE)</f>
        <v>0</v>
      </c>
      <c r="D736" s="34"/>
      <c r="E736" s="34"/>
    </row>
    <row r="737" spans="1:5" x14ac:dyDescent="0.3">
      <c r="A737" s="32">
        <v>736</v>
      </c>
      <c r="B737" s="32"/>
      <c r="C737" s="32" t="b">
        <f>_xlfn.XLOOKUP(Table61011121316[[#This Row],[Category No]],Table8[Category No],Table8[Chapter List],FALSE)</f>
        <v>0</v>
      </c>
      <c r="D737" s="34"/>
      <c r="E737" s="34"/>
    </row>
    <row r="738" spans="1:5" x14ac:dyDescent="0.3">
      <c r="A738" s="32">
        <v>737</v>
      </c>
      <c r="B738" s="32"/>
      <c r="C738" s="32" t="b">
        <f>_xlfn.XLOOKUP(Table61011121316[[#This Row],[Category No]],Table8[Category No],Table8[Chapter List],FALSE)</f>
        <v>0</v>
      </c>
      <c r="D738" s="34"/>
      <c r="E738" s="34"/>
    </row>
    <row r="739" spans="1:5" x14ac:dyDescent="0.3">
      <c r="A739" s="32">
        <v>738</v>
      </c>
      <c r="B739" s="32"/>
      <c r="C739" s="32" t="b">
        <f>_xlfn.XLOOKUP(Table61011121316[[#This Row],[Category No]],Table8[Category No],Table8[Chapter List],FALSE)</f>
        <v>0</v>
      </c>
      <c r="D739" s="34"/>
      <c r="E739" s="34"/>
    </row>
    <row r="740" spans="1:5" x14ac:dyDescent="0.3">
      <c r="A740" s="32">
        <v>739</v>
      </c>
      <c r="B740" s="32"/>
      <c r="C740" s="32" t="b">
        <f>_xlfn.XLOOKUP(Table61011121316[[#This Row],[Category No]],Table8[Category No],Table8[Chapter List],FALSE)</f>
        <v>0</v>
      </c>
      <c r="D740" s="34"/>
      <c r="E740" s="34"/>
    </row>
    <row r="741" spans="1:5" x14ac:dyDescent="0.3">
      <c r="A741" s="32">
        <v>740</v>
      </c>
      <c r="B741" s="32"/>
      <c r="C741" s="32" t="b">
        <f>_xlfn.XLOOKUP(Table61011121316[[#This Row],[Category No]],Table8[Category No],Table8[Chapter List],FALSE)</f>
        <v>0</v>
      </c>
      <c r="D741" s="34"/>
      <c r="E741" s="34"/>
    </row>
    <row r="742" spans="1:5" x14ac:dyDescent="0.3">
      <c r="A742" s="32">
        <v>741</v>
      </c>
      <c r="B742" s="32"/>
      <c r="C742" s="32" t="b">
        <f>_xlfn.XLOOKUP(Table61011121316[[#This Row],[Category No]],Table8[Category No],Table8[Chapter List],FALSE)</f>
        <v>0</v>
      </c>
      <c r="D742" s="34"/>
      <c r="E742" s="34"/>
    </row>
    <row r="743" spans="1:5" x14ac:dyDescent="0.3">
      <c r="A743" s="32">
        <v>742</v>
      </c>
      <c r="B743" s="32"/>
      <c r="C743" s="32" t="b">
        <f>_xlfn.XLOOKUP(Table61011121316[[#This Row],[Category No]],Table8[Category No],Table8[Chapter List],FALSE)</f>
        <v>0</v>
      </c>
      <c r="D743" s="34"/>
      <c r="E743" s="34"/>
    </row>
    <row r="744" spans="1:5" x14ac:dyDescent="0.3">
      <c r="A744" s="32">
        <v>743</v>
      </c>
      <c r="B744" s="32"/>
      <c r="C744" s="32" t="b">
        <f>_xlfn.XLOOKUP(Table61011121316[[#This Row],[Category No]],Table8[Category No],Table8[Chapter List],FALSE)</f>
        <v>0</v>
      </c>
      <c r="D744" s="34"/>
      <c r="E744" s="34"/>
    </row>
    <row r="745" spans="1:5" x14ac:dyDescent="0.3">
      <c r="A745" s="32">
        <v>744</v>
      </c>
      <c r="B745" s="32"/>
      <c r="C745" s="32" t="b">
        <f>_xlfn.XLOOKUP(Table61011121316[[#This Row],[Category No]],Table8[Category No],Table8[Chapter List],FALSE)</f>
        <v>0</v>
      </c>
      <c r="D745" s="34"/>
      <c r="E745" s="34"/>
    </row>
    <row r="746" spans="1:5" x14ac:dyDescent="0.3">
      <c r="A746" s="32">
        <v>745</v>
      </c>
      <c r="B746" s="32"/>
      <c r="C746" s="32" t="b">
        <f>_xlfn.XLOOKUP(Table61011121316[[#This Row],[Category No]],Table8[Category No],Table8[Chapter List],FALSE)</f>
        <v>0</v>
      </c>
      <c r="D746" s="34"/>
      <c r="E746" s="34"/>
    </row>
    <row r="747" spans="1:5" x14ac:dyDescent="0.3">
      <c r="A747" s="32">
        <v>746</v>
      </c>
      <c r="B747" s="32"/>
      <c r="C747" s="32" t="b">
        <f>_xlfn.XLOOKUP(Table61011121316[[#This Row],[Category No]],Table8[Category No],Table8[Chapter List],FALSE)</f>
        <v>0</v>
      </c>
      <c r="D747" s="34"/>
      <c r="E747" s="34"/>
    </row>
    <row r="748" spans="1:5" x14ac:dyDescent="0.3">
      <c r="A748" s="32">
        <v>747</v>
      </c>
      <c r="B748" s="32"/>
      <c r="C748" s="32" t="b">
        <f>_xlfn.XLOOKUP(Table61011121316[[#This Row],[Category No]],Table8[Category No],Table8[Chapter List],FALSE)</f>
        <v>0</v>
      </c>
      <c r="D748" s="34"/>
      <c r="E748" s="34"/>
    </row>
    <row r="749" spans="1:5" x14ac:dyDescent="0.3">
      <c r="A749" s="32">
        <v>748</v>
      </c>
      <c r="B749" s="32"/>
      <c r="C749" s="32" t="b">
        <f>_xlfn.XLOOKUP(Table61011121316[[#This Row],[Category No]],Table8[Category No],Table8[Chapter List],FALSE)</f>
        <v>0</v>
      </c>
      <c r="D749" s="34"/>
      <c r="E749" s="34"/>
    </row>
    <row r="750" spans="1:5" x14ac:dyDescent="0.3">
      <c r="A750" s="32">
        <v>749</v>
      </c>
      <c r="B750" s="32"/>
      <c r="C750" s="32" t="b">
        <f>_xlfn.XLOOKUP(Table61011121316[[#This Row],[Category No]],Table8[Category No],Table8[Chapter List],FALSE)</f>
        <v>0</v>
      </c>
      <c r="D750" s="34"/>
      <c r="E750" s="34"/>
    </row>
    <row r="751" spans="1:5" x14ac:dyDescent="0.3">
      <c r="A751" s="32">
        <v>750</v>
      </c>
      <c r="B751" s="32"/>
      <c r="C751" s="32" t="b">
        <f>_xlfn.XLOOKUP(Table61011121316[[#This Row],[Category No]],Table8[Category No],Table8[Chapter List],FALSE)</f>
        <v>0</v>
      </c>
      <c r="D751" s="34"/>
      <c r="E751" s="34"/>
    </row>
    <row r="752" spans="1:5" x14ac:dyDescent="0.3">
      <c r="A752" s="32">
        <v>751</v>
      </c>
      <c r="B752" s="32"/>
      <c r="C752" s="32" t="b">
        <f>_xlfn.XLOOKUP(Table61011121316[[#This Row],[Category No]],Table8[Category No],Table8[Chapter List],FALSE)</f>
        <v>0</v>
      </c>
      <c r="D752" s="34"/>
      <c r="E752" s="34"/>
    </row>
    <row r="753" spans="1:5" x14ac:dyDescent="0.3">
      <c r="A753" s="32">
        <v>752</v>
      </c>
      <c r="B753" s="32"/>
      <c r="C753" s="32" t="b">
        <f>_xlfn.XLOOKUP(Table61011121316[[#This Row],[Category No]],Table8[Category No],Table8[Chapter List],FALSE)</f>
        <v>0</v>
      </c>
      <c r="D753" s="34"/>
      <c r="E753" s="34"/>
    </row>
    <row r="754" spans="1:5" x14ac:dyDescent="0.3">
      <c r="A754" s="32">
        <v>753</v>
      </c>
      <c r="B754" s="32"/>
      <c r="C754" s="32" t="b">
        <f>_xlfn.XLOOKUP(Table61011121316[[#This Row],[Category No]],Table8[Category No],Table8[Chapter List],FALSE)</f>
        <v>0</v>
      </c>
      <c r="D754" s="34"/>
      <c r="E754" s="34"/>
    </row>
    <row r="755" spans="1:5" x14ac:dyDescent="0.3">
      <c r="A755" s="32">
        <v>754</v>
      </c>
      <c r="B755" s="32"/>
      <c r="C755" s="32" t="b">
        <f>_xlfn.XLOOKUP(Table61011121316[[#This Row],[Category No]],Table8[Category No],Table8[Chapter List],FALSE)</f>
        <v>0</v>
      </c>
      <c r="D755" s="34"/>
      <c r="E755" s="34"/>
    </row>
    <row r="756" spans="1:5" x14ac:dyDescent="0.3">
      <c r="A756" s="32">
        <v>755</v>
      </c>
      <c r="B756" s="32"/>
      <c r="C756" s="32" t="b">
        <f>_xlfn.XLOOKUP(Table61011121316[[#This Row],[Category No]],Table8[Category No],Table8[Chapter List],FALSE)</f>
        <v>0</v>
      </c>
      <c r="D756" s="34"/>
      <c r="E756" s="34"/>
    </row>
    <row r="757" spans="1:5" x14ac:dyDescent="0.3">
      <c r="A757" s="32">
        <v>756</v>
      </c>
      <c r="B757" s="32"/>
      <c r="C757" s="32" t="b">
        <f>_xlfn.XLOOKUP(Table61011121316[[#This Row],[Category No]],Table8[Category No],Table8[Chapter List],FALSE)</f>
        <v>0</v>
      </c>
      <c r="D757" s="34"/>
      <c r="E757" s="34"/>
    </row>
    <row r="758" spans="1:5" x14ac:dyDescent="0.3">
      <c r="A758" s="32">
        <v>757</v>
      </c>
      <c r="B758" s="32"/>
      <c r="C758" s="32" t="b">
        <f>_xlfn.XLOOKUP(Table61011121316[[#This Row],[Category No]],Table8[Category No],Table8[Chapter List],FALSE)</f>
        <v>0</v>
      </c>
      <c r="D758" s="34"/>
      <c r="E758" s="34"/>
    </row>
    <row r="759" spans="1:5" x14ac:dyDescent="0.3">
      <c r="A759" s="32">
        <v>758</v>
      </c>
      <c r="B759" s="32"/>
      <c r="C759" s="32" t="b">
        <f>_xlfn.XLOOKUP(Table61011121316[[#This Row],[Category No]],Table8[Category No],Table8[Chapter List],FALSE)</f>
        <v>0</v>
      </c>
      <c r="D759" s="34"/>
      <c r="E759" s="34"/>
    </row>
    <row r="760" spans="1:5" x14ac:dyDescent="0.3">
      <c r="A760" s="32">
        <v>759</v>
      </c>
      <c r="B760" s="32"/>
      <c r="C760" s="32" t="b">
        <f>_xlfn.XLOOKUP(Table61011121316[[#This Row],[Category No]],Table8[Category No],Table8[Chapter List],FALSE)</f>
        <v>0</v>
      </c>
      <c r="D760" s="34"/>
      <c r="E760" s="34"/>
    </row>
    <row r="761" spans="1:5" x14ac:dyDescent="0.3">
      <c r="A761" s="32">
        <v>760</v>
      </c>
      <c r="B761" s="32"/>
      <c r="C761" s="32" t="b">
        <f>_xlfn.XLOOKUP(Table61011121316[[#This Row],[Category No]],Table8[Category No],Table8[Chapter List],FALSE)</f>
        <v>0</v>
      </c>
      <c r="D761" s="34"/>
      <c r="E761" s="34"/>
    </row>
    <row r="762" spans="1:5" x14ac:dyDescent="0.3">
      <c r="A762" s="32">
        <v>761</v>
      </c>
      <c r="B762" s="32"/>
      <c r="C762" s="32" t="b">
        <f>_xlfn.XLOOKUP(Table61011121316[[#This Row],[Category No]],Table8[Category No],Table8[Chapter List],FALSE)</f>
        <v>0</v>
      </c>
      <c r="D762" s="34"/>
      <c r="E762" s="34"/>
    </row>
    <row r="763" spans="1:5" x14ac:dyDescent="0.3">
      <c r="A763" s="32">
        <v>762</v>
      </c>
      <c r="B763" s="32"/>
      <c r="C763" s="32" t="b">
        <f>_xlfn.XLOOKUP(Table61011121316[[#This Row],[Category No]],Table8[Category No],Table8[Chapter List],FALSE)</f>
        <v>0</v>
      </c>
      <c r="D763" s="34"/>
      <c r="E763" s="34"/>
    </row>
    <row r="764" spans="1:5" x14ac:dyDescent="0.3">
      <c r="A764" s="32">
        <v>763</v>
      </c>
      <c r="B764" s="32"/>
      <c r="C764" s="32" t="b">
        <f>_xlfn.XLOOKUP(Table61011121316[[#This Row],[Category No]],Table8[Category No],Table8[Chapter List],FALSE)</f>
        <v>0</v>
      </c>
      <c r="D764" s="34"/>
      <c r="E764" s="34"/>
    </row>
    <row r="765" spans="1:5" x14ac:dyDescent="0.3">
      <c r="A765" s="32">
        <v>764</v>
      </c>
      <c r="B765" s="32"/>
      <c r="C765" s="32" t="b">
        <f>_xlfn.XLOOKUP(Table61011121316[[#This Row],[Category No]],Table8[Category No],Table8[Chapter List],FALSE)</f>
        <v>0</v>
      </c>
      <c r="D765" s="34"/>
      <c r="E765" s="34"/>
    </row>
    <row r="766" spans="1:5" x14ac:dyDescent="0.3">
      <c r="A766" s="32">
        <v>765</v>
      </c>
      <c r="B766" s="32"/>
      <c r="C766" s="32" t="b">
        <f>_xlfn.XLOOKUP(Table61011121316[[#This Row],[Category No]],Table8[Category No],Table8[Chapter List],FALSE)</f>
        <v>0</v>
      </c>
      <c r="D766" s="34"/>
      <c r="E766" s="34"/>
    </row>
    <row r="767" spans="1:5" x14ac:dyDescent="0.3">
      <c r="A767" s="32">
        <v>766</v>
      </c>
      <c r="B767" s="32"/>
      <c r="C767" s="32" t="b">
        <f>_xlfn.XLOOKUP(Table61011121316[[#This Row],[Category No]],Table8[Category No],Table8[Chapter List],FALSE)</f>
        <v>0</v>
      </c>
      <c r="D767" s="34"/>
      <c r="E767" s="34"/>
    </row>
    <row r="768" spans="1:5" x14ac:dyDescent="0.3">
      <c r="A768" s="32">
        <v>767</v>
      </c>
      <c r="B768" s="32"/>
      <c r="C768" s="32" t="b">
        <f>_xlfn.XLOOKUP(Table61011121316[[#This Row],[Category No]],Table8[Category No],Table8[Chapter List],FALSE)</f>
        <v>0</v>
      </c>
      <c r="D768" s="34"/>
      <c r="E768" s="34"/>
    </row>
    <row r="769" spans="1:5" x14ac:dyDescent="0.3">
      <c r="A769" s="32">
        <v>768</v>
      </c>
      <c r="B769" s="32"/>
      <c r="C769" s="32" t="b">
        <f>_xlfn.XLOOKUP(Table61011121316[[#This Row],[Category No]],Table8[Category No],Table8[Chapter List],FALSE)</f>
        <v>0</v>
      </c>
      <c r="D769" s="34"/>
      <c r="E769" s="34"/>
    </row>
    <row r="770" spans="1:5" x14ac:dyDescent="0.3">
      <c r="A770" s="32">
        <v>769</v>
      </c>
      <c r="B770" s="32"/>
      <c r="C770" s="32" t="b">
        <f>_xlfn.XLOOKUP(Table61011121316[[#This Row],[Category No]],Table8[Category No],Table8[Chapter List],FALSE)</f>
        <v>0</v>
      </c>
      <c r="D770" s="34"/>
      <c r="E770" s="34"/>
    </row>
    <row r="771" spans="1:5" x14ac:dyDescent="0.3">
      <c r="A771" s="32">
        <v>770</v>
      </c>
      <c r="B771" s="32"/>
      <c r="C771" s="32" t="b">
        <f>_xlfn.XLOOKUP(Table61011121316[[#This Row],[Category No]],Table8[Category No],Table8[Chapter List],FALSE)</f>
        <v>0</v>
      </c>
      <c r="D771" s="34"/>
      <c r="E771" s="34"/>
    </row>
    <row r="772" spans="1:5" x14ac:dyDescent="0.3">
      <c r="A772" s="32">
        <v>771</v>
      </c>
      <c r="B772" s="32"/>
      <c r="C772" s="32" t="b">
        <f>_xlfn.XLOOKUP(Table61011121316[[#This Row],[Category No]],Table8[Category No],Table8[Chapter List],FALSE)</f>
        <v>0</v>
      </c>
      <c r="D772" s="34"/>
      <c r="E772" s="34"/>
    </row>
    <row r="773" spans="1:5" x14ac:dyDescent="0.3">
      <c r="A773" s="32">
        <v>772</v>
      </c>
      <c r="B773" s="32"/>
      <c r="C773" s="32" t="b">
        <f>_xlfn.XLOOKUP(Table61011121316[[#This Row],[Category No]],Table8[Category No],Table8[Chapter List],FALSE)</f>
        <v>0</v>
      </c>
      <c r="D773" s="34"/>
      <c r="E773" s="34"/>
    </row>
    <row r="774" spans="1:5" x14ac:dyDescent="0.3">
      <c r="A774" s="32">
        <v>773</v>
      </c>
      <c r="B774" s="32"/>
      <c r="C774" s="32" t="b">
        <f>_xlfn.XLOOKUP(Table61011121316[[#This Row],[Category No]],Table8[Category No],Table8[Chapter List],FALSE)</f>
        <v>0</v>
      </c>
      <c r="D774" s="34"/>
      <c r="E774" s="34"/>
    </row>
    <row r="775" spans="1:5" x14ac:dyDescent="0.3">
      <c r="A775" s="32">
        <v>774</v>
      </c>
      <c r="B775" s="32"/>
      <c r="C775" s="32" t="b">
        <f>_xlfn.XLOOKUP(Table61011121316[[#This Row],[Category No]],Table8[Category No],Table8[Chapter List],FALSE)</f>
        <v>0</v>
      </c>
      <c r="D775" s="34"/>
      <c r="E775" s="34"/>
    </row>
    <row r="776" spans="1:5" x14ac:dyDescent="0.3">
      <c r="A776" s="32">
        <v>775</v>
      </c>
      <c r="B776" s="32"/>
      <c r="C776" s="32" t="b">
        <f>_xlfn.XLOOKUP(Table61011121316[[#This Row],[Category No]],Table8[Category No],Table8[Chapter List],FALSE)</f>
        <v>0</v>
      </c>
      <c r="D776" s="34"/>
      <c r="E776" s="34"/>
    </row>
    <row r="777" spans="1:5" x14ac:dyDescent="0.3">
      <c r="A777" s="32">
        <v>776</v>
      </c>
      <c r="B777" s="32"/>
      <c r="C777" s="32" t="b">
        <f>_xlfn.XLOOKUP(Table61011121316[[#This Row],[Category No]],Table8[Category No],Table8[Chapter List],FALSE)</f>
        <v>0</v>
      </c>
      <c r="D777" s="34"/>
      <c r="E777" s="34"/>
    </row>
    <row r="778" spans="1:5" x14ac:dyDescent="0.3">
      <c r="A778" s="32">
        <v>777</v>
      </c>
      <c r="B778" s="32"/>
      <c r="C778" s="32" t="b">
        <f>_xlfn.XLOOKUP(Table61011121316[[#This Row],[Category No]],Table8[Category No],Table8[Chapter List],FALSE)</f>
        <v>0</v>
      </c>
      <c r="D778" s="34"/>
      <c r="E778" s="34"/>
    </row>
    <row r="779" spans="1:5" x14ac:dyDescent="0.3">
      <c r="A779" s="32">
        <v>778</v>
      </c>
      <c r="B779" s="32"/>
      <c r="C779" s="32" t="b">
        <f>_xlfn.XLOOKUP(Table61011121316[[#This Row],[Category No]],Table8[Category No],Table8[Chapter List],FALSE)</f>
        <v>0</v>
      </c>
      <c r="D779" s="34"/>
      <c r="E779" s="34"/>
    </row>
    <row r="780" spans="1:5" x14ac:dyDescent="0.3">
      <c r="A780" s="32">
        <v>779</v>
      </c>
      <c r="B780" s="32"/>
      <c r="C780" s="32" t="b">
        <f>_xlfn.XLOOKUP(Table61011121316[[#This Row],[Category No]],Table8[Category No],Table8[Chapter List],FALSE)</f>
        <v>0</v>
      </c>
      <c r="D780" s="34"/>
      <c r="E780" s="34"/>
    </row>
    <row r="781" spans="1:5" x14ac:dyDescent="0.3">
      <c r="A781" s="32">
        <v>780</v>
      </c>
      <c r="B781" s="32"/>
      <c r="C781" s="32" t="b">
        <f>_xlfn.XLOOKUP(Table61011121316[[#This Row],[Category No]],Table8[Category No],Table8[Chapter List],FALSE)</f>
        <v>0</v>
      </c>
      <c r="D781" s="34"/>
      <c r="E781" s="34"/>
    </row>
    <row r="782" spans="1:5" x14ac:dyDescent="0.3">
      <c r="A782" s="32">
        <v>781</v>
      </c>
      <c r="B782" s="32"/>
      <c r="C782" s="32" t="b">
        <f>_xlfn.XLOOKUP(Table61011121316[[#This Row],[Category No]],Table8[Category No],Table8[Chapter List],FALSE)</f>
        <v>0</v>
      </c>
      <c r="D782" s="34"/>
      <c r="E782" s="34"/>
    </row>
    <row r="783" spans="1:5" x14ac:dyDescent="0.3">
      <c r="A783" s="32">
        <v>782</v>
      </c>
      <c r="B783" s="32"/>
      <c r="C783" s="32" t="b">
        <f>_xlfn.XLOOKUP(Table61011121316[[#This Row],[Category No]],Table8[Category No],Table8[Chapter List],FALSE)</f>
        <v>0</v>
      </c>
      <c r="D783" s="34"/>
      <c r="E783" s="34"/>
    </row>
    <row r="784" spans="1:5" x14ac:dyDescent="0.3">
      <c r="A784" s="32">
        <v>783</v>
      </c>
      <c r="B784" s="32"/>
      <c r="C784" s="32" t="b">
        <f>_xlfn.XLOOKUP(Table61011121316[[#This Row],[Category No]],Table8[Category No],Table8[Chapter List],FALSE)</f>
        <v>0</v>
      </c>
      <c r="D784" s="34"/>
      <c r="E784" s="34"/>
    </row>
    <row r="785" spans="1:5" x14ac:dyDescent="0.3">
      <c r="A785" s="32">
        <v>784</v>
      </c>
      <c r="B785" s="32"/>
      <c r="C785" s="32" t="b">
        <f>_xlfn.XLOOKUP(Table61011121316[[#This Row],[Category No]],Table8[Category No],Table8[Chapter List],FALSE)</f>
        <v>0</v>
      </c>
      <c r="D785" s="34"/>
      <c r="E785" s="34"/>
    </row>
    <row r="786" spans="1:5" x14ac:dyDescent="0.3">
      <c r="A786" s="32">
        <v>785</v>
      </c>
      <c r="B786" s="32"/>
      <c r="C786" s="32" t="b">
        <f>_xlfn.XLOOKUP(Table61011121316[[#This Row],[Category No]],Table8[Category No],Table8[Chapter List],FALSE)</f>
        <v>0</v>
      </c>
      <c r="D786" s="34"/>
      <c r="E786" s="34"/>
    </row>
    <row r="787" spans="1:5" x14ac:dyDescent="0.3">
      <c r="A787" s="32">
        <v>786</v>
      </c>
      <c r="B787" s="32"/>
      <c r="C787" s="32" t="b">
        <f>_xlfn.XLOOKUP(Table61011121316[[#This Row],[Category No]],Table8[Category No],Table8[Chapter List],FALSE)</f>
        <v>0</v>
      </c>
      <c r="D787" s="34"/>
      <c r="E787" s="34"/>
    </row>
    <row r="788" spans="1:5" x14ac:dyDescent="0.3">
      <c r="A788" s="32">
        <v>787</v>
      </c>
      <c r="B788" s="32"/>
      <c r="C788" s="32" t="b">
        <f>_xlfn.XLOOKUP(Table61011121316[[#This Row],[Category No]],Table8[Category No],Table8[Chapter List],FALSE)</f>
        <v>0</v>
      </c>
      <c r="D788" s="34"/>
      <c r="E788" s="34"/>
    </row>
    <row r="789" spans="1:5" x14ac:dyDescent="0.3">
      <c r="A789" s="32">
        <v>788</v>
      </c>
      <c r="B789" s="32"/>
      <c r="C789" s="32" t="b">
        <f>_xlfn.XLOOKUP(Table61011121316[[#This Row],[Category No]],Table8[Category No],Table8[Chapter List],FALSE)</f>
        <v>0</v>
      </c>
      <c r="D789" s="34"/>
      <c r="E789" s="34"/>
    </row>
    <row r="790" spans="1:5" x14ac:dyDescent="0.3">
      <c r="A790" s="32">
        <v>789</v>
      </c>
      <c r="B790" s="32"/>
      <c r="C790" s="32" t="b">
        <f>_xlfn.XLOOKUP(Table61011121316[[#This Row],[Category No]],Table8[Category No],Table8[Chapter List],FALSE)</f>
        <v>0</v>
      </c>
      <c r="D790" s="34"/>
      <c r="E790" s="34"/>
    </row>
    <row r="791" spans="1:5" x14ac:dyDescent="0.3">
      <c r="A791" s="32">
        <v>790</v>
      </c>
      <c r="B791" s="32"/>
      <c r="C791" s="32" t="b">
        <f>_xlfn.XLOOKUP(Table61011121316[[#This Row],[Category No]],Table8[Category No],Table8[Chapter List],FALSE)</f>
        <v>0</v>
      </c>
      <c r="D791" s="34"/>
      <c r="E791" s="34"/>
    </row>
    <row r="792" spans="1:5" x14ac:dyDescent="0.3">
      <c r="A792" s="32">
        <v>791</v>
      </c>
      <c r="B792" s="32"/>
      <c r="C792" s="32" t="b">
        <f>_xlfn.XLOOKUP(Table61011121316[[#This Row],[Category No]],Table8[Category No],Table8[Chapter List],FALSE)</f>
        <v>0</v>
      </c>
      <c r="D792" s="34"/>
      <c r="E792" s="34"/>
    </row>
    <row r="793" spans="1:5" x14ac:dyDescent="0.3">
      <c r="A793" s="32">
        <v>792</v>
      </c>
      <c r="B793" s="32"/>
      <c r="C793" s="32" t="b">
        <f>_xlfn.XLOOKUP(Table61011121316[[#This Row],[Category No]],Table8[Category No],Table8[Chapter List],FALSE)</f>
        <v>0</v>
      </c>
      <c r="D793" s="34"/>
      <c r="E793" s="34"/>
    </row>
    <row r="794" spans="1:5" x14ac:dyDescent="0.3">
      <c r="A794" s="32">
        <v>793</v>
      </c>
      <c r="B794" s="32"/>
      <c r="C794" s="32" t="b">
        <f>_xlfn.XLOOKUP(Table61011121316[[#This Row],[Category No]],Table8[Category No],Table8[Chapter List],FALSE)</f>
        <v>0</v>
      </c>
      <c r="D794" s="34"/>
      <c r="E794" s="34"/>
    </row>
    <row r="795" spans="1:5" x14ac:dyDescent="0.3">
      <c r="A795" s="32">
        <v>794</v>
      </c>
      <c r="B795" s="32"/>
      <c r="C795" s="32" t="b">
        <f>_xlfn.XLOOKUP(Table61011121316[[#This Row],[Category No]],Table8[Category No],Table8[Chapter List],FALSE)</f>
        <v>0</v>
      </c>
      <c r="D795" s="34"/>
      <c r="E795" s="34"/>
    </row>
    <row r="796" spans="1:5" x14ac:dyDescent="0.3">
      <c r="A796" s="32">
        <v>795</v>
      </c>
      <c r="B796" s="32"/>
      <c r="C796" s="32" t="b">
        <f>_xlfn.XLOOKUP(Table61011121316[[#This Row],[Category No]],Table8[Category No],Table8[Chapter List],FALSE)</f>
        <v>0</v>
      </c>
      <c r="D796" s="34"/>
      <c r="E796" s="34"/>
    </row>
    <row r="797" spans="1:5" x14ac:dyDescent="0.3">
      <c r="A797" s="32">
        <v>796</v>
      </c>
      <c r="B797" s="32"/>
      <c r="C797" s="32" t="b">
        <f>_xlfn.XLOOKUP(Table61011121316[[#This Row],[Category No]],Table8[Category No],Table8[Chapter List],FALSE)</f>
        <v>0</v>
      </c>
      <c r="D797" s="34"/>
      <c r="E797" s="34"/>
    </row>
    <row r="798" spans="1:5" x14ac:dyDescent="0.3">
      <c r="A798" s="32">
        <v>797</v>
      </c>
      <c r="B798" s="32"/>
      <c r="C798" s="32" t="b">
        <f>_xlfn.XLOOKUP(Table61011121316[[#This Row],[Category No]],Table8[Category No],Table8[Chapter List],FALSE)</f>
        <v>0</v>
      </c>
      <c r="D798" s="34"/>
      <c r="E798" s="34"/>
    </row>
    <row r="799" spans="1:5" x14ac:dyDescent="0.3">
      <c r="A799" s="32">
        <v>798</v>
      </c>
      <c r="B799" s="32"/>
      <c r="C799" s="32" t="b">
        <f>_xlfn.XLOOKUP(Table61011121316[[#This Row],[Category No]],Table8[Category No],Table8[Chapter List],FALSE)</f>
        <v>0</v>
      </c>
      <c r="D799" s="34"/>
      <c r="E799" s="34"/>
    </row>
    <row r="800" spans="1:5" x14ac:dyDescent="0.3">
      <c r="A800" s="32">
        <v>799</v>
      </c>
      <c r="B800" s="32"/>
      <c r="C800" s="32" t="b">
        <f>_xlfn.XLOOKUP(Table61011121316[[#This Row],[Category No]],Table8[Category No],Table8[Chapter List],FALSE)</f>
        <v>0</v>
      </c>
      <c r="D800" s="34"/>
      <c r="E800" s="34"/>
    </row>
    <row r="801" spans="1:5" x14ac:dyDescent="0.3">
      <c r="A801" s="32">
        <v>800</v>
      </c>
      <c r="B801" s="32"/>
      <c r="C801" s="32" t="b">
        <f>_xlfn.XLOOKUP(Table61011121316[[#This Row],[Category No]],Table8[Category No],Table8[Chapter List],FALSE)</f>
        <v>0</v>
      </c>
      <c r="D801" s="34"/>
      <c r="E801" s="34"/>
    </row>
    <row r="802" spans="1:5" x14ac:dyDescent="0.3">
      <c r="A802" s="32">
        <v>801</v>
      </c>
      <c r="B802" s="32"/>
      <c r="C802" s="32" t="b">
        <f>_xlfn.XLOOKUP(Table61011121316[[#This Row],[Category No]],Table8[Category No],Table8[Chapter List],FALSE)</f>
        <v>0</v>
      </c>
      <c r="D802" s="34"/>
      <c r="E802" s="34"/>
    </row>
    <row r="803" spans="1:5" x14ac:dyDescent="0.3">
      <c r="A803" s="32">
        <v>802</v>
      </c>
      <c r="B803" s="32"/>
      <c r="C803" s="32" t="b">
        <f>_xlfn.XLOOKUP(Table61011121316[[#This Row],[Category No]],Table8[Category No],Table8[Chapter List],FALSE)</f>
        <v>0</v>
      </c>
      <c r="D803" s="34"/>
      <c r="E803" s="34"/>
    </row>
    <row r="804" spans="1:5" x14ac:dyDescent="0.3">
      <c r="A804" s="32">
        <v>803</v>
      </c>
      <c r="B804" s="32"/>
      <c r="C804" s="32" t="b">
        <f>_xlfn.XLOOKUP(Table61011121316[[#This Row],[Category No]],Table8[Category No],Table8[Chapter List],FALSE)</f>
        <v>0</v>
      </c>
      <c r="D804" s="34"/>
      <c r="E804" s="34"/>
    </row>
    <row r="805" spans="1:5" x14ac:dyDescent="0.3">
      <c r="A805" s="32">
        <v>804</v>
      </c>
      <c r="B805" s="32"/>
      <c r="C805" s="32" t="b">
        <f>_xlfn.XLOOKUP(Table61011121316[[#This Row],[Category No]],Table8[Category No],Table8[Chapter List],FALSE)</f>
        <v>0</v>
      </c>
      <c r="D805" s="34"/>
      <c r="E805" s="34"/>
    </row>
    <row r="806" spans="1:5" x14ac:dyDescent="0.3">
      <c r="A806" s="32">
        <v>805</v>
      </c>
      <c r="B806" s="32"/>
      <c r="C806" s="32" t="b">
        <f>_xlfn.XLOOKUP(Table61011121316[[#This Row],[Category No]],Table8[Category No],Table8[Chapter List],FALSE)</f>
        <v>0</v>
      </c>
      <c r="D806" s="34"/>
      <c r="E806" s="34"/>
    </row>
    <row r="807" spans="1:5" x14ac:dyDescent="0.3">
      <c r="A807" s="32">
        <v>806</v>
      </c>
      <c r="B807" s="32"/>
      <c r="C807" s="32" t="b">
        <f>_xlfn.XLOOKUP(Table61011121316[[#This Row],[Category No]],Table8[Category No],Table8[Chapter List],FALSE)</f>
        <v>0</v>
      </c>
      <c r="D807" s="34"/>
      <c r="E807" s="34"/>
    </row>
    <row r="808" spans="1:5" x14ac:dyDescent="0.3">
      <c r="A808" s="32">
        <v>807</v>
      </c>
      <c r="B808" s="32"/>
      <c r="C808" s="32" t="b">
        <f>_xlfn.XLOOKUP(Table61011121316[[#This Row],[Category No]],Table8[Category No],Table8[Chapter List],FALSE)</f>
        <v>0</v>
      </c>
      <c r="D808" s="34"/>
      <c r="E808" s="34"/>
    </row>
    <row r="809" spans="1:5" x14ac:dyDescent="0.3">
      <c r="A809" s="32">
        <v>808</v>
      </c>
      <c r="B809" s="32"/>
      <c r="C809" s="32" t="b">
        <f>_xlfn.XLOOKUP(Table61011121316[[#This Row],[Category No]],Table8[Category No],Table8[Chapter List],FALSE)</f>
        <v>0</v>
      </c>
      <c r="D809" s="34"/>
      <c r="E809" s="34"/>
    </row>
    <row r="810" spans="1:5" x14ac:dyDescent="0.3">
      <c r="A810" s="32">
        <v>809</v>
      </c>
      <c r="B810" s="32"/>
      <c r="C810" s="32" t="b">
        <f>_xlfn.XLOOKUP(Table61011121316[[#This Row],[Category No]],Table8[Category No],Table8[Chapter List],FALSE)</f>
        <v>0</v>
      </c>
      <c r="D810" s="34"/>
      <c r="E810" s="34"/>
    </row>
    <row r="811" spans="1:5" x14ac:dyDescent="0.3">
      <c r="A811" s="32">
        <v>810</v>
      </c>
      <c r="B811" s="32"/>
      <c r="C811" s="32" t="b">
        <f>_xlfn.XLOOKUP(Table61011121316[[#This Row],[Category No]],Table8[Category No],Table8[Chapter List],FALSE)</f>
        <v>0</v>
      </c>
      <c r="D811" s="34"/>
      <c r="E811" s="34"/>
    </row>
    <row r="812" spans="1:5" x14ac:dyDescent="0.3">
      <c r="A812" s="32">
        <v>811</v>
      </c>
      <c r="B812" s="32"/>
      <c r="C812" s="32" t="b">
        <f>_xlfn.XLOOKUP(Table61011121316[[#This Row],[Category No]],Table8[Category No],Table8[Chapter List],FALSE)</f>
        <v>0</v>
      </c>
      <c r="D812" s="34"/>
      <c r="E812" s="34"/>
    </row>
    <row r="813" spans="1:5" x14ac:dyDescent="0.3">
      <c r="A813" s="32">
        <v>812</v>
      </c>
      <c r="B813" s="32"/>
      <c r="C813" s="32" t="b">
        <f>_xlfn.XLOOKUP(Table61011121316[[#This Row],[Category No]],Table8[Category No],Table8[Chapter List],FALSE)</f>
        <v>0</v>
      </c>
      <c r="D813" s="34"/>
      <c r="E813" s="34"/>
    </row>
    <row r="814" spans="1:5" x14ac:dyDescent="0.3">
      <c r="A814" s="32">
        <v>813</v>
      </c>
      <c r="B814" s="32"/>
      <c r="C814" s="32" t="b">
        <f>_xlfn.XLOOKUP(Table61011121316[[#This Row],[Category No]],Table8[Category No],Table8[Chapter List],FALSE)</f>
        <v>0</v>
      </c>
      <c r="D814" s="34"/>
      <c r="E814" s="34"/>
    </row>
    <row r="815" spans="1:5" x14ac:dyDescent="0.3">
      <c r="A815" s="32">
        <v>814</v>
      </c>
      <c r="B815" s="32"/>
      <c r="C815" s="32" t="b">
        <f>_xlfn.XLOOKUP(Table61011121316[[#This Row],[Category No]],Table8[Category No],Table8[Chapter List],FALSE)</f>
        <v>0</v>
      </c>
      <c r="D815" s="34"/>
      <c r="E815" s="34"/>
    </row>
    <row r="816" spans="1:5" x14ac:dyDescent="0.3">
      <c r="A816" s="32">
        <v>815</v>
      </c>
      <c r="B816" s="32"/>
      <c r="C816" s="32" t="b">
        <f>_xlfn.XLOOKUP(Table61011121316[[#This Row],[Category No]],Table8[Category No],Table8[Chapter List],FALSE)</f>
        <v>0</v>
      </c>
      <c r="D816" s="34"/>
      <c r="E816" s="34"/>
    </row>
    <row r="817" spans="1:5" x14ac:dyDescent="0.3">
      <c r="A817" s="32">
        <v>816</v>
      </c>
      <c r="B817" s="32"/>
      <c r="C817" s="32" t="b">
        <f>_xlfn.XLOOKUP(Table61011121316[[#This Row],[Category No]],Table8[Category No],Table8[Chapter List],FALSE)</f>
        <v>0</v>
      </c>
      <c r="D817" s="34"/>
      <c r="E817" s="34"/>
    </row>
    <row r="818" spans="1:5" x14ac:dyDescent="0.3">
      <c r="A818" s="32">
        <v>817</v>
      </c>
      <c r="B818" s="32"/>
      <c r="C818" s="32" t="b">
        <f>_xlfn.XLOOKUP(Table61011121316[[#This Row],[Category No]],Table8[Category No],Table8[Chapter List],FALSE)</f>
        <v>0</v>
      </c>
      <c r="D818" s="34"/>
      <c r="E818" s="34"/>
    </row>
    <row r="819" spans="1:5" x14ac:dyDescent="0.3">
      <c r="A819" s="32">
        <v>818</v>
      </c>
      <c r="B819" s="32"/>
      <c r="C819" s="32" t="b">
        <f>_xlfn.XLOOKUP(Table61011121316[[#This Row],[Category No]],Table8[Category No],Table8[Chapter List],FALSE)</f>
        <v>0</v>
      </c>
      <c r="D819" s="34"/>
      <c r="E819" s="34"/>
    </row>
    <row r="820" spans="1:5" x14ac:dyDescent="0.3">
      <c r="A820" s="32">
        <v>819</v>
      </c>
      <c r="B820" s="32"/>
      <c r="C820" s="32" t="b">
        <f>_xlfn.XLOOKUP(Table61011121316[[#This Row],[Category No]],Table8[Category No],Table8[Chapter List],FALSE)</f>
        <v>0</v>
      </c>
      <c r="D820" s="34"/>
      <c r="E820" s="34"/>
    </row>
    <row r="821" spans="1:5" x14ac:dyDescent="0.3">
      <c r="A821" s="32">
        <v>820</v>
      </c>
      <c r="B821" s="32"/>
      <c r="C821" s="32" t="b">
        <f>_xlfn.XLOOKUP(Table61011121316[[#This Row],[Category No]],Table8[Category No],Table8[Chapter List],FALSE)</f>
        <v>0</v>
      </c>
      <c r="D821" s="34"/>
      <c r="E821" s="34"/>
    </row>
    <row r="822" spans="1:5" x14ac:dyDescent="0.3">
      <c r="A822" s="32">
        <v>821</v>
      </c>
      <c r="B822" s="32"/>
      <c r="C822" s="32" t="b">
        <f>_xlfn.XLOOKUP(Table61011121316[[#This Row],[Category No]],Table8[Category No],Table8[Chapter List],FALSE)</f>
        <v>0</v>
      </c>
      <c r="D822" s="34"/>
      <c r="E822" s="34"/>
    </row>
    <row r="823" spans="1:5" x14ac:dyDescent="0.3">
      <c r="A823" s="32">
        <v>822</v>
      </c>
      <c r="B823" s="32"/>
      <c r="C823" s="32" t="b">
        <f>_xlfn.XLOOKUP(Table61011121316[[#This Row],[Category No]],Table8[Category No],Table8[Chapter List],FALSE)</f>
        <v>0</v>
      </c>
      <c r="D823" s="34"/>
      <c r="E823" s="34"/>
    </row>
    <row r="824" spans="1:5" x14ac:dyDescent="0.3">
      <c r="A824" s="32">
        <v>823</v>
      </c>
      <c r="B824" s="32"/>
      <c r="C824" s="32" t="b">
        <f>_xlfn.XLOOKUP(Table61011121316[[#This Row],[Category No]],Table8[Category No],Table8[Chapter List],FALSE)</f>
        <v>0</v>
      </c>
      <c r="D824" s="34"/>
      <c r="E824" s="34"/>
    </row>
    <row r="825" spans="1:5" x14ac:dyDescent="0.3">
      <c r="A825" s="32">
        <v>824</v>
      </c>
      <c r="B825" s="32"/>
      <c r="C825" s="32" t="b">
        <f>_xlfn.XLOOKUP(Table61011121316[[#This Row],[Category No]],Table8[Category No],Table8[Chapter List],FALSE)</f>
        <v>0</v>
      </c>
      <c r="D825" s="34"/>
      <c r="E825" s="34"/>
    </row>
    <row r="826" spans="1:5" x14ac:dyDescent="0.3">
      <c r="A826" s="32">
        <v>825</v>
      </c>
      <c r="B826" s="32"/>
      <c r="C826" s="32" t="b">
        <f>_xlfn.XLOOKUP(Table61011121316[[#This Row],[Category No]],Table8[Category No],Table8[Chapter List],FALSE)</f>
        <v>0</v>
      </c>
      <c r="D826" s="34"/>
      <c r="E826" s="34"/>
    </row>
    <row r="827" spans="1:5" x14ac:dyDescent="0.3">
      <c r="A827" s="32">
        <v>826</v>
      </c>
      <c r="B827" s="32"/>
      <c r="C827" s="32" t="b">
        <f>_xlfn.XLOOKUP(Table61011121316[[#This Row],[Category No]],Table8[Category No],Table8[Chapter List],FALSE)</f>
        <v>0</v>
      </c>
      <c r="D827" s="34"/>
      <c r="E827" s="34"/>
    </row>
    <row r="828" spans="1:5" x14ac:dyDescent="0.3">
      <c r="A828" s="32">
        <v>827</v>
      </c>
      <c r="B828" s="32"/>
      <c r="C828" s="32" t="b">
        <f>_xlfn.XLOOKUP(Table61011121316[[#This Row],[Category No]],Table8[Category No],Table8[Chapter List],FALSE)</f>
        <v>0</v>
      </c>
      <c r="D828" s="34"/>
      <c r="E828" s="34"/>
    </row>
    <row r="829" spans="1:5" x14ac:dyDescent="0.3">
      <c r="A829" s="32">
        <v>828</v>
      </c>
      <c r="B829" s="32"/>
      <c r="C829" s="32" t="b">
        <f>_xlfn.XLOOKUP(Table61011121316[[#This Row],[Category No]],Table8[Category No],Table8[Chapter List],FALSE)</f>
        <v>0</v>
      </c>
      <c r="D829" s="34"/>
      <c r="E829" s="34"/>
    </row>
    <row r="830" spans="1:5" x14ac:dyDescent="0.3">
      <c r="A830" s="32">
        <v>829</v>
      </c>
      <c r="B830" s="32"/>
      <c r="C830" s="32" t="b">
        <f>_xlfn.XLOOKUP(Table61011121316[[#This Row],[Category No]],Table8[Category No],Table8[Chapter List],FALSE)</f>
        <v>0</v>
      </c>
      <c r="D830" s="34"/>
      <c r="E830" s="34"/>
    </row>
    <row r="831" spans="1:5" x14ac:dyDescent="0.3">
      <c r="A831" s="32">
        <v>830</v>
      </c>
      <c r="B831" s="32"/>
      <c r="C831" s="32" t="b">
        <f>_xlfn.XLOOKUP(Table61011121316[[#This Row],[Category No]],Table8[Category No],Table8[Chapter List],FALSE)</f>
        <v>0</v>
      </c>
      <c r="D831" s="34"/>
      <c r="E831" s="34"/>
    </row>
    <row r="832" spans="1:5" x14ac:dyDescent="0.3">
      <c r="A832" s="32">
        <v>831</v>
      </c>
      <c r="B832" s="32"/>
      <c r="C832" s="32" t="b">
        <f>_xlfn.XLOOKUP(Table61011121316[[#This Row],[Category No]],Table8[Category No],Table8[Chapter List],FALSE)</f>
        <v>0</v>
      </c>
      <c r="D832" s="34"/>
      <c r="E832" s="34"/>
    </row>
    <row r="833" spans="1:5" x14ac:dyDescent="0.3">
      <c r="A833" s="32">
        <v>832</v>
      </c>
      <c r="B833" s="32"/>
      <c r="C833" s="32" t="b">
        <f>_xlfn.XLOOKUP(Table61011121316[[#This Row],[Category No]],Table8[Category No],Table8[Chapter List],FALSE)</f>
        <v>0</v>
      </c>
      <c r="D833" s="34"/>
      <c r="E833" s="34"/>
    </row>
    <row r="834" spans="1:5" x14ac:dyDescent="0.3">
      <c r="A834" s="32">
        <v>833</v>
      </c>
      <c r="B834" s="32"/>
      <c r="C834" s="32" t="b">
        <f>_xlfn.XLOOKUP(Table61011121316[[#This Row],[Category No]],Table8[Category No],Table8[Chapter List],FALSE)</f>
        <v>0</v>
      </c>
      <c r="D834" s="34"/>
      <c r="E834" s="34"/>
    </row>
    <row r="835" spans="1:5" x14ac:dyDescent="0.3">
      <c r="A835" s="32">
        <v>834</v>
      </c>
      <c r="B835" s="32"/>
      <c r="C835" s="32" t="b">
        <f>_xlfn.XLOOKUP(Table61011121316[[#This Row],[Category No]],Table8[Category No],Table8[Chapter List],FALSE)</f>
        <v>0</v>
      </c>
      <c r="D835" s="34"/>
      <c r="E835" s="34"/>
    </row>
    <row r="836" spans="1:5" x14ac:dyDescent="0.3">
      <c r="A836" s="32">
        <v>835</v>
      </c>
      <c r="B836" s="32"/>
      <c r="C836" s="32" t="b">
        <f>_xlfn.XLOOKUP(Table61011121316[[#This Row],[Category No]],Table8[Category No],Table8[Chapter List],FALSE)</f>
        <v>0</v>
      </c>
      <c r="D836" s="34"/>
      <c r="E836" s="34"/>
    </row>
    <row r="837" spans="1:5" x14ac:dyDescent="0.3">
      <c r="A837" s="32">
        <v>836</v>
      </c>
      <c r="B837" s="32"/>
      <c r="C837" s="32" t="b">
        <f>_xlfn.XLOOKUP(Table61011121316[[#This Row],[Category No]],Table8[Category No],Table8[Chapter List],FALSE)</f>
        <v>0</v>
      </c>
      <c r="D837" s="34"/>
      <c r="E837" s="34"/>
    </row>
    <row r="838" spans="1:5" x14ac:dyDescent="0.3">
      <c r="A838" s="32">
        <v>837</v>
      </c>
      <c r="B838" s="32"/>
      <c r="C838" s="32" t="b">
        <f>_xlfn.XLOOKUP(Table61011121316[[#This Row],[Category No]],Table8[Category No],Table8[Chapter List],FALSE)</f>
        <v>0</v>
      </c>
      <c r="D838" s="34"/>
      <c r="E838" s="34"/>
    </row>
    <row r="839" spans="1:5" x14ac:dyDescent="0.3">
      <c r="A839" s="32">
        <v>838</v>
      </c>
      <c r="B839" s="32"/>
      <c r="C839" s="32" t="b">
        <f>_xlfn.XLOOKUP(Table61011121316[[#This Row],[Category No]],Table8[Category No],Table8[Chapter List],FALSE)</f>
        <v>0</v>
      </c>
      <c r="D839" s="34"/>
      <c r="E839" s="34"/>
    </row>
    <row r="840" spans="1:5" x14ac:dyDescent="0.3">
      <c r="A840" s="32">
        <v>839</v>
      </c>
      <c r="B840" s="32"/>
      <c r="C840" s="32" t="b">
        <f>_xlfn.XLOOKUP(Table61011121316[[#This Row],[Category No]],Table8[Category No],Table8[Chapter List],FALSE)</f>
        <v>0</v>
      </c>
      <c r="D840" s="34"/>
      <c r="E840" s="34"/>
    </row>
    <row r="841" spans="1:5" x14ac:dyDescent="0.3">
      <c r="A841" s="32">
        <v>840</v>
      </c>
      <c r="B841" s="32"/>
      <c r="C841" s="32" t="b">
        <f>_xlfn.XLOOKUP(Table61011121316[[#This Row],[Category No]],Table8[Category No],Table8[Chapter List],FALSE)</f>
        <v>0</v>
      </c>
      <c r="D841" s="34"/>
      <c r="E841" s="34"/>
    </row>
    <row r="842" spans="1:5" x14ac:dyDescent="0.3">
      <c r="A842" s="32">
        <v>841</v>
      </c>
      <c r="B842" s="32"/>
      <c r="C842" s="32" t="b">
        <f>_xlfn.XLOOKUP(Table61011121316[[#This Row],[Category No]],Table8[Category No],Table8[Chapter List],FALSE)</f>
        <v>0</v>
      </c>
      <c r="D842" s="34"/>
      <c r="E842" s="34"/>
    </row>
    <row r="843" spans="1:5" x14ac:dyDescent="0.3">
      <c r="A843" s="32">
        <v>842</v>
      </c>
      <c r="B843" s="32"/>
      <c r="C843" s="32" t="b">
        <f>_xlfn.XLOOKUP(Table61011121316[[#This Row],[Category No]],Table8[Category No],Table8[Chapter List],FALSE)</f>
        <v>0</v>
      </c>
      <c r="D843" s="34"/>
      <c r="E843" s="34"/>
    </row>
    <row r="844" spans="1:5" x14ac:dyDescent="0.3">
      <c r="A844" s="32">
        <v>843</v>
      </c>
      <c r="B844" s="32"/>
      <c r="C844" s="32" t="b">
        <f>_xlfn.XLOOKUP(Table61011121316[[#This Row],[Category No]],Table8[Category No],Table8[Chapter List],FALSE)</f>
        <v>0</v>
      </c>
      <c r="D844" s="34"/>
      <c r="E844" s="34"/>
    </row>
    <row r="845" spans="1:5" x14ac:dyDescent="0.3">
      <c r="A845" s="32">
        <v>844</v>
      </c>
      <c r="B845" s="32"/>
      <c r="C845" s="32" t="b">
        <f>_xlfn.XLOOKUP(Table61011121316[[#This Row],[Category No]],Table8[Category No],Table8[Chapter List],FALSE)</f>
        <v>0</v>
      </c>
      <c r="D845" s="34"/>
      <c r="E845" s="34"/>
    </row>
    <row r="846" spans="1:5" x14ac:dyDescent="0.3">
      <c r="A846" s="32">
        <v>845</v>
      </c>
      <c r="B846" s="32"/>
      <c r="C846" s="32" t="b">
        <f>_xlfn.XLOOKUP(Table61011121316[[#This Row],[Category No]],Table8[Category No],Table8[Chapter List],FALSE)</f>
        <v>0</v>
      </c>
      <c r="D846" s="34"/>
      <c r="E846" s="34"/>
    </row>
    <row r="847" spans="1:5" x14ac:dyDescent="0.3">
      <c r="A847" s="32">
        <v>846</v>
      </c>
      <c r="B847" s="32"/>
      <c r="C847" s="32" t="b">
        <f>_xlfn.XLOOKUP(Table61011121316[[#This Row],[Category No]],Table8[Category No],Table8[Chapter List],FALSE)</f>
        <v>0</v>
      </c>
      <c r="D847" s="34"/>
      <c r="E847" s="34"/>
    </row>
    <row r="848" spans="1:5" x14ac:dyDescent="0.3">
      <c r="A848" s="32">
        <v>847</v>
      </c>
      <c r="B848" s="32"/>
      <c r="C848" s="32" t="b">
        <f>_xlfn.XLOOKUP(Table61011121316[[#This Row],[Category No]],Table8[Category No],Table8[Chapter List],FALSE)</f>
        <v>0</v>
      </c>
      <c r="D848" s="34"/>
      <c r="E848" s="34"/>
    </row>
    <row r="849" spans="1:5" x14ac:dyDescent="0.3">
      <c r="A849" s="32">
        <v>848</v>
      </c>
      <c r="B849" s="32"/>
      <c r="C849" s="32" t="b">
        <f>_xlfn.XLOOKUP(Table61011121316[[#This Row],[Category No]],Table8[Category No],Table8[Chapter List],FALSE)</f>
        <v>0</v>
      </c>
      <c r="D849" s="34"/>
      <c r="E849" s="34"/>
    </row>
    <row r="850" spans="1:5" x14ac:dyDescent="0.3">
      <c r="A850" s="32">
        <v>849</v>
      </c>
      <c r="B850" s="32"/>
      <c r="C850" s="32" t="b">
        <f>_xlfn.XLOOKUP(Table61011121316[[#This Row],[Category No]],Table8[Category No],Table8[Chapter List],FALSE)</f>
        <v>0</v>
      </c>
      <c r="D850" s="34"/>
      <c r="E850" s="34"/>
    </row>
    <row r="851" spans="1:5" x14ac:dyDescent="0.3">
      <c r="A851" s="32">
        <v>850</v>
      </c>
      <c r="B851" s="32"/>
      <c r="C851" s="32" t="b">
        <f>_xlfn.XLOOKUP(Table61011121316[[#This Row],[Category No]],Table8[Category No],Table8[Chapter List],FALSE)</f>
        <v>0</v>
      </c>
      <c r="D851" s="34"/>
      <c r="E851" s="34"/>
    </row>
    <row r="852" spans="1:5" x14ac:dyDescent="0.3">
      <c r="A852" s="32">
        <v>851</v>
      </c>
      <c r="B852" s="32"/>
      <c r="C852" s="32" t="b">
        <f>_xlfn.XLOOKUP(Table61011121316[[#This Row],[Category No]],Table8[Category No],Table8[Chapter List],FALSE)</f>
        <v>0</v>
      </c>
      <c r="D852" s="34"/>
      <c r="E852" s="34"/>
    </row>
    <row r="853" spans="1:5" x14ac:dyDescent="0.3">
      <c r="A853" s="32">
        <v>852</v>
      </c>
      <c r="B853" s="32"/>
      <c r="C853" s="32" t="b">
        <f>_xlfn.XLOOKUP(Table61011121316[[#This Row],[Category No]],Table8[Category No],Table8[Chapter List],FALSE)</f>
        <v>0</v>
      </c>
      <c r="D853" s="34"/>
      <c r="E853" s="34"/>
    </row>
    <row r="854" spans="1:5" x14ac:dyDescent="0.3">
      <c r="A854" s="32">
        <v>853</v>
      </c>
      <c r="B854" s="32"/>
      <c r="C854" s="32" t="b">
        <f>_xlfn.XLOOKUP(Table61011121316[[#This Row],[Category No]],Table8[Category No],Table8[Chapter List],FALSE)</f>
        <v>0</v>
      </c>
      <c r="D854" s="34"/>
      <c r="E854" s="34"/>
    </row>
    <row r="855" spans="1:5" x14ac:dyDescent="0.3">
      <c r="A855" s="32">
        <v>854</v>
      </c>
      <c r="B855" s="32"/>
      <c r="C855" s="32" t="b">
        <f>_xlfn.XLOOKUP(Table61011121316[[#This Row],[Category No]],Table8[Category No],Table8[Chapter List],FALSE)</f>
        <v>0</v>
      </c>
      <c r="D855" s="34"/>
      <c r="E855" s="34"/>
    </row>
    <row r="856" spans="1:5" x14ac:dyDescent="0.3">
      <c r="A856" s="32">
        <v>855</v>
      </c>
      <c r="B856" s="32"/>
      <c r="C856" s="32" t="b">
        <f>_xlfn.XLOOKUP(Table61011121316[[#This Row],[Category No]],Table8[Category No],Table8[Chapter List],FALSE)</f>
        <v>0</v>
      </c>
      <c r="D856" s="34"/>
      <c r="E856" s="34"/>
    </row>
    <row r="857" spans="1:5" x14ac:dyDescent="0.3">
      <c r="A857" s="32">
        <v>856</v>
      </c>
      <c r="B857" s="32"/>
      <c r="C857" s="32" t="b">
        <f>_xlfn.XLOOKUP(Table61011121316[[#This Row],[Category No]],Table8[Category No],Table8[Chapter List],FALSE)</f>
        <v>0</v>
      </c>
      <c r="D857" s="34"/>
      <c r="E857" s="34"/>
    </row>
    <row r="858" spans="1:5" x14ac:dyDescent="0.3">
      <c r="A858" s="32">
        <v>857</v>
      </c>
      <c r="B858" s="32"/>
      <c r="C858" s="32" t="b">
        <f>_xlfn.XLOOKUP(Table61011121316[[#This Row],[Category No]],Table8[Category No],Table8[Chapter List],FALSE)</f>
        <v>0</v>
      </c>
      <c r="D858" s="34"/>
      <c r="E858" s="34"/>
    </row>
    <row r="859" spans="1:5" x14ac:dyDescent="0.3">
      <c r="A859" s="32">
        <v>858</v>
      </c>
      <c r="B859" s="32"/>
      <c r="C859" s="32" t="b">
        <f>_xlfn.XLOOKUP(Table61011121316[[#This Row],[Category No]],Table8[Category No],Table8[Chapter List],FALSE)</f>
        <v>0</v>
      </c>
      <c r="D859" s="34"/>
      <c r="E859" s="34"/>
    </row>
    <row r="860" spans="1:5" x14ac:dyDescent="0.3">
      <c r="A860" s="32">
        <v>859</v>
      </c>
      <c r="B860" s="32"/>
      <c r="C860" s="32" t="b">
        <f>_xlfn.XLOOKUP(Table61011121316[[#This Row],[Category No]],Table8[Category No],Table8[Chapter List],FALSE)</f>
        <v>0</v>
      </c>
      <c r="D860" s="34"/>
      <c r="E860" s="34"/>
    </row>
    <row r="861" spans="1:5" x14ac:dyDescent="0.3">
      <c r="A861" s="32">
        <v>860</v>
      </c>
      <c r="B861" s="32"/>
      <c r="C861" s="32" t="b">
        <f>_xlfn.XLOOKUP(Table61011121316[[#This Row],[Category No]],Table8[Category No],Table8[Chapter List],FALSE)</f>
        <v>0</v>
      </c>
      <c r="D861" s="34"/>
      <c r="E861" s="34"/>
    </row>
    <row r="862" spans="1:5" x14ac:dyDescent="0.3">
      <c r="A862" s="32">
        <v>861</v>
      </c>
      <c r="B862" s="32"/>
      <c r="C862" s="32" t="b">
        <f>_xlfn.XLOOKUP(Table61011121316[[#This Row],[Category No]],Table8[Category No],Table8[Chapter List],FALSE)</f>
        <v>0</v>
      </c>
      <c r="D862" s="34"/>
      <c r="E862" s="34"/>
    </row>
    <row r="863" spans="1:5" x14ac:dyDescent="0.3">
      <c r="A863" s="32">
        <v>862</v>
      </c>
      <c r="B863" s="32"/>
      <c r="C863" s="32" t="b">
        <f>_xlfn.XLOOKUP(Table61011121316[[#This Row],[Category No]],Table8[Category No],Table8[Chapter List],FALSE)</f>
        <v>0</v>
      </c>
      <c r="D863" s="34"/>
      <c r="E863" s="34"/>
    </row>
    <row r="864" spans="1:5" x14ac:dyDescent="0.3">
      <c r="A864" s="32">
        <v>863</v>
      </c>
      <c r="B864" s="32"/>
      <c r="C864" s="32" t="b">
        <f>_xlfn.XLOOKUP(Table61011121316[[#This Row],[Category No]],Table8[Category No],Table8[Chapter List],FALSE)</f>
        <v>0</v>
      </c>
      <c r="D864" s="34"/>
      <c r="E864" s="34"/>
    </row>
    <row r="865" spans="1:5" x14ac:dyDescent="0.3">
      <c r="A865" s="32">
        <v>864</v>
      </c>
      <c r="B865" s="32"/>
      <c r="C865" s="32" t="b">
        <f>_xlfn.XLOOKUP(Table61011121316[[#This Row],[Category No]],Table8[Category No],Table8[Chapter List],FALSE)</f>
        <v>0</v>
      </c>
      <c r="D865" s="34"/>
      <c r="E865" s="34"/>
    </row>
    <row r="866" spans="1:5" x14ac:dyDescent="0.3">
      <c r="A866" s="32">
        <v>865</v>
      </c>
      <c r="B866" s="32"/>
      <c r="C866" s="32" t="b">
        <f>_xlfn.XLOOKUP(Table61011121316[[#This Row],[Category No]],Table8[Category No],Table8[Chapter List],FALSE)</f>
        <v>0</v>
      </c>
      <c r="D866" s="34"/>
      <c r="E866" s="34"/>
    </row>
    <row r="867" spans="1:5" x14ac:dyDescent="0.3">
      <c r="A867" s="32">
        <v>866</v>
      </c>
      <c r="B867" s="32"/>
      <c r="C867" s="32" t="b">
        <f>_xlfn.XLOOKUP(Table61011121316[[#This Row],[Category No]],Table8[Category No],Table8[Chapter List],FALSE)</f>
        <v>0</v>
      </c>
      <c r="D867" s="34"/>
      <c r="E867" s="34"/>
    </row>
    <row r="868" spans="1:5" x14ac:dyDescent="0.3">
      <c r="A868" s="32">
        <v>867</v>
      </c>
      <c r="B868" s="32"/>
      <c r="C868" s="32" t="b">
        <f>_xlfn.XLOOKUP(Table61011121316[[#This Row],[Category No]],Table8[Category No],Table8[Chapter List],FALSE)</f>
        <v>0</v>
      </c>
      <c r="D868" s="34"/>
      <c r="E868" s="34"/>
    </row>
    <row r="869" spans="1:5" x14ac:dyDescent="0.3">
      <c r="A869" s="32">
        <v>868</v>
      </c>
      <c r="B869" s="32"/>
      <c r="C869" s="32" t="b">
        <f>_xlfn.XLOOKUP(Table61011121316[[#This Row],[Category No]],Table8[Category No],Table8[Chapter List],FALSE)</f>
        <v>0</v>
      </c>
      <c r="D869" s="34"/>
      <c r="E869" s="34"/>
    </row>
    <row r="870" spans="1:5" x14ac:dyDescent="0.3">
      <c r="A870" s="32">
        <v>869</v>
      </c>
      <c r="B870" s="32"/>
      <c r="C870" s="32" t="b">
        <f>_xlfn.XLOOKUP(Table61011121316[[#This Row],[Category No]],Table8[Category No],Table8[Chapter List],FALSE)</f>
        <v>0</v>
      </c>
      <c r="D870" s="34"/>
      <c r="E870" s="34"/>
    </row>
    <row r="871" spans="1:5" x14ac:dyDescent="0.3">
      <c r="A871" s="32">
        <v>870</v>
      </c>
      <c r="B871" s="32"/>
      <c r="C871" s="32" t="b">
        <f>_xlfn.XLOOKUP(Table61011121316[[#This Row],[Category No]],Table8[Category No],Table8[Chapter List],FALSE)</f>
        <v>0</v>
      </c>
      <c r="D871" s="34"/>
      <c r="E871" s="34"/>
    </row>
    <row r="872" spans="1:5" x14ac:dyDescent="0.3">
      <c r="A872" s="32">
        <v>871</v>
      </c>
      <c r="B872" s="32"/>
      <c r="C872" s="32" t="b">
        <f>_xlfn.XLOOKUP(Table61011121316[[#This Row],[Category No]],Table8[Category No],Table8[Chapter List],FALSE)</f>
        <v>0</v>
      </c>
      <c r="D872" s="34"/>
      <c r="E872" s="34"/>
    </row>
    <row r="873" spans="1:5" x14ac:dyDescent="0.3">
      <c r="A873" s="32">
        <v>872</v>
      </c>
      <c r="B873" s="32"/>
      <c r="C873" s="32" t="b">
        <f>_xlfn.XLOOKUP(Table61011121316[[#This Row],[Category No]],Table8[Category No],Table8[Chapter List],FALSE)</f>
        <v>0</v>
      </c>
      <c r="D873" s="34"/>
      <c r="E873" s="34"/>
    </row>
    <row r="874" spans="1:5" x14ac:dyDescent="0.3">
      <c r="A874" s="32">
        <v>873</v>
      </c>
      <c r="B874" s="32"/>
      <c r="C874" s="32" t="b">
        <f>_xlfn.XLOOKUP(Table61011121316[[#This Row],[Category No]],Table8[Category No],Table8[Chapter List],FALSE)</f>
        <v>0</v>
      </c>
      <c r="D874" s="34"/>
      <c r="E874" s="34"/>
    </row>
    <row r="875" spans="1:5" x14ac:dyDescent="0.3">
      <c r="A875" s="32">
        <v>874</v>
      </c>
      <c r="B875" s="32"/>
      <c r="C875" s="32" t="b">
        <f>_xlfn.XLOOKUP(Table61011121316[[#This Row],[Category No]],Table8[Category No],Table8[Chapter List],FALSE)</f>
        <v>0</v>
      </c>
      <c r="D875" s="34"/>
      <c r="E875" s="34"/>
    </row>
    <row r="876" spans="1:5" x14ac:dyDescent="0.3">
      <c r="A876" s="32">
        <v>875</v>
      </c>
      <c r="B876" s="32"/>
      <c r="C876" s="32" t="b">
        <f>_xlfn.XLOOKUP(Table61011121316[[#This Row],[Category No]],Table8[Category No],Table8[Chapter List],FALSE)</f>
        <v>0</v>
      </c>
      <c r="D876" s="34"/>
      <c r="E876" s="34"/>
    </row>
    <row r="877" spans="1:5" x14ac:dyDescent="0.3">
      <c r="A877" s="32">
        <v>876</v>
      </c>
      <c r="B877" s="32"/>
      <c r="C877" s="32" t="b">
        <f>_xlfn.XLOOKUP(Table61011121316[[#This Row],[Category No]],Table8[Category No],Table8[Chapter List],FALSE)</f>
        <v>0</v>
      </c>
      <c r="D877" s="34"/>
      <c r="E877" s="34"/>
    </row>
    <row r="878" spans="1:5" x14ac:dyDescent="0.3">
      <c r="A878" s="32">
        <v>877</v>
      </c>
      <c r="B878" s="32"/>
      <c r="C878" s="32" t="b">
        <f>_xlfn.XLOOKUP(Table61011121316[[#This Row],[Category No]],Table8[Category No],Table8[Chapter List],FALSE)</f>
        <v>0</v>
      </c>
      <c r="D878" s="34"/>
      <c r="E878" s="34"/>
    </row>
    <row r="879" spans="1:5" x14ac:dyDescent="0.3">
      <c r="A879" s="32">
        <v>878</v>
      </c>
      <c r="B879" s="32"/>
      <c r="C879" s="32" t="b">
        <f>_xlfn.XLOOKUP(Table61011121316[[#This Row],[Category No]],Table8[Category No],Table8[Chapter List],FALSE)</f>
        <v>0</v>
      </c>
      <c r="D879" s="34"/>
      <c r="E879" s="34"/>
    </row>
    <row r="880" spans="1:5" x14ac:dyDescent="0.3">
      <c r="A880" s="32">
        <v>879</v>
      </c>
      <c r="B880" s="32"/>
      <c r="C880" s="32" t="b">
        <f>_xlfn.XLOOKUP(Table61011121316[[#This Row],[Category No]],Table8[Category No],Table8[Chapter List],FALSE)</f>
        <v>0</v>
      </c>
      <c r="D880" s="34"/>
      <c r="E880" s="34"/>
    </row>
    <row r="881" spans="1:5" x14ac:dyDescent="0.3">
      <c r="A881" s="32">
        <v>880</v>
      </c>
      <c r="B881" s="32"/>
      <c r="C881" s="32" t="b">
        <f>_xlfn.XLOOKUP(Table61011121316[[#This Row],[Category No]],Table8[Category No],Table8[Chapter List],FALSE)</f>
        <v>0</v>
      </c>
      <c r="D881" s="34"/>
      <c r="E881" s="34"/>
    </row>
    <row r="882" spans="1:5" x14ac:dyDescent="0.3">
      <c r="A882" s="32">
        <v>881</v>
      </c>
      <c r="B882" s="32"/>
      <c r="C882" s="32" t="b">
        <f>_xlfn.XLOOKUP(Table61011121316[[#This Row],[Category No]],Table8[Category No],Table8[Chapter List],FALSE)</f>
        <v>0</v>
      </c>
      <c r="D882" s="34"/>
      <c r="E882" s="34"/>
    </row>
    <row r="883" spans="1:5" x14ac:dyDescent="0.3">
      <c r="A883" s="32">
        <v>882</v>
      </c>
      <c r="B883" s="32"/>
      <c r="C883" s="32" t="b">
        <f>_xlfn.XLOOKUP(Table61011121316[[#This Row],[Category No]],Table8[Category No],Table8[Chapter List],FALSE)</f>
        <v>0</v>
      </c>
      <c r="D883" s="34"/>
      <c r="E883" s="34"/>
    </row>
    <row r="884" spans="1:5" x14ac:dyDescent="0.3">
      <c r="A884" s="32">
        <v>883</v>
      </c>
      <c r="B884" s="32"/>
      <c r="C884" s="32" t="b">
        <f>_xlfn.XLOOKUP(Table61011121316[[#This Row],[Category No]],Table8[Category No],Table8[Chapter List],FALSE)</f>
        <v>0</v>
      </c>
      <c r="D884" s="34"/>
      <c r="E884" s="34"/>
    </row>
    <row r="885" spans="1:5" x14ac:dyDescent="0.3">
      <c r="A885" s="32">
        <v>884</v>
      </c>
      <c r="B885" s="32"/>
      <c r="C885" s="32" t="b">
        <f>_xlfn.XLOOKUP(Table61011121316[[#This Row],[Category No]],Table8[Category No],Table8[Chapter List],FALSE)</f>
        <v>0</v>
      </c>
      <c r="D885" s="34"/>
      <c r="E885" s="34"/>
    </row>
    <row r="886" spans="1:5" x14ac:dyDescent="0.3">
      <c r="A886" s="32">
        <v>885</v>
      </c>
      <c r="B886" s="32"/>
      <c r="C886" s="32" t="b">
        <f>_xlfn.XLOOKUP(Table61011121316[[#This Row],[Category No]],Table8[Category No],Table8[Chapter List],FALSE)</f>
        <v>0</v>
      </c>
      <c r="D886" s="34"/>
      <c r="E886" s="34"/>
    </row>
    <row r="887" spans="1:5" x14ac:dyDescent="0.3">
      <c r="A887" s="32">
        <v>886</v>
      </c>
      <c r="B887" s="32"/>
      <c r="C887" s="32" t="b">
        <f>_xlfn.XLOOKUP(Table61011121316[[#This Row],[Category No]],Table8[Category No],Table8[Chapter List],FALSE)</f>
        <v>0</v>
      </c>
      <c r="D887" s="34"/>
      <c r="E887" s="34"/>
    </row>
    <row r="888" spans="1:5" x14ac:dyDescent="0.3">
      <c r="A888" s="32">
        <v>887</v>
      </c>
      <c r="B888" s="32"/>
      <c r="C888" s="32" t="b">
        <f>_xlfn.XLOOKUP(Table61011121316[[#This Row],[Category No]],Table8[Category No],Table8[Chapter List],FALSE)</f>
        <v>0</v>
      </c>
      <c r="D888" s="34"/>
      <c r="E888" s="34"/>
    </row>
    <row r="889" spans="1:5" x14ac:dyDescent="0.3">
      <c r="A889" s="32">
        <v>888</v>
      </c>
      <c r="B889" s="32"/>
      <c r="C889" s="32" t="b">
        <f>_xlfn.XLOOKUP(Table61011121316[[#This Row],[Category No]],Table8[Category No],Table8[Chapter List],FALSE)</f>
        <v>0</v>
      </c>
      <c r="D889" s="34"/>
      <c r="E889" s="34"/>
    </row>
    <row r="890" spans="1:5" x14ac:dyDescent="0.3">
      <c r="A890" s="32">
        <v>889</v>
      </c>
      <c r="B890" s="32"/>
      <c r="C890" s="32" t="b">
        <f>_xlfn.XLOOKUP(Table61011121316[[#This Row],[Category No]],Table8[Category No],Table8[Chapter List],FALSE)</f>
        <v>0</v>
      </c>
      <c r="D890" s="34"/>
      <c r="E890" s="34"/>
    </row>
    <row r="891" spans="1:5" x14ac:dyDescent="0.3">
      <c r="A891" s="32">
        <v>890</v>
      </c>
      <c r="B891" s="32"/>
      <c r="C891" s="32" t="b">
        <f>_xlfn.XLOOKUP(Table61011121316[[#This Row],[Category No]],Table8[Category No],Table8[Chapter List],FALSE)</f>
        <v>0</v>
      </c>
      <c r="D891" s="34"/>
      <c r="E891" s="34"/>
    </row>
    <row r="892" spans="1:5" x14ac:dyDescent="0.3">
      <c r="A892" s="32">
        <v>891</v>
      </c>
      <c r="B892" s="32"/>
      <c r="C892" s="32" t="b">
        <f>_xlfn.XLOOKUP(Table61011121316[[#This Row],[Category No]],Table8[Category No],Table8[Chapter List],FALSE)</f>
        <v>0</v>
      </c>
      <c r="D892" s="34"/>
      <c r="E892" s="34"/>
    </row>
    <row r="893" spans="1:5" x14ac:dyDescent="0.3">
      <c r="A893" s="32">
        <v>892</v>
      </c>
      <c r="B893" s="32"/>
      <c r="C893" s="32" t="b">
        <f>_xlfn.XLOOKUP(Table61011121316[[#This Row],[Category No]],Table8[Category No],Table8[Chapter List],FALSE)</f>
        <v>0</v>
      </c>
      <c r="D893" s="34"/>
      <c r="E893" s="34"/>
    </row>
    <row r="894" spans="1:5" x14ac:dyDescent="0.3">
      <c r="A894" s="32">
        <v>893</v>
      </c>
      <c r="B894" s="32"/>
      <c r="C894" s="32" t="b">
        <f>_xlfn.XLOOKUP(Table61011121316[[#This Row],[Category No]],Table8[Category No],Table8[Chapter List],FALSE)</f>
        <v>0</v>
      </c>
      <c r="D894" s="34"/>
      <c r="E894" s="34"/>
    </row>
    <row r="895" spans="1:5" x14ac:dyDescent="0.3">
      <c r="A895" s="32">
        <v>894</v>
      </c>
      <c r="B895" s="32"/>
      <c r="C895" s="32" t="b">
        <f>_xlfn.XLOOKUP(Table61011121316[[#This Row],[Category No]],Table8[Category No],Table8[Chapter List],FALSE)</f>
        <v>0</v>
      </c>
      <c r="D895" s="34"/>
      <c r="E895" s="34"/>
    </row>
    <row r="896" spans="1:5" x14ac:dyDescent="0.3">
      <c r="A896" s="32">
        <v>895</v>
      </c>
      <c r="B896" s="32"/>
      <c r="C896" s="32" t="b">
        <f>_xlfn.XLOOKUP(Table61011121316[[#This Row],[Category No]],Table8[Category No],Table8[Chapter List],FALSE)</f>
        <v>0</v>
      </c>
      <c r="D896" s="34"/>
      <c r="E896" s="34"/>
    </row>
    <row r="897" spans="1:5" x14ac:dyDescent="0.3">
      <c r="A897" s="32">
        <v>896</v>
      </c>
      <c r="B897" s="32"/>
      <c r="C897" s="32" t="b">
        <f>_xlfn.XLOOKUP(Table61011121316[[#This Row],[Category No]],Table8[Category No],Table8[Chapter List],FALSE)</f>
        <v>0</v>
      </c>
      <c r="D897" s="34"/>
      <c r="E897" s="34"/>
    </row>
    <row r="898" spans="1:5" x14ac:dyDescent="0.3">
      <c r="A898" s="32">
        <v>897</v>
      </c>
      <c r="B898" s="32"/>
      <c r="C898" s="32" t="b">
        <f>_xlfn.XLOOKUP(Table61011121316[[#This Row],[Category No]],Table8[Category No],Table8[Chapter List],FALSE)</f>
        <v>0</v>
      </c>
      <c r="D898" s="34"/>
      <c r="E898" s="34"/>
    </row>
    <row r="899" spans="1:5" x14ac:dyDescent="0.3">
      <c r="A899" s="32">
        <v>898</v>
      </c>
      <c r="B899" s="32"/>
      <c r="C899" s="32" t="b">
        <f>_xlfn.XLOOKUP(Table61011121316[[#This Row],[Category No]],Table8[Category No],Table8[Chapter List],FALSE)</f>
        <v>0</v>
      </c>
      <c r="D899" s="34"/>
      <c r="E899" s="34"/>
    </row>
    <row r="900" spans="1:5" x14ac:dyDescent="0.3">
      <c r="A900" s="32">
        <v>899</v>
      </c>
      <c r="B900" s="32"/>
      <c r="C900" s="32" t="b">
        <f>_xlfn.XLOOKUP(Table61011121316[[#This Row],[Category No]],Table8[Category No],Table8[Chapter List],FALSE)</f>
        <v>0</v>
      </c>
      <c r="D900" s="34"/>
      <c r="E900" s="34"/>
    </row>
    <row r="901" spans="1:5" x14ac:dyDescent="0.3">
      <c r="A901" s="32">
        <v>900</v>
      </c>
      <c r="B901" s="32"/>
      <c r="C901" s="32" t="b">
        <f>_xlfn.XLOOKUP(Table61011121316[[#This Row],[Category No]],Table8[Category No],Table8[Chapter List],FALSE)</f>
        <v>0</v>
      </c>
      <c r="D901" s="34"/>
      <c r="E901" s="34"/>
    </row>
    <row r="902" spans="1:5" x14ac:dyDescent="0.3">
      <c r="A902" s="32">
        <v>901</v>
      </c>
      <c r="B902" s="32"/>
      <c r="C902" s="32" t="b">
        <f>_xlfn.XLOOKUP(Table61011121316[[#This Row],[Category No]],Table8[Category No],Table8[Chapter List],FALSE)</f>
        <v>0</v>
      </c>
      <c r="D902" s="34"/>
      <c r="E902" s="34"/>
    </row>
    <row r="903" spans="1:5" x14ac:dyDescent="0.3">
      <c r="A903" s="32">
        <v>902</v>
      </c>
      <c r="B903" s="32"/>
      <c r="C903" s="32" t="b">
        <f>_xlfn.XLOOKUP(Table61011121316[[#This Row],[Category No]],Table8[Category No],Table8[Chapter List],FALSE)</f>
        <v>0</v>
      </c>
      <c r="D903" s="34"/>
      <c r="E903" s="34"/>
    </row>
    <row r="904" spans="1:5" x14ac:dyDescent="0.3">
      <c r="A904" s="32">
        <v>903</v>
      </c>
      <c r="B904" s="32"/>
      <c r="C904" s="32" t="b">
        <f>_xlfn.XLOOKUP(Table61011121316[[#This Row],[Category No]],Table8[Category No],Table8[Chapter List],FALSE)</f>
        <v>0</v>
      </c>
      <c r="D904" s="34"/>
      <c r="E904" s="34"/>
    </row>
    <row r="905" spans="1:5" x14ac:dyDescent="0.3">
      <c r="A905" s="32">
        <v>904</v>
      </c>
      <c r="B905" s="32"/>
      <c r="C905" s="32" t="b">
        <f>_xlfn.XLOOKUP(Table61011121316[[#This Row],[Category No]],Table8[Category No],Table8[Chapter List],FALSE)</f>
        <v>0</v>
      </c>
      <c r="D905" s="34"/>
      <c r="E905" s="34"/>
    </row>
    <row r="906" spans="1:5" x14ac:dyDescent="0.3">
      <c r="A906" s="32">
        <v>905</v>
      </c>
      <c r="B906" s="32"/>
      <c r="C906" s="32" t="b">
        <f>_xlfn.XLOOKUP(Table61011121316[[#This Row],[Category No]],Table8[Category No],Table8[Chapter List],FALSE)</f>
        <v>0</v>
      </c>
      <c r="D906" s="34"/>
      <c r="E906" s="34"/>
    </row>
    <row r="907" spans="1:5" x14ac:dyDescent="0.3">
      <c r="A907" s="32">
        <v>906</v>
      </c>
      <c r="B907" s="32"/>
      <c r="C907" s="32" t="b">
        <f>_xlfn.XLOOKUP(Table61011121316[[#This Row],[Category No]],Table8[Category No],Table8[Chapter List],FALSE)</f>
        <v>0</v>
      </c>
      <c r="D907" s="34"/>
      <c r="E907" s="34"/>
    </row>
    <row r="908" spans="1:5" x14ac:dyDescent="0.3">
      <c r="A908" s="32">
        <v>907</v>
      </c>
      <c r="B908" s="32"/>
      <c r="C908" s="32" t="b">
        <f>_xlfn.XLOOKUP(Table61011121316[[#This Row],[Category No]],Table8[Category No],Table8[Chapter List],FALSE)</f>
        <v>0</v>
      </c>
      <c r="D908" s="34"/>
      <c r="E908" s="34"/>
    </row>
    <row r="909" spans="1:5" x14ac:dyDescent="0.3">
      <c r="A909" s="32">
        <v>908</v>
      </c>
      <c r="B909" s="32"/>
      <c r="C909" s="32" t="b">
        <f>_xlfn.XLOOKUP(Table61011121316[[#This Row],[Category No]],Table8[Category No],Table8[Chapter List],FALSE)</f>
        <v>0</v>
      </c>
      <c r="D909" s="34"/>
      <c r="E909" s="34"/>
    </row>
    <row r="910" spans="1:5" x14ac:dyDescent="0.3">
      <c r="A910" s="32">
        <v>909</v>
      </c>
      <c r="B910" s="32"/>
      <c r="C910" s="32" t="b">
        <f>_xlfn.XLOOKUP(Table61011121316[[#This Row],[Category No]],Table8[Category No],Table8[Chapter List],FALSE)</f>
        <v>0</v>
      </c>
      <c r="D910" s="34"/>
      <c r="E910" s="34"/>
    </row>
    <row r="911" spans="1:5" x14ac:dyDescent="0.3">
      <c r="A911" s="32">
        <v>910</v>
      </c>
      <c r="B911" s="32"/>
      <c r="C911" s="32" t="b">
        <f>_xlfn.XLOOKUP(Table61011121316[[#This Row],[Category No]],Table8[Category No],Table8[Chapter List],FALSE)</f>
        <v>0</v>
      </c>
      <c r="D911" s="34"/>
      <c r="E911" s="34"/>
    </row>
    <row r="912" spans="1:5" x14ac:dyDescent="0.3">
      <c r="A912" s="32">
        <v>911</v>
      </c>
      <c r="B912" s="32"/>
      <c r="C912" s="32" t="b">
        <f>_xlfn.XLOOKUP(Table61011121316[[#This Row],[Category No]],Table8[Category No],Table8[Chapter List],FALSE)</f>
        <v>0</v>
      </c>
      <c r="D912" s="34"/>
      <c r="E912" s="34"/>
    </row>
    <row r="913" spans="1:5" x14ac:dyDescent="0.3">
      <c r="A913" s="32">
        <v>912</v>
      </c>
      <c r="B913" s="32"/>
      <c r="C913" s="32" t="b">
        <f>_xlfn.XLOOKUP(Table61011121316[[#This Row],[Category No]],Table8[Category No],Table8[Chapter List],FALSE)</f>
        <v>0</v>
      </c>
      <c r="D913" s="34"/>
      <c r="E913" s="34"/>
    </row>
    <row r="914" spans="1:5" x14ac:dyDescent="0.3">
      <c r="A914" s="32">
        <v>913</v>
      </c>
      <c r="B914" s="32"/>
      <c r="C914" s="32" t="b">
        <f>_xlfn.XLOOKUP(Table61011121316[[#This Row],[Category No]],Table8[Category No],Table8[Chapter List],FALSE)</f>
        <v>0</v>
      </c>
      <c r="D914" s="34"/>
      <c r="E914" s="34"/>
    </row>
    <row r="915" spans="1:5" x14ac:dyDescent="0.3">
      <c r="A915" s="32">
        <v>914</v>
      </c>
      <c r="B915" s="32"/>
      <c r="C915" s="32" t="b">
        <f>_xlfn.XLOOKUP(Table61011121316[[#This Row],[Category No]],Table8[Category No],Table8[Chapter List],FALSE)</f>
        <v>0</v>
      </c>
      <c r="D915" s="34"/>
      <c r="E915" s="34"/>
    </row>
    <row r="916" spans="1:5" x14ac:dyDescent="0.3">
      <c r="A916" s="32">
        <v>915</v>
      </c>
      <c r="B916" s="32"/>
      <c r="C916" s="32" t="b">
        <f>_xlfn.XLOOKUP(Table61011121316[[#This Row],[Category No]],Table8[Category No],Table8[Chapter List],FALSE)</f>
        <v>0</v>
      </c>
      <c r="D916" s="34"/>
      <c r="E916" s="34"/>
    </row>
    <row r="917" spans="1:5" x14ac:dyDescent="0.3">
      <c r="A917" s="32">
        <v>916</v>
      </c>
      <c r="B917" s="32"/>
      <c r="C917" s="32" t="b">
        <f>_xlfn.XLOOKUP(Table61011121316[[#This Row],[Category No]],Table8[Category No],Table8[Chapter List],FALSE)</f>
        <v>0</v>
      </c>
      <c r="D917" s="34"/>
      <c r="E917" s="34"/>
    </row>
    <row r="918" spans="1:5" x14ac:dyDescent="0.3">
      <c r="A918" s="32">
        <v>917</v>
      </c>
      <c r="B918" s="32"/>
      <c r="C918" s="32" t="b">
        <f>_xlfn.XLOOKUP(Table61011121316[[#This Row],[Category No]],Table8[Category No],Table8[Chapter List],FALSE)</f>
        <v>0</v>
      </c>
      <c r="D918" s="34"/>
      <c r="E918" s="34"/>
    </row>
    <row r="919" spans="1:5" x14ac:dyDescent="0.3">
      <c r="A919" s="32">
        <v>918</v>
      </c>
      <c r="B919" s="32"/>
      <c r="C919" s="32" t="b">
        <f>_xlfn.XLOOKUP(Table61011121316[[#This Row],[Category No]],Table8[Category No],Table8[Chapter List],FALSE)</f>
        <v>0</v>
      </c>
      <c r="D919" s="34"/>
      <c r="E919" s="34"/>
    </row>
    <row r="920" spans="1:5" x14ac:dyDescent="0.3">
      <c r="A920" s="32">
        <v>919</v>
      </c>
      <c r="B920" s="32"/>
      <c r="C920" s="32" t="b">
        <f>_xlfn.XLOOKUP(Table61011121316[[#This Row],[Category No]],Table8[Category No],Table8[Chapter List],FALSE)</f>
        <v>0</v>
      </c>
      <c r="D920" s="34"/>
      <c r="E920" s="34"/>
    </row>
    <row r="921" spans="1:5" x14ac:dyDescent="0.3">
      <c r="A921" s="32">
        <v>920</v>
      </c>
      <c r="B921" s="32"/>
      <c r="C921" s="32" t="b">
        <f>_xlfn.XLOOKUP(Table61011121316[[#This Row],[Category No]],Table8[Category No],Table8[Chapter List],FALSE)</f>
        <v>0</v>
      </c>
      <c r="D921" s="34"/>
      <c r="E921" s="34"/>
    </row>
    <row r="922" spans="1:5" x14ac:dyDescent="0.3">
      <c r="A922" s="32">
        <v>921</v>
      </c>
      <c r="B922" s="32"/>
      <c r="C922" s="32" t="b">
        <f>_xlfn.XLOOKUP(Table61011121316[[#This Row],[Category No]],Table8[Category No],Table8[Chapter List],FALSE)</f>
        <v>0</v>
      </c>
      <c r="D922" s="34"/>
      <c r="E922" s="34"/>
    </row>
    <row r="923" spans="1:5" x14ac:dyDescent="0.3">
      <c r="A923" s="32">
        <v>922</v>
      </c>
      <c r="B923" s="32"/>
      <c r="C923" s="32" t="b">
        <f>_xlfn.XLOOKUP(Table61011121316[[#This Row],[Category No]],Table8[Category No],Table8[Chapter List],FALSE)</f>
        <v>0</v>
      </c>
      <c r="D923" s="34"/>
      <c r="E923" s="34"/>
    </row>
    <row r="924" spans="1:5" x14ac:dyDescent="0.3">
      <c r="A924" s="32">
        <v>923</v>
      </c>
      <c r="B924" s="32"/>
      <c r="C924" s="32" t="b">
        <f>_xlfn.XLOOKUP(Table61011121316[[#This Row],[Category No]],Table8[Category No],Table8[Chapter List],FALSE)</f>
        <v>0</v>
      </c>
      <c r="D924" s="34"/>
      <c r="E924" s="34"/>
    </row>
    <row r="925" spans="1:5" x14ac:dyDescent="0.3">
      <c r="A925" s="32">
        <v>924</v>
      </c>
      <c r="B925" s="32"/>
      <c r="C925" s="32" t="b">
        <f>_xlfn.XLOOKUP(Table61011121316[[#This Row],[Category No]],Table8[Category No],Table8[Chapter List],FALSE)</f>
        <v>0</v>
      </c>
      <c r="D925" s="34"/>
      <c r="E925" s="34"/>
    </row>
    <row r="926" spans="1:5" x14ac:dyDescent="0.3">
      <c r="A926" s="32">
        <v>925</v>
      </c>
      <c r="B926" s="32"/>
      <c r="C926" s="32" t="b">
        <f>_xlfn.XLOOKUP(Table61011121316[[#This Row],[Category No]],Table8[Category No],Table8[Chapter List],FALSE)</f>
        <v>0</v>
      </c>
      <c r="D926" s="34"/>
      <c r="E926" s="34"/>
    </row>
    <row r="927" spans="1:5" x14ac:dyDescent="0.3">
      <c r="A927" s="32">
        <v>926</v>
      </c>
      <c r="B927" s="32"/>
      <c r="C927" s="32" t="b">
        <f>_xlfn.XLOOKUP(Table61011121316[[#This Row],[Category No]],Table8[Category No],Table8[Chapter List],FALSE)</f>
        <v>0</v>
      </c>
      <c r="D927" s="34"/>
      <c r="E927" s="34"/>
    </row>
    <row r="928" spans="1:5" x14ac:dyDescent="0.3">
      <c r="A928" s="32">
        <v>927</v>
      </c>
      <c r="B928" s="32"/>
      <c r="C928" s="32" t="b">
        <f>_xlfn.XLOOKUP(Table61011121316[[#This Row],[Category No]],Table8[Category No],Table8[Chapter List],FALSE)</f>
        <v>0</v>
      </c>
      <c r="D928" s="34"/>
      <c r="E928" s="34"/>
    </row>
    <row r="929" spans="1:5" x14ac:dyDescent="0.3">
      <c r="A929" s="32">
        <v>928</v>
      </c>
      <c r="B929" s="32"/>
      <c r="C929" s="32" t="b">
        <f>_xlfn.XLOOKUP(Table61011121316[[#This Row],[Category No]],Table8[Category No],Table8[Chapter List],FALSE)</f>
        <v>0</v>
      </c>
      <c r="D929" s="34"/>
      <c r="E929" s="34"/>
    </row>
    <row r="930" spans="1:5" x14ac:dyDescent="0.3">
      <c r="A930" s="32">
        <v>929</v>
      </c>
      <c r="B930" s="32"/>
      <c r="C930" s="32" t="b">
        <f>_xlfn.XLOOKUP(Table61011121316[[#This Row],[Category No]],Table8[Category No],Table8[Chapter List],FALSE)</f>
        <v>0</v>
      </c>
      <c r="D930" s="34"/>
      <c r="E930" s="34"/>
    </row>
    <row r="931" spans="1:5" x14ac:dyDescent="0.3">
      <c r="A931" s="32">
        <v>930</v>
      </c>
      <c r="B931" s="32"/>
      <c r="C931" s="32" t="b">
        <f>_xlfn.XLOOKUP(Table61011121316[[#This Row],[Category No]],Table8[Category No],Table8[Chapter List],FALSE)</f>
        <v>0</v>
      </c>
      <c r="D931" s="34"/>
      <c r="E931" s="34"/>
    </row>
    <row r="932" spans="1:5" x14ac:dyDescent="0.3">
      <c r="A932" s="32">
        <v>931</v>
      </c>
      <c r="B932" s="32"/>
      <c r="C932" s="32" t="b">
        <f>_xlfn.XLOOKUP(Table61011121316[[#This Row],[Category No]],Table8[Category No],Table8[Chapter List],FALSE)</f>
        <v>0</v>
      </c>
      <c r="D932" s="34"/>
      <c r="E932" s="34"/>
    </row>
    <row r="933" spans="1:5" x14ac:dyDescent="0.3">
      <c r="A933" s="32">
        <v>932</v>
      </c>
      <c r="B933" s="32"/>
      <c r="C933" s="32" t="b">
        <f>_xlfn.XLOOKUP(Table61011121316[[#This Row],[Category No]],Table8[Category No],Table8[Chapter List],FALSE)</f>
        <v>0</v>
      </c>
      <c r="D933" s="34"/>
      <c r="E933" s="34"/>
    </row>
    <row r="934" spans="1:5" x14ac:dyDescent="0.3">
      <c r="A934" s="32">
        <v>933</v>
      </c>
      <c r="B934" s="32"/>
      <c r="C934" s="32" t="b">
        <f>_xlfn.XLOOKUP(Table61011121316[[#This Row],[Category No]],Table8[Category No],Table8[Chapter List],FALSE)</f>
        <v>0</v>
      </c>
      <c r="D934" s="34"/>
      <c r="E934" s="34"/>
    </row>
    <row r="935" spans="1:5" x14ac:dyDescent="0.3">
      <c r="A935" s="32">
        <v>934</v>
      </c>
      <c r="B935" s="32"/>
      <c r="C935" s="32" t="b">
        <f>_xlfn.XLOOKUP(Table61011121316[[#This Row],[Category No]],Table8[Category No],Table8[Chapter List],FALSE)</f>
        <v>0</v>
      </c>
      <c r="D935" s="34"/>
      <c r="E935" s="34"/>
    </row>
    <row r="936" spans="1:5" x14ac:dyDescent="0.3">
      <c r="A936" s="32">
        <v>935</v>
      </c>
      <c r="B936" s="32"/>
      <c r="C936" s="32" t="b">
        <f>_xlfn.XLOOKUP(Table61011121316[[#This Row],[Category No]],Table8[Category No],Table8[Chapter List],FALSE)</f>
        <v>0</v>
      </c>
      <c r="D936" s="34"/>
      <c r="E936" s="34"/>
    </row>
    <row r="937" spans="1:5" x14ac:dyDescent="0.3">
      <c r="A937" s="32">
        <v>936</v>
      </c>
      <c r="B937" s="32"/>
      <c r="C937" s="32" t="b">
        <f>_xlfn.XLOOKUP(Table61011121316[[#This Row],[Category No]],Table8[Category No],Table8[Chapter List],FALSE)</f>
        <v>0</v>
      </c>
      <c r="D937" s="34"/>
      <c r="E937" s="34"/>
    </row>
    <row r="938" spans="1:5" x14ac:dyDescent="0.3">
      <c r="A938" s="32">
        <v>937</v>
      </c>
      <c r="B938" s="32"/>
      <c r="C938" s="32" t="b">
        <f>_xlfn.XLOOKUP(Table61011121316[[#This Row],[Category No]],Table8[Category No],Table8[Chapter List],FALSE)</f>
        <v>0</v>
      </c>
      <c r="D938" s="34"/>
      <c r="E938" s="34"/>
    </row>
    <row r="939" spans="1:5" x14ac:dyDescent="0.3">
      <c r="A939" s="32">
        <v>938</v>
      </c>
      <c r="B939" s="32"/>
      <c r="C939" s="32" t="b">
        <f>_xlfn.XLOOKUP(Table61011121316[[#This Row],[Category No]],Table8[Category No],Table8[Chapter List],FALSE)</f>
        <v>0</v>
      </c>
      <c r="D939" s="34"/>
      <c r="E939" s="34"/>
    </row>
    <row r="940" spans="1:5" x14ac:dyDescent="0.3">
      <c r="A940" s="32">
        <v>939</v>
      </c>
      <c r="B940" s="32"/>
      <c r="C940" s="32" t="b">
        <f>_xlfn.XLOOKUP(Table61011121316[[#This Row],[Category No]],Table8[Category No],Table8[Chapter List],FALSE)</f>
        <v>0</v>
      </c>
      <c r="D940" s="34"/>
      <c r="E940" s="34"/>
    </row>
    <row r="941" spans="1:5" x14ac:dyDescent="0.3">
      <c r="A941" s="32">
        <v>940</v>
      </c>
      <c r="B941" s="32"/>
      <c r="C941" s="32" t="b">
        <f>_xlfn.XLOOKUP(Table61011121316[[#This Row],[Category No]],Table8[Category No],Table8[Chapter List],FALSE)</f>
        <v>0</v>
      </c>
      <c r="D941" s="34"/>
      <c r="E941" s="34"/>
    </row>
    <row r="942" spans="1:5" x14ac:dyDescent="0.3">
      <c r="A942" s="32">
        <v>941</v>
      </c>
      <c r="B942" s="32"/>
      <c r="C942" s="32" t="b">
        <f>_xlfn.XLOOKUP(Table61011121316[[#This Row],[Category No]],Table8[Category No],Table8[Chapter List],FALSE)</f>
        <v>0</v>
      </c>
      <c r="D942" s="34"/>
      <c r="E942" s="34"/>
    </row>
    <row r="943" spans="1:5" x14ac:dyDescent="0.3">
      <c r="A943" s="32">
        <v>942</v>
      </c>
      <c r="B943" s="32"/>
      <c r="C943" s="32" t="b">
        <f>_xlfn.XLOOKUP(Table61011121316[[#This Row],[Category No]],Table8[Category No],Table8[Chapter List],FALSE)</f>
        <v>0</v>
      </c>
      <c r="D943" s="34"/>
      <c r="E943" s="34"/>
    </row>
    <row r="944" spans="1:5" x14ac:dyDescent="0.3">
      <c r="A944" s="32">
        <v>943</v>
      </c>
      <c r="B944" s="32"/>
      <c r="C944" s="32" t="b">
        <f>_xlfn.XLOOKUP(Table61011121316[[#This Row],[Category No]],Table8[Category No],Table8[Chapter List],FALSE)</f>
        <v>0</v>
      </c>
      <c r="D944" s="34"/>
      <c r="E944" s="34"/>
    </row>
    <row r="945" spans="1:5" x14ac:dyDescent="0.3">
      <c r="A945" s="32">
        <v>944</v>
      </c>
      <c r="B945" s="32"/>
      <c r="C945" s="32" t="b">
        <f>_xlfn.XLOOKUP(Table61011121316[[#This Row],[Category No]],Table8[Category No],Table8[Chapter List],FALSE)</f>
        <v>0</v>
      </c>
      <c r="D945" s="34"/>
      <c r="E945" s="34"/>
    </row>
    <row r="946" spans="1:5" x14ac:dyDescent="0.3">
      <c r="A946" s="32">
        <v>945</v>
      </c>
      <c r="B946" s="32"/>
      <c r="C946" s="32" t="b">
        <f>_xlfn.XLOOKUP(Table61011121316[[#This Row],[Category No]],Table8[Category No],Table8[Chapter List],FALSE)</f>
        <v>0</v>
      </c>
      <c r="D946" s="34"/>
      <c r="E946" s="34"/>
    </row>
    <row r="947" spans="1:5" x14ac:dyDescent="0.3">
      <c r="A947" s="32">
        <v>946</v>
      </c>
      <c r="B947" s="32"/>
      <c r="C947" s="32" t="b">
        <f>_xlfn.XLOOKUP(Table61011121316[[#This Row],[Category No]],Table8[Category No],Table8[Chapter List],FALSE)</f>
        <v>0</v>
      </c>
      <c r="D947" s="34"/>
      <c r="E947" s="34"/>
    </row>
    <row r="948" spans="1:5" x14ac:dyDescent="0.3">
      <c r="A948" s="32">
        <v>947</v>
      </c>
      <c r="B948" s="32"/>
      <c r="C948" s="32" t="b">
        <f>_xlfn.XLOOKUP(Table61011121316[[#This Row],[Category No]],Table8[Category No],Table8[Chapter List],FALSE)</f>
        <v>0</v>
      </c>
      <c r="D948" s="34"/>
      <c r="E948" s="34"/>
    </row>
    <row r="949" spans="1:5" x14ac:dyDescent="0.3">
      <c r="A949" s="32">
        <v>948</v>
      </c>
      <c r="B949" s="32"/>
      <c r="C949" s="32" t="b">
        <f>_xlfn.XLOOKUP(Table61011121316[[#This Row],[Category No]],Table8[Category No],Table8[Chapter List],FALSE)</f>
        <v>0</v>
      </c>
      <c r="D949" s="34"/>
      <c r="E949" s="34"/>
    </row>
    <row r="950" spans="1:5" x14ac:dyDescent="0.3">
      <c r="A950" s="32">
        <v>949</v>
      </c>
      <c r="B950" s="32"/>
      <c r="C950" s="32" t="b">
        <f>_xlfn.XLOOKUP(Table61011121316[[#This Row],[Category No]],Table8[Category No],Table8[Chapter List],FALSE)</f>
        <v>0</v>
      </c>
      <c r="D950" s="34"/>
      <c r="E950" s="34"/>
    </row>
    <row r="951" spans="1:5" x14ac:dyDescent="0.3">
      <c r="A951" s="32">
        <v>950</v>
      </c>
      <c r="B951" s="32"/>
      <c r="C951" s="32" t="b">
        <f>_xlfn.XLOOKUP(Table61011121316[[#This Row],[Category No]],Table8[Category No],Table8[Chapter List],FALSE)</f>
        <v>0</v>
      </c>
      <c r="D951" s="34"/>
      <c r="E951" s="34"/>
    </row>
    <row r="952" spans="1:5" x14ac:dyDescent="0.3">
      <c r="A952" s="32">
        <v>951</v>
      </c>
      <c r="B952" s="32"/>
      <c r="C952" s="32" t="b">
        <f>_xlfn.XLOOKUP(Table61011121316[[#This Row],[Category No]],Table8[Category No],Table8[Chapter List],FALSE)</f>
        <v>0</v>
      </c>
      <c r="D952" s="34"/>
      <c r="E952" s="34"/>
    </row>
    <row r="953" spans="1:5" x14ac:dyDescent="0.3">
      <c r="A953" s="32">
        <v>952</v>
      </c>
      <c r="B953" s="32"/>
      <c r="C953" s="32" t="b">
        <f>_xlfn.XLOOKUP(Table61011121316[[#This Row],[Category No]],Table8[Category No],Table8[Chapter List],FALSE)</f>
        <v>0</v>
      </c>
      <c r="D953" s="34"/>
      <c r="E953" s="34"/>
    </row>
    <row r="954" spans="1:5" x14ac:dyDescent="0.3">
      <c r="A954" s="32">
        <v>953</v>
      </c>
      <c r="B954" s="32"/>
      <c r="C954" s="32" t="b">
        <f>_xlfn.XLOOKUP(Table61011121316[[#This Row],[Category No]],Table8[Category No],Table8[Chapter List],FALSE)</f>
        <v>0</v>
      </c>
      <c r="D954" s="34"/>
      <c r="E954" s="34"/>
    </row>
    <row r="955" spans="1:5" x14ac:dyDescent="0.3">
      <c r="A955" s="32">
        <v>954</v>
      </c>
      <c r="B955" s="32"/>
      <c r="C955" s="32" t="b">
        <f>_xlfn.XLOOKUP(Table61011121316[[#This Row],[Category No]],Table8[Category No],Table8[Chapter List],FALSE)</f>
        <v>0</v>
      </c>
      <c r="D955" s="34"/>
      <c r="E955" s="34"/>
    </row>
    <row r="956" spans="1:5" x14ac:dyDescent="0.3">
      <c r="A956" s="32">
        <v>955</v>
      </c>
      <c r="B956" s="32"/>
      <c r="C956" s="32" t="b">
        <f>_xlfn.XLOOKUP(Table61011121316[[#This Row],[Category No]],Table8[Category No],Table8[Chapter List],FALSE)</f>
        <v>0</v>
      </c>
      <c r="D956" s="34"/>
      <c r="E956" s="34"/>
    </row>
    <row r="957" spans="1:5" x14ac:dyDescent="0.3">
      <c r="A957" s="32">
        <v>956</v>
      </c>
      <c r="B957" s="32"/>
      <c r="C957" s="32" t="b">
        <f>_xlfn.XLOOKUP(Table61011121316[[#This Row],[Category No]],Table8[Category No],Table8[Chapter List],FALSE)</f>
        <v>0</v>
      </c>
      <c r="D957" s="34"/>
      <c r="E957" s="34"/>
    </row>
    <row r="958" spans="1:5" x14ac:dyDescent="0.3">
      <c r="A958" s="32">
        <v>957</v>
      </c>
      <c r="B958" s="32"/>
      <c r="C958" s="32" t="b">
        <f>_xlfn.XLOOKUP(Table61011121316[[#This Row],[Category No]],Table8[Category No],Table8[Chapter List],FALSE)</f>
        <v>0</v>
      </c>
      <c r="D958" s="34"/>
      <c r="E958" s="34"/>
    </row>
    <row r="959" spans="1:5" x14ac:dyDescent="0.3">
      <c r="A959" s="32">
        <v>958</v>
      </c>
      <c r="B959" s="32"/>
      <c r="C959" s="32" t="b">
        <f>_xlfn.XLOOKUP(Table61011121316[[#This Row],[Category No]],Table8[Category No],Table8[Chapter List],FALSE)</f>
        <v>0</v>
      </c>
      <c r="D959" s="34"/>
      <c r="E959" s="34"/>
    </row>
    <row r="960" spans="1:5" x14ac:dyDescent="0.3">
      <c r="A960" s="32">
        <v>959</v>
      </c>
      <c r="B960" s="32"/>
      <c r="C960" s="32" t="b">
        <f>_xlfn.XLOOKUP(Table61011121316[[#This Row],[Category No]],Table8[Category No],Table8[Chapter List],FALSE)</f>
        <v>0</v>
      </c>
      <c r="D960" s="34"/>
      <c r="E960" s="34"/>
    </row>
    <row r="961" spans="1:5" x14ac:dyDescent="0.3">
      <c r="A961" s="32">
        <v>960</v>
      </c>
      <c r="B961" s="32"/>
      <c r="C961" s="32" t="b">
        <f>_xlfn.XLOOKUP(Table61011121316[[#This Row],[Category No]],Table8[Category No],Table8[Chapter List],FALSE)</f>
        <v>0</v>
      </c>
      <c r="D961" s="34"/>
      <c r="E961" s="34"/>
    </row>
    <row r="962" spans="1:5" x14ac:dyDescent="0.3">
      <c r="A962" s="32">
        <v>961</v>
      </c>
      <c r="B962" s="32"/>
      <c r="C962" s="32" t="b">
        <f>_xlfn.XLOOKUP(Table61011121316[[#This Row],[Category No]],Table8[Category No],Table8[Chapter List],FALSE)</f>
        <v>0</v>
      </c>
      <c r="D962" s="34"/>
      <c r="E962" s="34"/>
    </row>
    <row r="963" spans="1:5" x14ac:dyDescent="0.3">
      <c r="A963" s="32">
        <v>962</v>
      </c>
      <c r="B963" s="32"/>
      <c r="C963" s="32" t="b">
        <f>_xlfn.XLOOKUP(Table61011121316[[#This Row],[Category No]],Table8[Category No],Table8[Chapter List],FALSE)</f>
        <v>0</v>
      </c>
      <c r="D963" s="34"/>
      <c r="E963" s="34"/>
    </row>
    <row r="964" spans="1:5" x14ac:dyDescent="0.3">
      <c r="A964" s="32">
        <v>963</v>
      </c>
      <c r="B964" s="32"/>
      <c r="C964" s="32" t="b">
        <f>_xlfn.XLOOKUP(Table61011121316[[#This Row],[Category No]],Table8[Category No],Table8[Chapter List],FALSE)</f>
        <v>0</v>
      </c>
      <c r="D964" s="34"/>
      <c r="E964" s="34"/>
    </row>
    <row r="965" spans="1:5" x14ac:dyDescent="0.3">
      <c r="A965" s="32">
        <v>964</v>
      </c>
      <c r="B965" s="32"/>
      <c r="C965" s="32" t="b">
        <f>_xlfn.XLOOKUP(Table61011121316[[#This Row],[Category No]],Table8[Category No],Table8[Chapter List],FALSE)</f>
        <v>0</v>
      </c>
      <c r="D965" s="34"/>
      <c r="E965" s="34"/>
    </row>
    <row r="966" spans="1:5" x14ac:dyDescent="0.3">
      <c r="A966" s="32">
        <v>965</v>
      </c>
      <c r="B966" s="32"/>
      <c r="C966" s="32" t="b">
        <f>_xlfn.XLOOKUP(Table61011121316[[#This Row],[Category No]],Table8[Category No],Table8[Chapter List],FALSE)</f>
        <v>0</v>
      </c>
      <c r="D966" s="34"/>
      <c r="E966" s="34"/>
    </row>
    <row r="967" spans="1:5" x14ac:dyDescent="0.3">
      <c r="A967" s="32">
        <v>966</v>
      </c>
      <c r="B967" s="32"/>
      <c r="C967" s="32" t="b">
        <f>_xlfn.XLOOKUP(Table61011121316[[#This Row],[Category No]],Table8[Category No],Table8[Chapter List],FALSE)</f>
        <v>0</v>
      </c>
      <c r="D967" s="34"/>
      <c r="E967" s="34"/>
    </row>
    <row r="968" spans="1:5" x14ac:dyDescent="0.3">
      <c r="A968" s="32">
        <v>967</v>
      </c>
      <c r="B968" s="32"/>
      <c r="C968" s="32" t="b">
        <f>_xlfn.XLOOKUP(Table61011121316[[#This Row],[Category No]],Table8[Category No],Table8[Chapter List],FALSE)</f>
        <v>0</v>
      </c>
      <c r="D968" s="34"/>
      <c r="E968" s="34"/>
    </row>
    <row r="969" spans="1:5" x14ac:dyDescent="0.3">
      <c r="A969" s="32">
        <v>968</v>
      </c>
      <c r="B969" s="32"/>
      <c r="C969" s="32" t="b">
        <f>_xlfn.XLOOKUP(Table61011121316[[#This Row],[Category No]],Table8[Category No],Table8[Chapter List],FALSE)</f>
        <v>0</v>
      </c>
      <c r="D969" s="34"/>
      <c r="E969" s="34"/>
    </row>
    <row r="970" spans="1:5" x14ac:dyDescent="0.3">
      <c r="A970" s="32">
        <v>969</v>
      </c>
      <c r="B970" s="32"/>
      <c r="C970" s="32" t="b">
        <f>_xlfn.XLOOKUP(Table61011121316[[#This Row],[Category No]],Table8[Category No],Table8[Chapter List],FALSE)</f>
        <v>0</v>
      </c>
      <c r="D970" s="34"/>
      <c r="E970" s="34"/>
    </row>
    <row r="971" spans="1:5" x14ac:dyDescent="0.3">
      <c r="A971" s="32">
        <v>970</v>
      </c>
      <c r="B971" s="32"/>
      <c r="C971" s="32" t="b">
        <f>_xlfn.XLOOKUP(Table61011121316[[#This Row],[Category No]],Table8[Category No],Table8[Chapter List],FALSE)</f>
        <v>0</v>
      </c>
      <c r="D971" s="34"/>
      <c r="E971" s="34"/>
    </row>
    <row r="972" spans="1:5" x14ac:dyDescent="0.3">
      <c r="A972" s="32">
        <v>971</v>
      </c>
      <c r="B972" s="32"/>
      <c r="C972" s="32" t="b">
        <f>_xlfn.XLOOKUP(Table61011121316[[#This Row],[Category No]],Table8[Category No],Table8[Chapter List],FALSE)</f>
        <v>0</v>
      </c>
      <c r="D972" s="34"/>
      <c r="E972" s="34"/>
    </row>
    <row r="973" spans="1:5" x14ac:dyDescent="0.3">
      <c r="A973" s="32">
        <v>972</v>
      </c>
      <c r="B973" s="32"/>
      <c r="C973" s="32" t="b">
        <f>_xlfn.XLOOKUP(Table61011121316[[#This Row],[Category No]],Table8[Category No],Table8[Chapter List],FALSE)</f>
        <v>0</v>
      </c>
      <c r="D973" s="34"/>
      <c r="E973" s="34"/>
    </row>
    <row r="974" spans="1:5" x14ac:dyDescent="0.3">
      <c r="A974" s="32">
        <v>973</v>
      </c>
      <c r="B974" s="32"/>
      <c r="C974" s="32" t="b">
        <f>_xlfn.XLOOKUP(Table61011121316[[#This Row],[Category No]],Table8[Category No],Table8[Chapter List],FALSE)</f>
        <v>0</v>
      </c>
      <c r="D974" s="34"/>
      <c r="E974" s="34"/>
    </row>
    <row r="975" spans="1:5" x14ac:dyDescent="0.3">
      <c r="A975" s="32">
        <v>974</v>
      </c>
      <c r="B975" s="32"/>
      <c r="C975" s="32" t="b">
        <f>_xlfn.XLOOKUP(Table61011121316[[#This Row],[Category No]],Table8[Category No],Table8[Chapter List],FALSE)</f>
        <v>0</v>
      </c>
      <c r="D975" s="34"/>
      <c r="E975" s="34"/>
    </row>
    <row r="976" spans="1:5" x14ac:dyDescent="0.3">
      <c r="A976" s="32">
        <v>975</v>
      </c>
      <c r="B976" s="32"/>
      <c r="C976" s="32" t="b">
        <f>_xlfn.XLOOKUP(Table61011121316[[#This Row],[Category No]],Table8[Category No],Table8[Chapter List],FALSE)</f>
        <v>0</v>
      </c>
      <c r="D976" s="34"/>
      <c r="E976" s="34"/>
    </row>
    <row r="977" spans="1:5" x14ac:dyDescent="0.3">
      <c r="A977" s="32">
        <v>976</v>
      </c>
      <c r="B977" s="32"/>
      <c r="C977" s="32" t="b">
        <f>_xlfn.XLOOKUP(Table61011121316[[#This Row],[Category No]],Table8[Category No],Table8[Chapter List],FALSE)</f>
        <v>0</v>
      </c>
      <c r="D977" s="34"/>
      <c r="E977" s="34"/>
    </row>
    <row r="978" spans="1:5" x14ac:dyDescent="0.3">
      <c r="A978" s="32">
        <v>977</v>
      </c>
      <c r="B978" s="32"/>
      <c r="C978" s="32" t="b">
        <f>_xlfn.XLOOKUP(Table61011121316[[#This Row],[Category No]],Table8[Category No],Table8[Chapter List],FALSE)</f>
        <v>0</v>
      </c>
      <c r="D978" s="34"/>
      <c r="E978" s="34"/>
    </row>
    <row r="979" spans="1:5" x14ac:dyDescent="0.3">
      <c r="A979" s="32">
        <v>978</v>
      </c>
      <c r="B979" s="32"/>
      <c r="C979" s="32" t="b">
        <f>_xlfn.XLOOKUP(Table61011121316[[#This Row],[Category No]],Table8[Category No],Table8[Chapter List],FALSE)</f>
        <v>0</v>
      </c>
      <c r="D979" s="34"/>
      <c r="E979" s="34"/>
    </row>
    <row r="980" spans="1:5" x14ac:dyDescent="0.3">
      <c r="A980" s="32">
        <v>979</v>
      </c>
      <c r="B980" s="32"/>
      <c r="C980" s="32" t="b">
        <f>_xlfn.XLOOKUP(Table61011121316[[#This Row],[Category No]],Table8[Category No],Table8[Chapter List],FALSE)</f>
        <v>0</v>
      </c>
      <c r="D980" s="34"/>
      <c r="E980" s="34"/>
    </row>
    <row r="981" spans="1:5" x14ac:dyDescent="0.3">
      <c r="A981" s="32">
        <v>980</v>
      </c>
      <c r="B981" s="32"/>
      <c r="C981" s="32" t="b">
        <f>_xlfn.XLOOKUP(Table61011121316[[#This Row],[Category No]],Table8[Category No],Table8[Chapter List],FALSE)</f>
        <v>0</v>
      </c>
      <c r="D981" s="34"/>
      <c r="E981" s="34"/>
    </row>
    <row r="982" spans="1:5" x14ac:dyDescent="0.3">
      <c r="A982" s="32">
        <v>981</v>
      </c>
      <c r="B982" s="32"/>
      <c r="C982" s="32" t="b">
        <f>_xlfn.XLOOKUP(Table61011121316[[#This Row],[Category No]],Table8[Category No],Table8[Chapter List],FALSE)</f>
        <v>0</v>
      </c>
      <c r="D982" s="34"/>
      <c r="E982" s="34"/>
    </row>
    <row r="983" spans="1:5" x14ac:dyDescent="0.3">
      <c r="A983" s="32">
        <v>982</v>
      </c>
      <c r="B983" s="32"/>
      <c r="C983" s="32" t="b">
        <f>_xlfn.XLOOKUP(Table61011121316[[#This Row],[Category No]],Table8[Category No],Table8[Chapter List],FALSE)</f>
        <v>0</v>
      </c>
      <c r="D983" s="34"/>
      <c r="E983" s="34"/>
    </row>
    <row r="984" spans="1:5" x14ac:dyDescent="0.3">
      <c r="A984" s="32">
        <v>983</v>
      </c>
      <c r="B984" s="32"/>
      <c r="C984" s="32" t="b">
        <f>_xlfn.XLOOKUP(Table61011121316[[#This Row],[Category No]],Table8[Category No],Table8[Chapter List],FALSE)</f>
        <v>0</v>
      </c>
      <c r="D984" s="34"/>
      <c r="E984" s="34"/>
    </row>
    <row r="985" spans="1:5" x14ac:dyDescent="0.3">
      <c r="A985" s="32">
        <v>984</v>
      </c>
      <c r="B985" s="32"/>
      <c r="C985" s="32" t="b">
        <f>_xlfn.XLOOKUP(Table61011121316[[#This Row],[Category No]],Table8[Category No],Table8[Chapter List],FALSE)</f>
        <v>0</v>
      </c>
      <c r="D985" s="34"/>
      <c r="E985" s="34"/>
    </row>
    <row r="986" spans="1:5" x14ac:dyDescent="0.3">
      <c r="A986" s="32">
        <v>985</v>
      </c>
      <c r="B986" s="32"/>
      <c r="C986" s="32" t="b">
        <f>_xlfn.XLOOKUP(Table61011121316[[#This Row],[Category No]],Table8[Category No],Table8[Chapter List],FALSE)</f>
        <v>0</v>
      </c>
      <c r="D986" s="34"/>
      <c r="E986" s="34"/>
    </row>
    <row r="987" spans="1:5" x14ac:dyDescent="0.3">
      <c r="A987" s="32">
        <v>986</v>
      </c>
      <c r="B987" s="32"/>
      <c r="C987" s="32" t="b">
        <f>_xlfn.XLOOKUP(Table61011121316[[#This Row],[Category No]],Table8[Category No],Table8[Chapter List],FALSE)</f>
        <v>0</v>
      </c>
      <c r="D987" s="34"/>
      <c r="E987" s="34"/>
    </row>
    <row r="988" spans="1:5" x14ac:dyDescent="0.3">
      <c r="A988" s="32">
        <v>987</v>
      </c>
      <c r="B988" s="32"/>
      <c r="C988" s="32" t="b">
        <f>_xlfn.XLOOKUP(Table61011121316[[#This Row],[Category No]],Table8[Category No],Table8[Chapter List],FALSE)</f>
        <v>0</v>
      </c>
      <c r="D988" s="34"/>
      <c r="E988" s="34"/>
    </row>
    <row r="989" spans="1:5" x14ac:dyDescent="0.3">
      <c r="A989" s="32">
        <v>988</v>
      </c>
      <c r="B989" s="32"/>
      <c r="C989" s="32" t="b">
        <f>_xlfn.XLOOKUP(Table61011121316[[#This Row],[Category No]],Table8[Category No],Table8[Chapter List],FALSE)</f>
        <v>0</v>
      </c>
      <c r="D989" s="34"/>
      <c r="E989" s="34"/>
    </row>
    <row r="990" spans="1:5" x14ac:dyDescent="0.3">
      <c r="A990" s="32">
        <v>989</v>
      </c>
      <c r="B990" s="32"/>
      <c r="C990" s="32" t="b">
        <f>_xlfn.XLOOKUP(Table61011121316[[#This Row],[Category No]],Table8[Category No],Table8[Chapter List],FALSE)</f>
        <v>0</v>
      </c>
      <c r="D990" s="34"/>
      <c r="E990" s="34"/>
    </row>
    <row r="991" spans="1:5" x14ac:dyDescent="0.3">
      <c r="A991" s="32">
        <v>990</v>
      </c>
      <c r="B991" s="32"/>
      <c r="C991" s="32" t="b">
        <f>_xlfn.XLOOKUP(Table61011121316[[#This Row],[Category No]],Table8[Category No],Table8[Chapter List],FALSE)</f>
        <v>0</v>
      </c>
      <c r="D991" s="34"/>
      <c r="E991" s="34"/>
    </row>
    <row r="992" spans="1:5" x14ac:dyDescent="0.3">
      <c r="A992" s="32">
        <v>991</v>
      </c>
      <c r="B992" s="32"/>
      <c r="C992" s="32" t="b">
        <f>_xlfn.XLOOKUP(Table61011121316[[#This Row],[Category No]],Table8[Category No],Table8[Chapter List],FALSE)</f>
        <v>0</v>
      </c>
      <c r="D992" s="34"/>
      <c r="E992" s="34"/>
    </row>
    <row r="993" spans="1:5" x14ac:dyDescent="0.3">
      <c r="A993" s="32">
        <v>992</v>
      </c>
      <c r="B993" s="32"/>
      <c r="C993" s="32" t="b">
        <f>_xlfn.XLOOKUP(Table61011121316[[#This Row],[Category No]],Table8[Category No],Table8[Chapter List],FALSE)</f>
        <v>0</v>
      </c>
      <c r="D993" s="34"/>
      <c r="E993" s="34"/>
    </row>
    <row r="994" spans="1:5" x14ac:dyDescent="0.3">
      <c r="A994" s="32">
        <v>993</v>
      </c>
      <c r="B994" s="32"/>
      <c r="C994" s="32" t="b">
        <f>_xlfn.XLOOKUP(Table61011121316[[#This Row],[Category No]],Table8[Category No],Table8[Chapter List],FALSE)</f>
        <v>0</v>
      </c>
      <c r="D994" s="34"/>
      <c r="E994" s="34"/>
    </row>
    <row r="995" spans="1:5" x14ac:dyDescent="0.3">
      <c r="A995" s="32">
        <v>994</v>
      </c>
      <c r="B995" s="32"/>
      <c r="C995" s="32" t="b">
        <f>_xlfn.XLOOKUP(Table61011121316[[#This Row],[Category No]],Table8[Category No],Table8[Chapter List],FALSE)</f>
        <v>0</v>
      </c>
      <c r="D995" s="34"/>
      <c r="E995" s="34"/>
    </row>
    <row r="996" spans="1:5" x14ac:dyDescent="0.3">
      <c r="A996" s="32">
        <v>995</v>
      </c>
      <c r="B996" s="32"/>
      <c r="C996" s="32" t="b">
        <f>_xlfn.XLOOKUP(Table61011121316[[#This Row],[Category No]],Table8[Category No],Table8[Chapter List],FALSE)</f>
        <v>0</v>
      </c>
      <c r="D996" s="34"/>
      <c r="E996" s="34"/>
    </row>
    <row r="997" spans="1:5" x14ac:dyDescent="0.3">
      <c r="A997" s="32">
        <v>996</v>
      </c>
      <c r="B997" s="32"/>
      <c r="C997" s="32" t="b">
        <f>_xlfn.XLOOKUP(Table61011121316[[#This Row],[Category No]],Table8[Category No],Table8[Chapter List],FALSE)</f>
        <v>0</v>
      </c>
      <c r="D997" s="34"/>
      <c r="E997" s="34"/>
    </row>
    <row r="998" spans="1:5" x14ac:dyDescent="0.3">
      <c r="A998" s="32">
        <v>997</v>
      </c>
      <c r="B998" s="32"/>
      <c r="C998" s="32" t="b">
        <f>_xlfn.XLOOKUP(Table61011121316[[#This Row],[Category No]],Table8[Category No],Table8[Chapter List],FALSE)</f>
        <v>0</v>
      </c>
      <c r="D998" s="34"/>
      <c r="E998" s="34"/>
    </row>
    <row r="999" spans="1:5" x14ac:dyDescent="0.3">
      <c r="A999" s="32">
        <v>998</v>
      </c>
      <c r="B999" s="32"/>
      <c r="C999" s="32" t="b">
        <f>_xlfn.XLOOKUP(Table61011121316[[#This Row],[Category No]],Table8[Category No],Table8[Chapter List],FALSE)</f>
        <v>0</v>
      </c>
      <c r="D999" s="34"/>
      <c r="E999" s="34"/>
    </row>
    <row r="1000" spans="1:5" x14ac:dyDescent="0.3">
      <c r="A1000" s="32">
        <v>999</v>
      </c>
      <c r="B1000" s="32"/>
      <c r="C1000" s="32" t="b">
        <f>_xlfn.XLOOKUP(Table61011121316[[#This Row],[Category No]],Table8[Category No],Table8[Chapter List],FALSE)</f>
        <v>0</v>
      </c>
      <c r="D1000" s="34"/>
      <c r="E1000" s="34"/>
    </row>
  </sheetData>
  <mergeCells count="14">
    <mergeCell ref="F243:F245"/>
    <mergeCell ref="F53:F56"/>
    <mergeCell ref="F57:F72"/>
    <mergeCell ref="F73:F82"/>
    <mergeCell ref="F92:F98"/>
    <mergeCell ref="F104:F106"/>
    <mergeCell ref="F240:F241"/>
    <mergeCell ref="F185:F191"/>
    <mergeCell ref="F176:F180"/>
    <mergeCell ref="F181:F184"/>
    <mergeCell ref="F122:F131"/>
    <mergeCell ref="F132:F135"/>
    <mergeCell ref="F145:F149"/>
    <mergeCell ref="F150:F152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Content</vt:lpstr>
      <vt:lpstr>A. Chapter Flow</vt:lpstr>
      <vt:lpstr>B. Timeline</vt:lpstr>
      <vt:lpstr>C. Events</vt:lpstr>
      <vt:lpstr>D. Battles</vt:lpstr>
      <vt:lpstr>E. Character-Titles</vt:lpstr>
      <vt:lpstr>F. Geo Loc</vt:lpstr>
      <vt:lpstr>G. Objects</vt:lpstr>
      <vt:lpstr>H. Word Associations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Pratyush Sahu</dc:creator>
  <cp:lastModifiedBy>Priyam Pratyush Sahu</cp:lastModifiedBy>
  <dcterms:created xsi:type="dcterms:W3CDTF">2024-02-03T16:17:42Z</dcterms:created>
  <dcterms:modified xsi:type="dcterms:W3CDTF">2026-04-02T13:58:25Z</dcterms:modified>
</cp:coreProperties>
</file>